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藤鳶工業請求4月分 " sheetId="1" r:id="rId1"/>
  </sheets>
  <definedNames>
    <definedName name="_xlnm.Print_Area" localSheetId="0">'藤鳶工業請求4月分 '!$A$1:$AH$58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" i="1" l="1"/>
  <c r="AC50" i="1" s="1"/>
  <c r="AC51" i="1" l="1"/>
  <c r="AC52" i="1" s="1"/>
  <c r="M18" i="1" s="1"/>
</calcChain>
</file>

<file path=xl/sharedStrings.xml><?xml version="1.0" encoding="utf-8"?>
<sst xmlns="http://schemas.openxmlformats.org/spreadsheetml/2006/main" count="52" uniqueCount="40">
  <si>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</si>
  <si>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藤鳶工業　株式会社</t>
    <rPh sb="0" eb="1">
      <t>フジ</t>
    </rPh>
    <rPh sb="1" eb="2">
      <t>トビ</t>
    </rPh>
    <rPh sb="2" eb="4">
      <t>コウギョウ</t>
    </rPh>
    <rPh sb="5" eb="7">
      <t>カブシキ</t>
    </rPh>
    <rPh sb="7" eb="9">
      <t>カイシャ</t>
    </rPh>
    <phoneticPr fontId="5"/>
  </si>
  <si>
    <t>殿</t>
    <rPh sb="0" eb="1">
      <t>ドノ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</si>
  <si>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</si>
  <si>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</si>
  <si>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</si>
  <si>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</si>
  <si>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t>4月分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</si>
  <si>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</si>
  <si>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</si>
  <si>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</si>
  <si>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番号</t>
    <rPh sb="0" eb="2">
      <t>バンゴウ</t>
    </rPh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</si>
  <si>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</si>
  <si>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</si>
  <si>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</si>
  <si>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</si>
  <si>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</si>
  <si>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式</t>
    <rPh sb="0" eb="1">
      <t>シキ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</si>
  <si>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</si>
  <si>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</si>
  <si>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</si>
  <si>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</si>
  <si>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</si>
  <si>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</si>
  <si>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振込み先　　　　広島銀行　尾道栗原支店　普通預金　3143730</t>
    <rPh sb="0" eb="2">
      <t>フリコ</t>
    </rPh>
    <rPh sb="3" eb="4">
      <t>サキ</t>
    </rPh>
    <rPh sb="8" eb="10">
      <t>ヒロシマ</t>
    </rPh>
    <rPh sb="10" eb="12">
      <t>ギンコウ</t>
    </rPh>
    <rPh sb="13" eb="15">
      <t>オノミチ</t>
    </rPh>
    <rPh sb="15" eb="17">
      <t>クリハラ</t>
    </rPh>
    <rPh sb="17" eb="19">
      <t>シテン</t>
    </rPh>
    <rPh sb="20" eb="22">
      <t>フツウ</t>
    </rPh>
    <rPh sb="22" eb="24">
      <t>ヨキン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</si>
  <si>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</si>
  <si>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</si>
  <si>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</si>
  <si>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</si>
  <si>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</si>
  <si>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</si>
  <si>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カシワキ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</si>
  <si>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</si>
  <si>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倉谷　円</t>
    <rPh sb="0" eb="2">
      <t>クラタニ</t>
    </rPh>
    <rPh sb="3" eb="4">
      <t>マドカ</t>
    </rPh>
    <phoneticPr fontId="2"/>
  </si>
  <si>
    <t>葛篭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</si>
  <si>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</si>
  <si>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</si>
  <si>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</si>
  <si>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式</t>
    <rPh sb="0" eb="1">
      <t>シキ</t>
    </rPh>
    <phoneticPr fontId="2"/>
  </si>
  <si>
    <t>吉原　祐平</t>
    <rPh sb="0" eb="2">
      <t>ヨシハラ</t>
    </rPh>
    <rPh sb="3" eb="5">
      <t>ユウヘイ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</si>
</sst>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97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0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0" fillId="6" borderId="10" xfId="2" applyFont="1" applyFill="1" applyBorder="1" applyAlignment="1">
      <alignment horizontal="lef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ill="1" applyBorder="1" applyAlignment="1">
      <alignment horizontal="center"/>
    </xf>
    <xf numFmtId="0" fontId="1" fillId="1" borderId="8" xfId="2" applyFill="1" applyBorder="1" applyAlignment="1">
      <alignment horizontal="center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1" fillId="0" borderId="5" xfId="2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5" xfId="2" applyFont="1" applyBorder="1" applyAlignment="1">
      <alignment horizontal="left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38" fontId="1" fillId="0" borderId="5" xfId="1" applyBorder="1" applyAlignment="1">
      <alignment horizontal="right"/>
    </xf>
    <xf numFmtId="38" fontId="1" fillId="0" borderId="0" xfId="1" applyBorder="1" applyAlignment="1">
      <alignment horizontal="right"/>
    </xf>
    <xf numFmtId="38" fontId="1" fillId="0" borderId="6" xfId="1" applyBorder="1" applyAlignment="1">
      <alignment horizontal="righ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1" borderId="5" xfId="2" applyFill="1" applyBorder="1" applyAlignment="1">
      <alignment horizontal="center"/>
    </xf>
    <xf numFmtId="0" fontId="1" fillId="1" borderId="6" xfId="2" applyFill="1" applyBorder="1" applyAlignment="1">
      <alignment horizontal="center"/>
    </xf>
    <xf numFmtId="0" fontId="1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38" fontId="1" fillId="1" borderId="5" xfId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0" fontId="0" fillId="1" borderId="5" xfId="2" applyFont="1" applyFill="1" applyBorder="1" applyAlignment="1">
      <alignment horizontal="lef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0" fillId="0" borderId="5" xfId="2" applyFont="1" applyBorder="1" applyAlignment="1">
      <alignment horizontal="lef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177" fontId="1" fillId="1" borderId="6" xfId="2" applyNumberFormat="1" applyFill="1" applyBorder="1" applyAlignment="1">
      <alignment horizontal="right"/>
    </xf>
    <xf numFmtId="177" fontId="1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0" fontId="1" fillId="0" borderId="2" xfId="2" applyBorder="1" applyAlignment="1">
      <alignment horizontal="center"/>
    </xf>
    <xf numFmtId="0" fontId="1" fillId="0" borderId="4" xfId="2" applyBorder="1" applyAlignment="1">
      <alignment horizontal="center"/>
    </xf>
    <xf numFmtId="177" fontId="0" fillId="0" borderId="5" xfId="2" applyNumberFormat="1" applyFon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177" fontId="0" fillId="0" borderId="5" xfId="2" applyNumberFormat="1" applyFont="1" applyBorder="1" applyAlignment="1">
      <alignment horizontal="right"/>
    </xf>
    <xf numFmtId="177" fontId="0" fillId="1" borderId="5" xfId="2" applyNumberFormat="1" applyFont="1" applyFill="1" applyBorder="1" applyAlignment="1">
      <alignment horizontal="right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岡﨑　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番地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0848-76-3701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topLeftCell="A28" workbookViewId="0">
      <selection activeCell="K60" sqref="K60"/>
    </sheetView>
  </sheetViews>
  <sheetFormatPr defaultColWidth="2.625" defaultRowHeight="15" customHeight="1"/>
  <cols>
    <col min="1" max="6" width="2.625" style="1"/>
    <col min="7" max="7" width="2.625" style="1" hidden="1" customWidth="1"/>
    <col min="8" max="26" width="2.625" style="1"/>
    <col min="27" max="28" width="2.625" style="2"/>
    <col min="29" max="16384" width="2.625" style="1"/>
  </cols>
  <sheetData>
    <row r="1" spans="1:42" ht="15" customHeight="1">
      <c r="AB1" s="187"/>
      <c r="AC1" s="187"/>
      <c r="AD1" s="187"/>
      <c r="AE1" s="187"/>
      <c r="AF1" s="187"/>
      <c r="AG1" s="187"/>
      <c r="AH1" s="187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188" t="s">
        <v>0</v>
      </c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</row>
    <row r="4" spans="1:42" ht="15" customHeight="1">
      <c r="D4" s="5"/>
      <c r="E4" s="5"/>
      <c r="F4" s="5"/>
      <c r="G4" s="5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189" t="s">
        <v>1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91" t="s">
        <v>2</v>
      </c>
      <c r="U9" s="191"/>
      <c r="V9" s="191"/>
      <c r="AB9" s="193">
        <v>42131</v>
      </c>
      <c r="AC9" s="193"/>
      <c r="AD9" s="193"/>
      <c r="AE9" s="193"/>
      <c r="AF9" s="193"/>
      <c r="AG9" s="193"/>
      <c r="AH9" s="193"/>
    </row>
    <row r="10" spans="1:42" ht="15" customHeight="1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2"/>
      <c r="U10" s="192"/>
      <c r="V10" s="192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194"/>
      <c r="AA11" s="194"/>
      <c r="AB11" s="194"/>
      <c r="AC11" s="194"/>
      <c r="AD11" s="194"/>
      <c r="AE11" s="194"/>
      <c r="AF11" s="194"/>
      <c r="AG11" s="194"/>
      <c r="AH11" s="194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178"/>
      <c r="AA12" s="178"/>
      <c r="AB12" s="178"/>
      <c r="AC12" s="178"/>
      <c r="AD12" s="178"/>
      <c r="AE12" s="178"/>
      <c r="AF12" s="178"/>
      <c r="AG12" s="178"/>
      <c r="AH12" s="178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178"/>
      <c r="AA13" s="178"/>
      <c r="AB13" s="178"/>
      <c r="AC13" s="178"/>
      <c r="AD13" s="178"/>
      <c r="AE13" s="178"/>
      <c r="AF13" s="178"/>
      <c r="AG13" s="178"/>
      <c r="AH13" s="178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178"/>
      <c r="AA14" s="178"/>
      <c r="AB14" s="178"/>
      <c r="AC14" s="178"/>
      <c r="AD14" s="178"/>
      <c r="AE14" s="178"/>
      <c r="AF14" s="178"/>
      <c r="AG14" s="178"/>
      <c r="AH14" s="178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5</v>
      </c>
      <c r="B16" s="179" t="s">
        <v>6</v>
      </c>
      <c r="C16" s="179"/>
      <c r="D16" s="179"/>
      <c r="E16" s="179"/>
      <c r="F16" s="179"/>
      <c r="G16" s="179"/>
      <c r="H16" s="179"/>
      <c r="I16" s="179"/>
      <c r="J16" s="22"/>
      <c r="K16" s="181" t="s">
        <v>7</v>
      </c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180"/>
      <c r="C17" s="180"/>
      <c r="D17" s="180"/>
      <c r="E17" s="180"/>
      <c r="F17" s="180"/>
      <c r="G17" s="180"/>
      <c r="H17" s="180"/>
      <c r="I17" s="180"/>
      <c r="J17" s="26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179" t="s">
        <v>8</v>
      </c>
      <c r="C18" s="179"/>
      <c r="D18" s="179"/>
      <c r="E18" s="179"/>
      <c r="F18" s="179"/>
      <c r="G18" s="179"/>
      <c r="H18" s="179"/>
      <c r="I18" s="179"/>
      <c r="J18" s="179"/>
      <c r="K18" s="32"/>
      <c r="L18" s="183" t="s">
        <v>9</v>
      </c>
      <c r="M18" s="183">
        <f>AC52</f>
        <v>243000</v>
      </c>
      <c r="N18" s="183"/>
      <c r="O18" s="183"/>
      <c r="P18" s="183"/>
      <c r="Q18" s="183"/>
      <c r="R18" s="183"/>
      <c r="S18" s="185" t="s">
        <v>10</v>
      </c>
      <c r="T18" s="185"/>
      <c r="U18" s="185"/>
      <c r="V18" s="185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180"/>
      <c r="C19" s="180"/>
      <c r="D19" s="180"/>
      <c r="E19" s="180"/>
      <c r="F19" s="180"/>
      <c r="G19" s="180"/>
      <c r="H19" s="180"/>
      <c r="I19" s="180"/>
      <c r="J19" s="180"/>
      <c r="K19" s="38"/>
      <c r="L19" s="184"/>
      <c r="M19" s="184"/>
      <c r="N19" s="184"/>
      <c r="O19" s="184"/>
      <c r="P19" s="184"/>
      <c r="Q19" s="184"/>
      <c r="R19" s="184"/>
      <c r="S19" s="186"/>
      <c r="T19" s="186"/>
      <c r="U19" s="186"/>
      <c r="V19" s="186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73" t="s">
        <v>11</v>
      </c>
      <c r="B21" s="174"/>
      <c r="C21" s="173" t="s">
        <v>12</v>
      </c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5"/>
      <c r="U21" s="173" t="s">
        <v>13</v>
      </c>
      <c r="V21" s="176"/>
      <c r="W21" s="176"/>
      <c r="X21" s="177"/>
      <c r="Y21" s="173" t="s">
        <v>14</v>
      </c>
      <c r="Z21" s="177"/>
      <c r="AA21" s="173" t="s">
        <v>15</v>
      </c>
      <c r="AB21" s="177"/>
      <c r="AC21" s="173" t="s">
        <v>16</v>
      </c>
      <c r="AD21" s="176"/>
      <c r="AE21" s="176"/>
      <c r="AF21" s="176"/>
      <c r="AG21" s="176"/>
      <c r="AH21" s="177"/>
    </row>
    <row r="22" spans="1:34" ht="14.25" customHeight="1">
      <c r="A22" s="170">
        <v>1</v>
      </c>
      <c r="B22" s="171"/>
      <c r="C22" s="156" t="s">
        <v>25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47"/>
      <c r="V22" s="148"/>
      <c r="W22" s="148"/>
      <c r="X22" s="149"/>
      <c r="Y22" s="126">
        <v>1</v>
      </c>
      <c r="Z22" s="128"/>
      <c r="AA22" s="172" t="s">
        <v>17</v>
      </c>
      <c r="AB22" s="164"/>
      <c r="AC22" s="159">
        <v>17000</v>
      </c>
      <c r="AD22" s="160"/>
      <c r="AE22" s="160"/>
      <c r="AF22" s="160"/>
      <c r="AG22" s="160"/>
      <c r="AH22" s="161"/>
    </row>
    <row r="23" spans="1:34" ht="14.25" customHeight="1">
      <c r="A23" s="131">
        <v>2</v>
      </c>
      <c r="B23" s="132"/>
      <c r="C23" s="150" t="s">
        <v>26</v>
      </c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53"/>
      <c r="V23" s="154"/>
      <c r="W23" s="154"/>
      <c r="X23" s="155"/>
      <c r="Y23" s="139">
        <v>1</v>
      </c>
      <c r="Z23" s="140"/>
      <c r="AA23" s="165" t="s">
        <v>17</v>
      </c>
      <c r="AB23" s="166"/>
      <c r="AC23" s="167">
        <v>16000</v>
      </c>
      <c r="AD23" s="168"/>
      <c r="AE23" s="168"/>
      <c r="AF23" s="168"/>
      <c r="AG23" s="168"/>
      <c r="AH23" s="169"/>
    </row>
    <row r="24" spans="1:34" ht="14.25" customHeight="1">
      <c r="A24" s="121">
        <v>3</v>
      </c>
      <c r="B24" s="122"/>
      <c r="C24" s="156" t="s">
        <v>27</v>
      </c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2"/>
      <c r="U24" s="147"/>
      <c r="V24" s="148"/>
      <c r="W24" s="148"/>
      <c r="X24" s="149"/>
      <c r="Y24" s="126">
        <v>1</v>
      </c>
      <c r="Z24" s="128"/>
      <c r="AA24" s="163" t="s">
        <v>17</v>
      </c>
      <c r="AB24" s="164"/>
      <c r="AC24" s="159">
        <v>0</v>
      </c>
      <c r="AD24" s="160"/>
      <c r="AE24" s="160"/>
      <c r="AF24" s="160"/>
      <c r="AG24" s="160"/>
      <c r="AH24" s="161"/>
    </row>
    <row r="25" spans="1:34" ht="14.25" customHeight="1">
      <c r="A25" s="131">
        <v>4</v>
      </c>
      <c r="B25" s="132"/>
      <c r="C25" s="150" t="s">
        <v>28</v>
      </c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5"/>
      <c r="U25" s="153"/>
      <c r="V25" s="154"/>
      <c r="W25" s="154"/>
      <c r="X25" s="155"/>
      <c r="Y25" s="143">
        <v>1</v>
      </c>
      <c r="Z25" s="144"/>
      <c r="AA25" s="151" t="s">
        <v>17</v>
      </c>
      <c r="AB25" s="162"/>
      <c r="AC25" s="153">
        <v>33000</v>
      </c>
      <c r="AD25" s="154"/>
      <c r="AE25" s="154"/>
      <c r="AF25" s="154"/>
      <c r="AG25" s="154"/>
      <c r="AH25" s="155"/>
    </row>
    <row r="26" spans="1:34" ht="14.25" customHeight="1">
      <c r="A26" s="121">
        <v>5</v>
      </c>
      <c r="B26" s="122"/>
      <c r="C26" s="156" t="s">
        <v>29</v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5"/>
      <c r="U26" s="147"/>
      <c r="V26" s="148"/>
      <c r="W26" s="148"/>
      <c r="X26" s="149"/>
      <c r="Y26" s="126">
        <v>1</v>
      </c>
      <c r="Z26" s="128"/>
      <c r="AA26" s="145" t="s">
        <v>17</v>
      </c>
      <c r="AB26" s="146"/>
      <c r="AC26" s="147">
        <v>33000</v>
      </c>
      <c r="AD26" s="148"/>
      <c r="AE26" s="148"/>
      <c r="AF26" s="148"/>
      <c r="AG26" s="148"/>
      <c r="AH26" s="149"/>
    </row>
    <row r="27" spans="1:34" ht="14.25" customHeight="1">
      <c r="A27" s="131">
        <v>6</v>
      </c>
      <c r="B27" s="132"/>
      <c r="C27" s="150" t="s">
        <v>30</v>
      </c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8"/>
      <c r="U27" s="153"/>
      <c r="V27" s="154"/>
      <c r="W27" s="154"/>
      <c r="X27" s="155"/>
      <c r="Y27" s="143">
        <v>1</v>
      </c>
      <c r="Z27" s="144"/>
      <c r="AA27" s="151" t="s">
        <v>17</v>
      </c>
      <c r="AB27" s="162"/>
      <c r="AC27" s="153">
        <v>16000</v>
      </c>
      <c r="AD27" s="154"/>
      <c r="AE27" s="154"/>
      <c r="AF27" s="154"/>
      <c r="AG27" s="154"/>
      <c r="AH27" s="155"/>
    </row>
    <row r="28" spans="1:34" ht="14.25" customHeight="1">
      <c r="A28" s="121">
        <v>7</v>
      </c>
      <c r="B28" s="122"/>
      <c r="C28" s="156" t="s">
        <v>31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5"/>
      <c r="U28" s="126"/>
      <c r="V28" s="127"/>
      <c r="W28" s="127"/>
      <c r="X28" s="128"/>
      <c r="Y28" s="126">
        <v>1</v>
      </c>
      <c r="Z28" s="128"/>
      <c r="AA28" s="145" t="s">
        <v>17</v>
      </c>
      <c r="AB28" s="146"/>
      <c r="AC28" s="147">
        <v>38000</v>
      </c>
      <c r="AD28" s="148"/>
      <c r="AE28" s="148"/>
      <c r="AF28" s="148"/>
      <c r="AG28" s="148"/>
      <c r="AH28" s="149"/>
    </row>
    <row r="29" spans="1:34" ht="14.25" customHeight="1">
      <c r="A29" s="131">
        <v>8</v>
      </c>
      <c r="B29" s="132"/>
      <c r="C29" s="150" t="s">
        <v>32</v>
      </c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5"/>
      <c r="U29" s="153"/>
      <c r="V29" s="154"/>
      <c r="W29" s="154"/>
      <c r="X29" s="155"/>
      <c r="Y29" s="143">
        <v>1</v>
      </c>
      <c r="Z29" s="144"/>
      <c r="AA29" s="151" t="s">
        <v>17</v>
      </c>
      <c r="AB29" s="162"/>
      <c r="AC29" s="153">
        <v>21000</v>
      </c>
      <c r="AD29" s="154"/>
      <c r="AE29" s="154"/>
      <c r="AF29" s="154"/>
      <c r="AG29" s="154"/>
      <c r="AH29" s="155"/>
    </row>
    <row r="30" spans="1:34" ht="14.25" customHeight="1">
      <c r="A30" s="121">
        <v>9</v>
      </c>
      <c r="B30" s="122"/>
      <c r="C30" s="156" t="s">
        <v>33</v>
      </c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2"/>
      <c r="U30" s="126"/>
      <c r="V30" s="127"/>
      <c r="W30" s="127"/>
      <c r="X30" s="128"/>
      <c r="Y30" s="126">
        <v>1</v>
      </c>
      <c r="Z30" s="128"/>
      <c r="AA30" s="145" t="s">
        <v>17</v>
      </c>
      <c r="AB30" s="146"/>
      <c r="AC30" s="147">
        <v>19000</v>
      </c>
      <c r="AD30" s="148"/>
      <c r="AE30" s="148"/>
      <c r="AF30" s="148"/>
      <c r="AG30" s="148"/>
      <c r="AH30" s="149"/>
    </row>
    <row r="31" spans="1:34" ht="14.25" customHeight="1">
      <c r="A31" s="131">
        <v>10</v>
      </c>
      <c r="B31" s="132"/>
      <c r="C31" s="150" t="s">
        <v>34</v>
      </c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5"/>
      <c r="U31" s="153"/>
      <c r="V31" s="154"/>
      <c r="W31" s="154"/>
      <c r="X31" s="155"/>
      <c r="Y31" s="136">
        <v>1</v>
      </c>
      <c r="Z31" s="138"/>
      <c r="AA31" s="151" t="s">
        <v>17</v>
      </c>
      <c r="AB31" s="152"/>
      <c r="AC31" s="153">
        <v>19000</v>
      </c>
      <c r="AD31" s="154"/>
      <c r="AE31" s="154"/>
      <c r="AF31" s="154"/>
      <c r="AG31" s="154"/>
      <c r="AH31" s="155"/>
    </row>
    <row r="32" spans="1:34" ht="14.25" customHeight="1">
      <c r="A32" s="121">
        <v>11</v>
      </c>
      <c r="B32" s="122"/>
      <c r="C32" s="156" t="s">
        <v>35</v>
      </c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2"/>
      <c r="U32" s="147"/>
      <c r="V32" s="148"/>
      <c r="W32" s="148"/>
      <c r="X32" s="149"/>
      <c r="Y32" s="126">
        <v>1</v>
      </c>
      <c r="Z32" s="128"/>
      <c r="AA32" s="145" t="s">
        <v>17</v>
      </c>
      <c r="AB32" s="146"/>
      <c r="AC32" s="159">
        <v>7000</v>
      </c>
      <c r="AD32" s="160"/>
      <c r="AE32" s="160"/>
      <c r="AF32" s="160"/>
      <c r="AG32" s="160"/>
      <c r="AH32" s="161"/>
    </row>
    <row r="33" spans="1:34" ht="14.25" customHeight="1">
      <c r="A33" s="131">
        <v>12</v>
      </c>
      <c r="B33" s="132"/>
      <c r="C33" s="150" t="s">
        <v>36</v>
      </c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5"/>
      <c r="U33" s="153"/>
      <c r="V33" s="154"/>
      <c r="W33" s="154"/>
      <c r="X33" s="155"/>
      <c r="Y33" s="136">
        <v>1</v>
      </c>
      <c r="Z33" s="138"/>
      <c r="AA33" s="151" t="s">
        <v>17</v>
      </c>
      <c r="AB33" s="152"/>
      <c r="AC33" s="153">
        <v>3000</v>
      </c>
      <c r="AD33" s="154"/>
      <c r="AE33" s="154"/>
      <c r="AF33" s="154"/>
      <c r="AG33" s="154"/>
      <c r="AH33" s="155"/>
    </row>
    <row r="34" spans="1:34" ht="14.25" customHeight="1">
      <c r="A34" s="121">
        <v>13</v>
      </c>
      <c r="B34" s="122"/>
      <c r="C34" s="156" t="s">
        <v>37</v>
      </c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5"/>
      <c r="U34" s="147"/>
      <c r="V34" s="148"/>
      <c r="W34" s="148"/>
      <c r="X34" s="149"/>
      <c r="Y34" s="126">
        <v>1</v>
      </c>
      <c r="Z34" s="128"/>
      <c r="AA34" s="195" t="s">
        <v>38</v>
      </c>
      <c r="AB34" s="146"/>
      <c r="AC34" s="147">
        <v>1000</v>
      </c>
      <c r="AD34" s="148"/>
      <c r="AE34" s="148"/>
      <c r="AF34" s="148"/>
      <c r="AG34" s="148"/>
      <c r="AH34" s="149"/>
    </row>
    <row r="35" spans="1:34" ht="14.25" customHeight="1">
      <c r="A35" s="131">
        <v>14</v>
      </c>
      <c r="B35" s="132"/>
      <c r="C35" s="150" t="s">
        <v>39</v>
      </c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8"/>
      <c r="U35" s="153"/>
      <c r="V35" s="154"/>
      <c r="W35" s="154"/>
      <c r="X35" s="155"/>
      <c r="Y35" s="136">
        <v>1</v>
      </c>
      <c r="Z35" s="138"/>
      <c r="AA35" s="196" t="s">
        <v>38</v>
      </c>
      <c r="AB35" s="152"/>
      <c r="AC35" s="153">
        <v>20000</v>
      </c>
      <c r="AD35" s="154"/>
      <c r="AE35" s="154"/>
      <c r="AF35" s="154"/>
      <c r="AG35" s="154"/>
      <c r="AH35" s="155"/>
    </row>
    <row r="36" spans="1:34" ht="14.25" customHeight="1">
      <c r="A36" s="121"/>
      <c r="B36" s="122"/>
      <c r="C36" s="156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5"/>
      <c r="U36" s="126"/>
      <c r="V36" s="127"/>
      <c r="W36" s="127"/>
      <c r="X36" s="128"/>
      <c r="Y36" s="126"/>
      <c r="Z36" s="128"/>
      <c r="AA36" s="145"/>
      <c r="AB36" s="146"/>
      <c r="AC36" s="147"/>
      <c r="AD36" s="148"/>
      <c r="AE36" s="148"/>
      <c r="AF36" s="148"/>
      <c r="AG36" s="148"/>
      <c r="AH36" s="149"/>
    </row>
    <row r="37" spans="1:34" ht="14.25" customHeight="1">
      <c r="A37" s="121"/>
      <c r="B37" s="122"/>
      <c r="C37" s="150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5"/>
      <c r="U37" s="136"/>
      <c r="V37" s="137"/>
      <c r="W37" s="137"/>
      <c r="X37" s="138"/>
      <c r="Y37" s="136"/>
      <c r="Z37" s="138"/>
      <c r="AA37" s="151"/>
      <c r="AB37" s="152"/>
      <c r="AC37" s="153"/>
      <c r="AD37" s="154"/>
      <c r="AE37" s="154"/>
      <c r="AF37" s="154"/>
      <c r="AG37" s="154"/>
      <c r="AH37" s="155"/>
    </row>
    <row r="38" spans="1:34" ht="14.25" customHeight="1">
      <c r="A38" s="121"/>
      <c r="B38" s="122"/>
      <c r="C38" s="156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2"/>
      <c r="U38" s="126"/>
      <c r="V38" s="127"/>
      <c r="W38" s="127"/>
      <c r="X38" s="128"/>
      <c r="Y38" s="126"/>
      <c r="Z38" s="128"/>
      <c r="AA38" s="145"/>
      <c r="AB38" s="146"/>
      <c r="AC38" s="147"/>
      <c r="AD38" s="148"/>
      <c r="AE38" s="148"/>
      <c r="AF38" s="148"/>
      <c r="AG38" s="148"/>
      <c r="AH38" s="149"/>
    </row>
    <row r="39" spans="1:34" ht="14.25" customHeight="1">
      <c r="A39" s="121"/>
      <c r="B39" s="122"/>
      <c r="C39" s="150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5"/>
      <c r="U39" s="136"/>
      <c r="V39" s="137"/>
      <c r="W39" s="137"/>
      <c r="X39" s="138"/>
      <c r="Y39" s="139"/>
      <c r="Z39" s="140"/>
      <c r="AA39" s="151"/>
      <c r="AB39" s="152"/>
      <c r="AC39" s="153"/>
      <c r="AD39" s="154"/>
      <c r="AE39" s="154"/>
      <c r="AF39" s="154"/>
      <c r="AG39" s="154"/>
      <c r="AH39" s="155"/>
    </row>
    <row r="40" spans="1:34" ht="14.25" customHeight="1">
      <c r="A40" s="121"/>
      <c r="B40" s="122"/>
      <c r="C40" s="123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2"/>
      <c r="U40" s="126"/>
      <c r="V40" s="127"/>
      <c r="W40" s="127"/>
      <c r="X40" s="128"/>
      <c r="Y40" s="126"/>
      <c r="Z40" s="128"/>
      <c r="AA40" s="145"/>
      <c r="AB40" s="146"/>
      <c r="AC40" s="147"/>
      <c r="AD40" s="148"/>
      <c r="AE40" s="148"/>
      <c r="AF40" s="148"/>
      <c r="AG40" s="148"/>
      <c r="AH40" s="149"/>
    </row>
    <row r="41" spans="1:34" ht="14.25" customHeight="1">
      <c r="A41" s="131"/>
      <c r="B41" s="132"/>
      <c r="C41" s="133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5"/>
      <c r="U41" s="136"/>
      <c r="V41" s="137"/>
      <c r="W41" s="137"/>
      <c r="X41" s="138"/>
      <c r="Y41" s="143"/>
      <c r="Z41" s="144"/>
      <c r="AA41" s="143"/>
      <c r="AB41" s="144"/>
      <c r="AC41" s="136"/>
      <c r="AD41" s="137"/>
      <c r="AE41" s="137"/>
      <c r="AF41" s="137"/>
      <c r="AG41" s="137"/>
      <c r="AH41" s="138"/>
    </row>
    <row r="42" spans="1:34" ht="14.25" customHeight="1">
      <c r="A42" s="121"/>
      <c r="B42" s="122"/>
      <c r="C42" s="123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2"/>
      <c r="U42" s="126"/>
      <c r="V42" s="127"/>
      <c r="W42" s="127"/>
      <c r="X42" s="128"/>
      <c r="Y42" s="126"/>
      <c r="Z42" s="128"/>
      <c r="AA42" s="129"/>
      <c r="AB42" s="130"/>
      <c r="AC42" s="126"/>
      <c r="AD42" s="127"/>
      <c r="AE42" s="127"/>
      <c r="AF42" s="127"/>
      <c r="AG42" s="127"/>
      <c r="AH42" s="128"/>
    </row>
    <row r="43" spans="1:34" ht="14.25" customHeight="1">
      <c r="A43" s="131"/>
      <c r="B43" s="132"/>
      <c r="C43" s="133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5"/>
      <c r="U43" s="136"/>
      <c r="V43" s="137"/>
      <c r="W43" s="137"/>
      <c r="X43" s="138"/>
      <c r="Y43" s="139"/>
      <c r="Z43" s="140"/>
      <c r="AA43" s="139"/>
      <c r="AB43" s="140"/>
      <c r="AC43" s="136"/>
      <c r="AD43" s="137"/>
      <c r="AE43" s="137"/>
      <c r="AF43" s="137"/>
      <c r="AG43" s="137"/>
      <c r="AH43" s="138"/>
    </row>
    <row r="44" spans="1:34" ht="14.25" customHeight="1">
      <c r="A44" s="121"/>
      <c r="B44" s="122"/>
      <c r="C44" s="123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5"/>
      <c r="U44" s="126"/>
      <c r="V44" s="127"/>
      <c r="W44" s="127"/>
      <c r="X44" s="128"/>
      <c r="Y44" s="126"/>
      <c r="Z44" s="128"/>
      <c r="AA44" s="129"/>
      <c r="AB44" s="130"/>
      <c r="AC44" s="126"/>
      <c r="AD44" s="127"/>
      <c r="AE44" s="127"/>
      <c r="AF44" s="127"/>
      <c r="AG44" s="127"/>
      <c r="AH44" s="128"/>
    </row>
    <row r="45" spans="1:34" ht="14.25" customHeight="1">
      <c r="A45" s="131"/>
      <c r="B45" s="132"/>
      <c r="C45" s="133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5"/>
      <c r="U45" s="136"/>
      <c r="V45" s="137"/>
      <c r="W45" s="137"/>
      <c r="X45" s="138"/>
      <c r="Y45" s="139"/>
      <c r="Z45" s="140"/>
      <c r="AA45" s="139"/>
      <c r="AB45" s="140"/>
      <c r="AC45" s="136"/>
      <c r="AD45" s="137"/>
      <c r="AE45" s="137"/>
      <c r="AF45" s="137"/>
      <c r="AG45" s="137"/>
      <c r="AH45" s="138"/>
    </row>
    <row r="46" spans="1:34" ht="14.25" customHeight="1">
      <c r="A46" s="121"/>
      <c r="B46" s="122"/>
      <c r="C46" s="123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5"/>
      <c r="U46" s="126"/>
      <c r="V46" s="127"/>
      <c r="W46" s="127"/>
      <c r="X46" s="128"/>
      <c r="Y46" s="126"/>
      <c r="Z46" s="128"/>
      <c r="AA46" s="129"/>
      <c r="AB46" s="130"/>
      <c r="AC46" s="126"/>
      <c r="AD46" s="127"/>
      <c r="AE46" s="127"/>
      <c r="AF46" s="127"/>
      <c r="AG46" s="127"/>
      <c r="AH46" s="128"/>
    </row>
    <row r="47" spans="1:34" ht="14.25" customHeight="1">
      <c r="A47" s="111"/>
      <c r="B47" s="112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5"/>
      <c r="U47" s="116"/>
      <c r="V47" s="117"/>
      <c r="W47" s="117"/>
      <c r="X47" s="118"/>
      <c r="Y47" s="119"/>
      <c r="Z47" s="120"/>
      <c r="AA47" s="119"/>
      <c r="AB47" s="120"/>
      <c r="AC47" s="116"/>
      <c r="AD47" s="117"/>
      <c r="AE47" s="117"/>
      <c r="AF47" s="117"/>
      <c r="AG47" s="117"/>
      <c r="AH47" s="118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93" t="s">
        <v>18</v>
      </c>
      <c r="W48" s="94"/>
      <c r="X48" s="94"/>
      <c r="Y48" s="94"/>
      <c r="Z48" s="50"/>
      <c r="AA48" s="95"/>
      <c r="AB48" s="96"/>
      <c r="AC48" s="97">
        <v>0</v>
      </c>
      <c r="AD48" s="98"/>
      <c r="AE48" s="98"/>
      <c r="AF48" s="98"/>
      <c r="AG48" s="98"/>
      <c r="AH48" s="99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00" t="s">
        <v>19</v>
      </c>
      <c r="W49" s="101"/>
      <c r="X49" s="101"/>
      <c r="Y49" s="101"/>
      <c r="Z49" s="53"/>
      <c r="AA49" s="54"/>
      <c r="AB49" s="55"/>
      <c r="AC49" s="102">
        <f>SUM(AC22:AH48)</f>
        <v>243000</v>
      </c>
      <c r="AD49" s="103"/>
      <c r="AE49" s="103"/>
      <c r="AF49" s="103"/>
      <c r="AG49" s="103"/>
      <c r="AH49" s="104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05" t="s">
        <v>20</v>
      </c>
      <c r="W50" s="105"/>
      <c r="X50" s="105"/>
      <c r="Y50" s="105"/>
      <c r="Z50" s="57"/>
      <c r="AA50" s="106"/>
      <c r="AB50" s="107"/>
      <c r="AC50" s="108">
        <f>INT(AC49/108*8)</f>
        <v>18000</v>
      </c>
      <c r="AD50" s="109"/>
      <c r="AE50" s="109"/>
      <c r="AF50" s="109"/>
      <c r="AG50" s="109"/>
      <c r="AH50" s="110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82" t="s">
        <v>21</v>
      </c>
      <c r="W51" s="82"/>
      <c r="X51" s="82"/>
      <c r="Y51" s="82"/>
      <c r="Z51" s="63"/>
      <c r="AA51" s="64"/>
      <c r="AB51" s="65"/>
      <c r="AC51" s="83">
        <f>AC49</f>
        <v>243000</v>
      </c>
      <c r="AD51" s="84"/>
      <c r="AE51" s="84"/>
      <c r="AF51" s="84"/>
      <c r="AG51" s="84"/>
      <c r="AH51" s="85"/>
    </row>
    <row r="52" spans="1:34" s="61" customFormat="1" ht="13.5" customHeight="1">
      <c r="A52" s="58"/>
      <c r="B52" s="58"/>
      <c r="C52" s="58"/>
      <c r="D52" s="58"/>
      <c r="E52" s="59"/>
      <c r="F52" s="59"/>
      <c r="G52" s="59"/>
      <c r="H52" s="60"/>
      <c r="U52" s="66"/>
      <c r="V52" s="86" t="s">
        <v>22</v>
      </c>
      <c r="W52" s="86"/>
      <c r="X52" s="86"/>
      <c r="Y52" s="86"/>
      <c r="Z52" s="67"/>
      <c r="AA52" s="87"/>
      <c r="AB52" s="88"/>
      <c r="AC52" s="89">
        <f>AC51</f>
        <v>243000</v>
      </c>
      <c r="AD52" s="90"/>
      <c r="AE52" s="90"/>
      <c r="AF52" s="90"/>
      <c r="AG52" s="90"/>
      <c r="AH52" s="91"/>
    </row>
    <row r="53" spans="1:34" s="61" customFormat="1" ht="15" hidden="1" customHeight="1">
      <c r="A53" s="58"/>
      <c r="B53" s="58"/>
      <c r="C53" s="58"/>
      <c r="D53" s="58"/>
      <c r="E53" s="59"/>
      <c r="F53" s="59"/>
      <c r="G53" s="59"/>
      <c r="H53" s="60"/>
      <c r="U53" s="68"/>
      <c r="V53" s="69"/>
      <c r="W53" s="69"/>
      <c r="X53" s="69"/>
      <c r="Y53" s="69"/>
      <c r="Z53" s="68"/>
      <c r="AA53" s="70"/>
      <c r="AB53" s="70"/>
      <c r="AC53" s="71"/>
      <c r="AD53" s="70"/>
      <c r="AE53" s="70"/>
      <c r="AF53" s="70"/>
      <c r="AG53" s="70"/>
      <c r="AH53" s="70"/>
    </row>
    <row r="54" spans="1:34" s="61" customFormat="1" ht="15" customHeight="1">
      <c r="A54" s="92" t="s">
        <v>23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</row>
    <row r="55" spans="1:34" s="61" customFormat="1" ht="14.25" customHeight="1">
      <c r="A55" s="80" t="s">
        <v>24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</row>
    <row r="56" spans="1:34" s="61" customFormat="1" ht="1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</row>
    <row r="57" spans="1:34" s="61" customFormat="1" ht="1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</row>
    <row r="58" spans="1:34" s="61" customFormat="1" ht="1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</row>
    <row r="59" spans="1:34" ht="15" customHeight="1">
      <c r="A59" s="72"/>
      <c r="B59" s="72"/>
      <c r="C59" s="73"/>
      <c r="D59" s="74"/>
      <c r="E59" s="74"/>
      <c r="F59" s="74"/>
      <c r="G59" s="75"/>
      <c r="H59" s="72"/>
      <c r="I59" s="72"/>
      <c r="J59" s="72"/>
      <c r="K59" s="72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B59" s="76"/>
      <c r="AC59" s="76"/>
      <c r="AD59" s="76"/>
      <c r="AE59" s="76"/>
      <c r="AF59" s="76"/>
      <c r="AG59" s="76"/>
    </row>
    <row r="60" spans="1:34" ht="15" customHeight="1">
      <c r="A60" s="77"/>
      <c r="B60" s="78"/>
      <c r="C60" s="77"/>
      <c r="D60" s="77"/>
      <c r="E60" s="77"/>
      <c r="F60" s="77"/>
      <c r="G60" s="77"/>
      <c r="H60" s="79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B60" s="76"/>
      <c r="AC60" s="76"/>
      <c r="AD60" s="76"/>
      <c r="AE60" s="76"/>
      <c r="AF60" s="76"/>
      <c r="AG60" s="76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藤鳶工業請求4月分 </vt:lpstr>
      <vt:lpstr>'藤鳶工業請求4月分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2015-05-09T01:46:15Z</cp:lastPrinted>
  <dcterms:created xsi:type="dcterms:W3CDTF">2015-05-08T03:28:51Z</dcterms:created>
  <dcterms:modified xsi:type="dcterms:W3CDTF">2015-05-09T01:50:44Z</dcterms:modified>
</cp:coreProperties>
</file>