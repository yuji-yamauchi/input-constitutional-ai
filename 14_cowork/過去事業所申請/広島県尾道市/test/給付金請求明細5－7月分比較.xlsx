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600" yWindow="120" windowWidth="19395" windowHeight="7830" activeTab="5"/>
  </bookViews>
  <sheets>
    <sheet name="H27.5前" sheetId="15" r:id="rId1"/>
    <sheet name="H27.6前" sheetId="16" r:id="rId2"/>
    <sheet name="H27.7前" sheetId="17" r:id="rId3"/>
    <sheet name="H27.5後" sheetId="8" r:id="rId4"/>
    <sheet name="H27.6後" sheetId="9" r:id="rId5"/>
    <sheet name="H27.7後" sheetId="10" r:id="rId6"/>
  </sheets>
  <definedNames>
    <definedName name="_xlnm._FilterDatabase" localSheetId="3" hidden="1">H27.5後!$A$4:$Z$27</definedName>
    <definedName name="_xlnm._FilterDatabase" localSheetId="0" hidden="1">H27.5前!$A$4:$Z$27</definedName>
    <definedName name="_xlnm._FilterDatabase" localSheetId="4" hidden="1">H27.6後!$A$4:$Z$27</definedName>
    <definedName name="_xlnm._FilterDatabase" localSheetId="1" hidden="1">H27.6前!$A$4:$Z$27</definedName>
    <definedName name="_xlnm._FilterDatabase" localSheetId="5" hidden="1">H27.7後!$A$4:$Z$28</definedName>
    <definedName name="_xlnm._FilterDatabase" localSheetId="2" hidden="1">H27.7前!$A$4:$Z$28</definedName>
  </definedNames>
  <calcPr calcId="152511"/>
</workbook>
</file>

<file path=xl/calcChain.xml><?xml version="1.0" encoding="utf-8"?>
<calcChain xmlns="http://schemas.openxmlformats.org/spreadsheetml/2006/main">
  <c r="X7" i="10" l="1"/>
  <c r="W27" i="17"/>
  <c r="T27" i="17"/>
  <c r="N27" i="17"/>
  <c r="K27" i="17"/>
  <c r="G27" i="17"/>
  <c r="F27" i="17"/>
  <c r="W26" i="17"/>
  <c r="T26" i="17"/>
  <c r="Q26" i="17"/>
  <c r="N26" i="17"/>
  <c r="K26" i="17"/>
  <c r="G26" i="17"/>
  <c r="F26" i="17"/>
  <c r="W25" i="17"/>
  <c r="T25" i="17"/>
  <c r="Q25" i="17"/>
  <c r="N25" i="17"/>
  <c r="K25" i="17"/>
  <c r="G25" i="17"/>
  <c r="F25" i="17"/>
  <c r="W24" i="17"/>
  <c r="T24" i="17"/>
  <c r="Q24" i="17"/>
  <c r="N24" i="17"/>
  <c r="K24" i="17"/>
  <c r="G24" i="17"/>
  <c r="F24" i="17"/>
  <c r="W23" i="17"/>
  <c r="T23" i="17"/>
  <c r="Q23" i="17"/>
  <c r="N23" i="17"/>
  <c r="K23" i="17"/>
  <c r="G23" i="17"/>
  <c r="F23" i="17"/>
  <c r="W22" i="17"/>
  <c r="T22" i="17"/>
  <c r="Q22" i="17"/>
  <c r="N22" i="17"/>
  <c r="K22" i="17"/>
  <c r="G22" i="17"/>
  <c r="F22" i="17"/>
  <c r="W21" i="17"/>
  <c r="T21" i="17"/>
  <c r="Q21" i="17"/>
  <c r="N21" i="17"/>
  <c r="K21" i="17"/>
  <c r="G21" i="17"/>
  <c r="F21" i="17"/>
  <c r="W20" i="17"/>
  <c r="T20" i="17"/>
  <c r="Q20" i="17"/>
  <c r="N20" i="17"/>
  <c r="K20" i="17"/>
  <c r="G20" i="17"/>
  <c r="F20" i="17"/>
  <c r="W19" i="17"/>
  <c r="T19" i="17"/>
  <c r="Q19" i="17"/>
  <c r="N19" i="17"/>
  <c r="K19" i="17"/>
  <c r="G19" i="17"/>
  <c r="F19" i="17"/>
  <c r="W18" i="17"/>
  <c r="T18" i="17"/>
  <c r="Q18" i="17"/>
  <c r="N18" i="17"/>
  <c r="K18" i="17"/>
  <c r="G18" i="17"/>
  <c r="F18" i="17"/>
  <c r="W17" i="17"/>
  <c r="T17" i="17"/>
  <c r="Q17" i="17"/>
  <c r="N17" i="17"/>
  <c r="K17" i="17"/>
  <c r="G17" i="17"/>
  <c r="F17" i="17"/>
  <c r="W16" i="17"/>
  <c r="T16" i="17"/>
  <c r="Q16" i="17"/>
  <c r="N16" i="17"/>
  <c r="K16" i="17"/>
  <c r="G16" i="17"/>
  <c r="F16" i="17"/>
  <c r="W15" i="17"/>
  <c r="T15" i="17"/>
  <c r="Q15" i="17"/>
  <c r="N15" i="17"/>
  <c r="K15" i="17"/>
  <c r="G15" i="17"/>
  <c r="F15" i="17"/>
  <c r="W14" i="17"/>
  <c r="T14" i="17"/>
  <c r="Q14" i="17"/>
  <c r="N14" i="17"/>
  <c r="K14" i="17"/>
  <c r="G14" i="17"/>
  <c r="F14" i="17"/>
  <c r="W13" i="17"/>
  <c r="T13" i="17"/>
  <c r="Q13" i="17"/>
  <c r="N13" i="17"/>
  <c r="K13" i="17"/>
  <c r="G13" i="17"/>
  <c r="F13" i="17"/>
  <c r="W12" i="17"/>
  <c r="T12" i="17"/>
  <c r="Q12" i="17"/>
  <c r="N12" i="17"/>
  <c r="K12" i="17"/>
  <c r="G12" i="17"/>
  <c r="F12" i="17"/>
  <c r="W11" i="17"/>
  <c r="T11" i="17"/>
  <c r="Q11" i="17"/>
  <c r="N11" i="17"/>
  <c r="K11" i="17"/>
  <c r="G11" i="17"/>
  <c r="F11" i="17"/>
  <c r="W10" i="17"/>
  <c r="T10" i="17"/>
  <c r="Q10" i="17"/>
  <c r="N10" i="17"/>
  <c r="K10" i="17"/>
  <c r="G10" i="17"/>
  <c r="F10" i="17"/>
  <c r="W9" i="17"/>
  <c r="T9" i="17"/>
  <c r="Q9" i="17"/>
  <c r="N9" i="17"/>
  <c r="K9" i="17"/>
  <c r="G9" i="17"/>
  <c r="F9" i="17"/>
  <c r="W8" i="17"/>
  <c r="T8" i="17"/>
  <c r="Q8" i="17"/>
  <c r="N8" i="17"/>
  <c r="K8" i="17"/>
  <c r="G8" i="17"/>
  <c r="F8" i="17"/>
  <c r="W7" i="17"/>
  <c r="T7" i="17"/>
  <c r="Q7" i="17"/>
  <c r="N7" i="17"/>
  <c r="K7" i="17"/>
  <c r="G7" i="17"/>
  <c r="F7" i="17"/>
  <c r="G6" i="17"/>
  <c r="W5" i="17"/>
  <c r="T5" i="17"/>
  <c r="N5" i="17"/>
  <c r="K5" i="17"/>
  <c r="F5" i="17"/>
  <c r="F31" i="16"/>
  <c r="W26" i="16"/>
  <c r="T26" i="16"/>
  <c r="Q26" i="16"/>
  <c r="N26" i="16"/>
  <c r="K26" i="16"/>
  <c r="F26" i="16"/>
  <c r="W25" i="16"/>
  <c r="T25" i="16"/>
  <c r="Q25" i="16"/>
  <c r="N25" i="16"/>
  <c r="K25" i="16"/>
  <c r="F25" i="16"/>
  <c r="W24" i="16"/>
  <c r="T24" i="16"/>
  <c r="Q24" i="16"/>
  <c r="N24" i="16"/>
  <c r="K24" i="16"/>
  <c r="G24" i="16"/>
  <c r="F24" i="16"/>
  <c r="W23" i="16"/>
  <c r="T23" i="16"/>
  <c r="Q23" i="16"/>
  <c r="N23" i="16"/>
  <c r="K23" i="16"/>
  <c r="G23" i="16"/>
  <c r="F23" i="16"/>
  <c r="W22" i="16"/>
  <c r="T22" i="16"/>
  <c r="Q22" i="16"/>
  <c r="N22" i="16"/>
  <c r="K22" i="16"/>
  <c r="G22" i="16"/>
  <c r="F22" i="16"/>
  <c r="W21" i="16"/>
  <c r="T21" i="16"/>
  <c r="Q21" i="16"/>
  <c r="N21" i="16"/>
  <c r="K21" i="16"/>
  <c r="G21" i="16"/>
  <c r="F21" i="16"/>
  <c r="W20" i="16"/>
  <c r="T20" i="16"/>
  <c r="Q20" i="16"/>
  <c r="N20" i="16"/>
  <c r="K20" i="16"/>
  <c r="G20" i="16"/>
  <c r="F20" i="16"/>
  <c r="W19" i="16"/>
  <c r="T19" i="16"/>
  <c r="Q19" i="16"/>
  <c r="N19" i="16"/>
  <c r="K19" i="16"/>
  <c r="G19" i="16"/>
  <c r="F19" i="16"/>
  <c r="W18" i="16"/>
  <c r="T18" i="16"/>
  <c r="Q18" i="16"/>
  <c r="N18" i="16"/>
  <c r="K18" i="16"/>
  <c r="G18" i="16"/>
  <c r="F18" i="16"/>
  <c r="W17" i="16"/>
  <c r="T17" i="16"/>
  <c r="Q17" i="16"/>
  <c r="N17" i="16"/>
  <c r="K17" i="16"/>
  <c r="G17" i="16"/>
  <c r="F17" i="16"/>
  <c r="W16" i="16"/>
  <c r="T16" i="16"/>
  <c r="Q16" i="16"/>
  <c r="N16" i="16"/>
  <c r="K16" i="16"/>
  <c r="G16" i="16"/>
  <c r="F16" i="16"/>
  <c r="W15" i="16"/>
  <c r="T15" i="16"/>
  <c r="Q15" i="16"/>
  <c r="N15" i="16"/>
  <c r="K15" i="16"/>
  <c r="G15" i="16"/>
  <c r="F15" i="16"/>
  <c r="W14" i="16"/>
  <c r="T14" i="16"/>
  <c r="Q14" i="16"/>
  <c r="N14" i="16"/>
  <c r="K14" i="16"/>
  <c r="G14" i="16"/>
  <c r="F14" i="16"/>
  <c r="W13" i="16"/>
  <c r="T13" i="16"/>
  <c r="Q13" i="16"/>
  <c r="N13" i="16"/>
  <c r="K13" i="16"/>
  <c r="G13" i="16"/>
  <c r="F13" i="16"/>
  <c r="W12" i="16"/>
  <c r="T12" i="16"/>
  <c r="Q12" i="16"/>
  <c r="N12" i="16"/>
  <c r="K12" i="16"/>
  <c r="G12" i="16"/>
  <c r="F12" i="16"/>
  <c r="W11" i="16"/>
  <c r="T11" i="16"/>
  <c r="Q11" i="16"/>
  <c r="N11" i="16"/>
  <c r="K11" i="16"/>
  <c r="G11" i="16"/>
  <c r="F11" i="16"/>
  <c r="W10" i="16"/>
  <c r="T10" i="16"/>
  <c r="Q10" i="16"/>
  <c r="N10" i="16"/>
  <c r="K10" i="16"/>
  <c r="G10" i="16"/>
  <c r="F10" i="16"/>
  <c r="W9" i="16"/>
  <c r="T9" i="16"/>
  <c r="Q9" i="16"/>
  <c r="N9" i="16"/>
  <c r="K9" i="16"/>
  <c r="G9" i="16"/>
  <c r="F9" i="16"/>
  <c r="W8" i="16"/>
  <c r="T8" i="16"/>
  <c r="Q8" i="16"/>
  <c r="N8" i="16"/>
  <c r="K8" i="16"/>
  <c r="G8" i="16"/>
  <c r="F8" i="16"/>
  <c r="W7" i="16"/>
  <c r="T7" i="16"/>
  <c r="Q7" i="16"/>
  <c r="N7" i="16"/>
  <c r="K7" i="16"/>
  <c r="G7" i="16"/>
  <c r="F7" i="16"/>
  <c r="Q6" i="16"/>
  <c r="G6" i="16"/>
  <c r="W5" i="16"/>
  <c r="T5" i="16"/>
  <c r="N5" i="16"/>
  <c r="K5" i="16"/>
  <c r="F5" i="16"/>
  <c r="F31" i="15"/>
  <c r="F30" i="15"/>
  <c r="W26" i="15"/>
  <c r="T26" i="15"/>
  <c r="Q26" i="15"/>
  <c r="N26" i="15"/>
  <c r="K26" i="15"/>
  <c r="G26" i="15"/>
  <c r="F26" i="15"/>
  <c r="W25" i="15"/>
  <c r="T25" i="15"/>
  <c r="Q25" i="15"/>
  <c r="N25" i="15"/>
  <c r="K25" i="15"/>
  <c r="G25" i="15"/>
  <c r="F25" i="15"/>
  <c r="X25" i="15" s="1"/>
  <c r="W24" i="15"/>
  <c r="T24" i="15"/>
  <c r="Q24" i="15"/>
  <c r="N24" i="15"/>
  <c r="X24" i="15" s="1"/>
  <c r="K24" i="15"/>
  <c r="G24" i="15"/>
  <c r="H24" i="15" s="1"/>
  <c r="F24" i="15"/>
  <c r="W23" i="15"/>
  <c r="T23" i="15"/>
  <c r="Q23" i="15"/>
  <c r="N23" i="15"/>
  <c r="K23" i="15"/>
  <c r="G23" i="15"/>
  <c r="F23" i="15"/>
  <c r="X23" i="15" s="1"/>
  <c r="W22" i="15"/>
  <c r="T22" i="15"/>
  <c r="Q22" i="15"/>
  <c r="N22" i="15"/>
  <c r="K22" i="15"/>
  <c r="G22" i="15"/>
  <c r="H22" i="15" s="1"/>
  <c r="F22" i="15"/>
  <c r="W21" i="15"/>
  <c r="T21" i="15"/>
  <c r="Q21" i="15"/>
  <c r="N21" i="15"/>
  <c r="K21" i="15"/>
  <c r="G21" i="15"/>
  <c r="F21" i="15"/>
  <c r="X21" i="15" s="1"/>
  <c r="W20" i="15"/>
  <c r="T20" i="15"/>
  <c r="Q20" i="15"/>
  <c r="N20" i="15"/>
  <c r="K20" i="15"/>
  <c r="G20" i="15"/>
  <c r="F20" i="15"/>
  <c r="W19" i="15"/>
  <c r="T19" i="15"/>
  <c r="Q19" i="15"/>
  <c r="N19" i="15"/>
  <c r="K19" i="15"/>
  <c r="G19" i="15"/>
  <c r="F19" i="15"/>
  <c r="X19" i="15" s="1"/>
  <c r="W18" i="15"/>
  <c r="T18" i="15"/>
  <c r="Q18" i="15"/>
  <c r="N18" i="15"/>
  <c r="K18" i="15"/>
  <c r="G18" i="15"/>
  <c r="F18" i="15"/>
  <c r="W17" i="15"/>
  <c r="T17" i="15"/>
  <c r="Q17" i="15"/>
  <c r="N17" i="15"/>
  <c r="K17" i="15"/>
  <c r="G17" i="15"/>
  <c r="F17" i="15"/>
  <c r="X17" i="15" s="1"/>
  <c r="W16" i="15"/>
  <c r="T16" i="15"/>
  <c r="Q16" i="15"/>
  <c r="N16" i="15"/>
  <c r="K16" i="15"/>
  <c r="G16" i="15"/>
  <c r="H16" i="15" s="1"/>
  <c r="F16" i="15"/>
  <c r="W15" i="15"/>
  <c r="T15" i="15"/>
  <c r="Q15" i="15"/>
  <c r="N15" i="15"/>
  <c r="K15" i="15"/>
  <c r="G15" i="15"/>
  <c r="F15" i="15"/>
  <c r="X15" i="15" s="1"/>
  <c r="W14" i="15"/>
  <c r="T14" i="15"/>
  <c r="Q14" i="15"/>
  <c r="N14" i="15"/>
  <c r="K14" i="15"/>
  <c r="G14" i="15"/>
  <c r="H14" i="15" s="1"/>
  <c r="F14" i="15"/>
  <c r="W13" i="15"/>
  <c r="T13" i="15"/>
  <c r="Q13" i="15"/>
  <c r="N13" i="15"/>
  <c r="K13" i="15"/>
  <c r="G13" i="15"/>
  <c r="F13" i="15"/>
  <c r="X13" i="15" s="1"/>
  <c r="W12" i="15"/>
  <c r="T12" i="15"/>
  <c r="Q12" i="15"/>
  <c r="N12" i="15"/>
  <c r="K12" i="15"/>
  <c r="G12" i="15"/>
  <c r="F12" i="15"/>
  <c r="W11" i="15"/>
  <c r="T11" i="15"/>
  <c r="Q11" i="15"/>
  <c r="N11" i="15"/>
  <c r="K11" i="15"/>
  <c r="G11" i="15"/>
  <c r="F11" i="15"/>
  <c r="X11" i="15" s="1"/>
  <c r="W10" i="15"/>
  <c r="T10" i="15"/>
  <c r="Q10" i="15"/>
  <c r="N10" i="15"/>
  <c r="K10" i="15"/>
  <c r="G10" i="15"/>
  <c r="H10" i="15" s="1"/>
  <c r="F10" i="15"/>
  <c r="W9" i="15"/>
  <c r="T9" i="15"/>
  <c r="Q9" i="15"/>
  <c r="N9" i="15"/>
  <c r="K9" i="15"/>
  <c r="G9" i="15"/>
  <c r="F9" i="15"/>
  <c r="X9" i="15" s="1"/>
  <c r="W8" i="15"/>
  <c r="T8" i="15"/>
  <c r="Q8" i="15"/>
  <c r="N8" i="15"/>
  <c r="K8" i="15"/>
  <c r="G8" i="15"/>
  <c r="H8" i="15" s="1"/>
  <c r="F8" i="15"/>
  <c r="W7" i="15"/>
  <c r="T7" i="15"/>
  <c r="Q7" i="15"/>
  <c r="N7" i="15"/>
  <c r="K7" i="15"/>
  <c r="G7" i="15"/>
  <c r="F7" i="15"/>
  <c r="X7" i="15" s="1"/>
  <c r="Q6" i="15"/>
  <c r="G6" i="15"/>
  <c r="H6" i="15" s="1"/>
  <c r="W5" i="15"/>
  <c r="T5" i="15"/>
  <c r="T27" i="15" s="1"/>
  <c r="N5" i="15"/>
  <c r="K5" i="15"/>
  <c r="K27" i="15" s="1"/>
  <c r="F5" i="15"/>
  <c r="H12" i="15" l="1"/>
  <c r="H18" i="15"/>
  <c r="H26" i="15"/>
  <c r="F27" i="15"/>
  <c r="W27" i="15"/>
  <c r="Q27" i="15"/>
  <c r="X8" i="15"/>
  <c r="X10" i="15"/>
  <c r="X35" i="15" s="1"/>
  <c r="X12" i="15"/>
  <c r="H13" i="15"/>
  <c r="X14" i="15"/>
  <c r="H15" i="15"/>
  <c r="X16" i="15"/>
  <c r="X18" i="15"/>
  <c r="H19" i="15"/>
  <c r="X22" i="15"/>
  <c r="X26" i="15"/>
  <c r="K27" i="16"/>
  <c r="T27" i="16"/>
  <c r="H6" i="16"/>
  <c r="X7" i="16"/>
  <c r="X9" i="16"/>
  <c r="X11" i="16"/>
  <c r="X13" i="16"/>
  <c r="X15" i="16"/>
  <c r="X17" i="16"/>
  <c r="X19" i="16"/>
  <c r="X21" i="16"/>
  <c r="X23" i="16"/>
  <c r="X25" i="16"/>
  <c r="X26" i="16"/>
  <c r="K28" i="17"/>
  <c r="T28" i="17"/>
  <c r="H6" i="17"/>
  <c r="H7" i="17"/>
  <c r="X8" i="17"/>
  <c r="H9" i="17"/>
  <c r="X10" i="17"/>
  <c r="H11" i="17"/>
  <c r="X12" i="17"/>
  <c r="H13" i="17"/>
  <c r="X14" i="17"/>
  <c r="H15" i="17"/>
  <c r="X16" i="17"/>
  <c r="X18" i="17"/>
  <c r="X20" i="17"/>
  <c r="X22" i="17"/>
  <c r="X24" i="17"/>
  <c r="X37" i="17" s="1"/>
  <c r="Y37" i="10" s="1"/>
  <c r="H25" i="17"/>
  <c r="X26" i="17"/>
  <c r="H27" i="17"/>
  <c r="F28" i="17"/>
  <c r="N28" i="17"/>
  <c r="W28" i="17"/>
  <c r="X7" i="17"/>
  <c r="Q28" i="17"/>
  <c r="H8" i="17"/>
  <c r="X9" i="17"/>
  <c r="X38" i="17" s="1"/>
  <c r="Y38" i="10" s="1"/>
  <c r="H10" i="17"/>
  <c r="X11" i="17"/>
  <c r="H12" i="17"/>
  <c r="X13" i="17"/>
  <c r="H14" i="17"/>
  <c r="X15" i="17"/>
  <c r="H16" i="17"/>
  <c r="X17" i="17"/>
  <c r="H18" i="17"/>
  <c r="X19" i="17"/>
  <c r="H20" i="17"/>
  <c r="X21" i="17"/>
  <c r="H22" i="17"/>
  <c r="X23" i="17"/>
  <c r="H24" i="17"/>
  <c r="X25" i="17"/>
  <c r="X39" i="17" s="1"/>
  <c r="Y39" i="10" s="1"/>
  <c r="H26" i="17"/>
  <c r="H8" i="16"/>
  <c r="H10" i="16"/>
  <c r="H12" i="16"/>
  <c r="H14" i="16"/>
  <c r="H16" i="16"/>
  <c r="H18" i="16"/>
  <c r="H20" i="16"/>
  <c r="H22" i="16"/>
  <c r="H24" i="16"/>
  <c r="F27" i="16"/>
  <c r="N27" i="16"/>
  <c r="W27" i="16"/>
  <c r="Q27" i="16"/>
  <c r="H7" i="16"/>
  <c r="X8" i="16"/>
  <c r="H9" i="16"/>
  <c r="X10" i="16"/>
  <c r="X38" i="16" s="1"/>
  <c r="Y38" i="9" s="1"/>
  <c r="H11" i="16"/>
  <c r="X12" i="16"/>
  <c r="X39" i="16" s="1"/>
  <c r="Y39" i="9" s="1"/>
  <c r="H13" i="16"/>
  <c r="X14" i="16"/>
  <c r="H15" i="16"/>
  <c r="X16" i="16"/>
  <c r="H17" i="16"/>
  <c r="X18" i="16"/>
  <c r="H19" i="16"/>
  <c r="X20" i="16"/>
  <c r="H21" i="16"/>
  <c r="X22" i="16"/>
  <c r="H23" i="16"/>
  <c r="X24" i="16"/>
  <c r="X37" i="16" s="1"/>
  <c r="Y37" i="9" s="1"/>
  <c r="N27" i="15"/>
  <c r="X20" i="15"/>
  <c r="H20" i="15"/>
  <c r="H7" i="15"/>
  <c r="H9" i="15"/>
  <c r="H11" i="15"/>
  <c r="X6" i="15"/>
  <c r="X6" i="16"/>
  <c r="X6" i="17"/>
  <c r="H17" i="15"/>
  <c r="H21" i="15"/>
  <c r="H23" i="15"/>
  <c r="H25" i="15"/>
  <c r="H17" i="17"/>
  <c r="H19" i="17"/>
  <c r="H21" i="17"/>
  <c r="H23" i="17"/>
  <c r="H27" i="15" l="1"/>
  <c r="H27" i="16"/>
  <c r="X36" i="17"/>
  <c r="Y36" i="10" s="1"/>
  <c r="H28" i="17"/>
  <c r="X28" i="17"/>
  <c r="U30" i="17" s="1"/>
  <c r="X35" i="17"/>
  <c r="X40" i="17" s="1"/>
  <c r="X27" i="16"/>
  <c r="U30" i="16" s="1"/>
  <c r="X35" i="16"/>
  <c r="X36" i="16"/>
  <c r="Y36" i="9" s="1"/>
  <c r="X34" i="15"/>
  <c r="X27" i="15"/>
  <c r="U30" i="15" s="1"/>
  <c r="X40" i="16" l="1"/>
  <c r="G20" i="8"/>
  <c r="G8" i="8"/>
  <c r="G21" i="8"/>
  <c r="G17" i="8"/>
  <c r="G18" i="8"/>
  <c r="G19" i="8"/>
  <c r="G22" i="8"/>
  <c r="G23" i="8"/>
  <c r="G24" i="8"/>
  <c r="G25" i="8"/>
  <c r="G16" i="8"/>
  <c r="G15" i="8"/>
  <c r="G14" i="8"/>
  <c r="G9" i="8"/>
  <c r="G10" i="8"/>
  <c r="G11" i="8"/>
  <c r="G12" i="8"/>
  <c r="G13" i="8"/>
  <c r="G7" i="8"/>
  <c r="G6" i="8"/>
  <c r="G26" i="8"/>
  <c r="G25" i="10"/>
  <c r="G26" i="10"/>
  <c r="G27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7" i="9"/>
  <c r="G6" i="9"/>
  <c r="W27" i="10" l="1"/>
  <c r="T27" i="10"/>
  <c r="N27" i="10"/>
  <c r="K27" i="10"/>
  <c r="F27" i="10"/>
  <c r="H27" i="10" s="1"/>
  <c r="W26" i="10" l="1"/>
  <c r="T26" i="10"/>
  <c r="Q26" i="10"/>
  <c r="N26" i="10"/>
  <c r="K26" i="10"/>
  <c r="F26" i="10"/>
  <c r="W25" i="10"/>
  <c r="T25" i="10"/>
  <c r="Q25" i="10"/>
  <c r="N25" i="10"/>
  <c r="K25" i="10"/>
  <c r="F25" i="10"/>
  <c r="W24" i="10"/>
  <c r="T24" i="10"/>
  <c r="Q24" i="10"/>
  <c r="N24" i="10"/>
  <c r="K24" i="10"/>
  <c r="F24" i="10"/>
  <c r="W23" i="10"/>
  <c r="T23" i="10"/>
  <c r="Q23" i="10"/>
  <c r="N23" i="10"/>
  <c r="K23" i="10"/>
  <c r="F23" i="10"/>
  <c r="W22" i="10"/>
  <c r="T22" i="10"/>
  <c r="Q22" i="10"/>
  <c r="N22" i="10"/>
  <c r="K22" i="10"/>
  <c r="F22" i="10"/>
  <c r="W21" i="10"/>
  <c r="T21" i="10"/>
  <c r="Q21" i="10"/>
  <c r="N21" i="10"/>
  <c r="K21" i="10"/>
  <c r="F21" i="10"/>
  <c r="W20" i="10"/>
  <c r="T20" i="10"/>
  <c r="Q20" i="10"/>
  <c r="N20" i="10"/>
  <c r="K20" i="10"/>
  <c r="F20" i="10"/>
  <c r="W19" i="10"/>
  <c r="T19" i="10"/>
  <c r="Q19" i="10"/>
  <c r="N19" i="10"/>
  <c r="K19" i="10"/>
  <c r="F19" i="10"/>
  <c r="W18" i="10"/>
  <c r="T18" i="10"/>
  <c r="Q18" i="10"/>
  <c r="N18" i="10"/>
  <c r="K18" i="10"/>
  <c r="F18" i="10"/>
  <c r="W17" i="10"/>
  <c r="T17" i="10"/>
  <c r="Q17" i="10"/>
  <c r="N17" i="10"/>
  <c r="K17" i="10"/>
  <c r="F17" i="10"/>
  <c r="W16" i="10"/>
  <c r="T16" i="10"/>
  <c r="Q16" i="10"/>
  <c r="N16" i="10"/>
  <c r="K16" i="10"/>
  <c r="F16" i="10"/>
  <c r="W15" i="10"/>
  <c r="T15" i="10"/>
  <c r="Q15" i="10"/>
  <c r="N15" i="10"/>
  <c r="K15" i="10"/>
  <c r="F15" i="10"/>
  <c r="W14" i="10"/>
  <c r="T14" i="10"/>
  <c r="Q14" i="10"/>
  <c r="N14" i="10"/>
  <c r="K14" i="10"/>
  <c r="F14" i="10"/>
  <c r="W13" i="10"/>
  <c r="T13" i="10"/>
  <c r="Q13" i="10"/>
  <c r="N13" i="10"/>
  <c r="K13" i="10"/>
  <c r="F13" i="10"/>
  <c r="W12" i="10"/>
  <c r="T12" i="10"/>
  <c r="Q12" i="10"/>
  <c r="N12" i="10"/>
  <c r="K12" i="10"/>
  <c r="F12" i="10"/>
  <c r="W11" i="10"/>
  <c r="T11" i="10"/>
  <c r="Q11" i="10"/>
  <c r="N11" i="10"/>
  <c r="K11" i="10"/>
  <c r="F11" i="10"/>
  <c r="W10" i="10"/>
  <c r="T10" i="10"/>
  <c r="Q10" i="10"/>
  <c r="N10" i="10"/>
  <c r="K10" i="10"/>
  <c r="F10" i="10"/>
  <c r="W9" i="10"/>
  <c r="T9" i="10"/>
  <c r="Q9" i="10"/>
  <c r="N9" i="10"/>
  <c r="K9" i="10"/>
  <c r="F9" i="10"/>
  <c r="W8" i="10"/>
  <c r="T8" i="10"/>
  <c r="Q8" i="10"/>
  <c r="N8" i="10"/>
  <c r="K8" i="10"/>
  <c r="F8" i="10"/>
  <c r="W7" i="10"/>
  <c r="T7" i="10"/>
  <c r="Q7" i="10"/>
  <c r="N7" i="10"/>
  <c r="K7" i="10"/>
  <c r="F7" i="10"/>
  <c r="W5" i="10"/>
  <c r="W28" i="10" s="1"/>
  <c r="T5" i="10"/>
  <c r="N5" i="10"/>
  <c r="K5" i="10"/>
  <c r="F5" i="10"/>
  <c r="H6" i="10" s="1"/>
  <c r="X8" i="10" l="1"/>
  <c r="X10" i="10"/>
  <c r="X12" i="10"/>
  <c r="X14" i="10"/>
  <c r="X16" i="10"/>
  <c r="X26" i="10"/>
  <c r="H7" i="10"/>
  <c r="H8" i="10"/>
  <c r="X9" i="10"/>
  <c r="X38" i="10" s="1"/>
  <c r="H9" i="10"/>
  <c r="H10" i="10"/>
  <c r="X11" i="10"/>
  <c r="H11" i="10"/>
  <c r="H12" i="10"/>
  <c r="X13" i="10"/>
  <c r="H13" i="10"/>
  <c r="H14" i="10"/>
  <c r="X15" i="10"/>
  <c r="H15" i="10"/>
  <c r="H16" i="10"/>
  <c r="X17" i="10"/>
  <c r="H17" i="10"/>
  <c r="H18" i="10"/>
  <c r="X19" i="10"/>
  <c r="H19" i="10"/>
  <c r="H20" i="10"/>
  <c r="X21" i="10"/>
  <c r="H21" i="10"/>
  <c r="H22" i="10"/>
  <c r="H23" i="10"/>
  <c r="H24" i="10"/>
  <c r="H25" i="10"/>
  <c r="H26" i="10"/>
  <c r="K28" i="10"/>
  <c r="F28" i="10"/>
  <c r="N28" i="10"/>
  <c r="X24" i="10"/>
  <c r="X37" i="10" s="1"/>
  <c r="Q28" i="10"/>
  <c r="X18" i="10"/>
  <c r="X20" i="10"/>
  <c r="X22" i="10"/>
  <c r="X23" i="10"/>
  <c r="T28" i="10"/>
  <c r="X25" i="10"/>
  <c r="X6" i="10"/>
  <c r="X35" i="10" s="1"/>
  <c r="Y35" i="10" s="1"/>
  <c r="T5" i="9"/>
  <c r="F31" i="9"/>
  <c r="W26" i="9"/>
  <c r="T26" i="9"/>
  <c r="Q26" i="9"/>
  <c r="N26" i="9"/>
  <c r="K26" i="9"/>
  <c r="F26" i="9"/>
  <c r="W25" i="9"/>
  <c r="T25" i="9"/>
  <c r="Q25" i="9"/>
  <c r="N25" i="9"/>
  <c r="K25" i="9"/>
  <c r="F25" i="9"/>
  <c r="W24" i="9"/>
  <c r="T24" i="9"/>
  <c r="Q24" i="9"/>
  <c r="N24" i="9"/>
  <c r="K24" i="9"/>
  <c r="F24" i="9"/>
  <c r="W23" i="9"/>
  <c r="T23" i="9"/>
  <c r="Q23" i="9"/>
  <c r="N23" i="9"/>
  <c r="K23" i="9"/>
  <c r="F23" i="9"/>
  <c r="W22" i="9"/>
  <c r="T22" i="9"/>
  <c r="Q22" i="9"/>
  <c r="N22" i="9"/>
  <c r="K22" i="9"/>
  <c r="F22" i="9"/>
  <c r="W21" i="9"/>
  <c r="T21" i="9"/>
  <c r="Q21" i="9"/>
  <c r="N21" i="9"/>
  <c r="K21" i="9"/>
  <c r="F21" i="9"/>
  <c r="W20" i="9"/>
  <c r="T20" i="9"/>
  <c r="Q20" i="9"/>
  <c r="N20" i="9"/>
  <c r="K20" i="9"/>
  <c r="F20" i="9"/>
  <c r="W19" i="9"/>
  <c r="T19" i="9"/>
  <c r="Q19" i="9"/>
  <c r="N19" i="9"/>
  <c r="K19" i="9"/>
  <c r="F19" i="9"/>
  <c r="W18" i="9"/>
  <c r="T18" i="9"/>
  <c r="Q18" i="9"/>
  <c r="N18" i="9"/>
  <c r="K18" i="9"/>
  <c r="F18" i="9"/>
  <c r="W17" i="9"/>
  <c r="T17" i="9"/>
  <c r="Q17" i="9"/>
  <c r="N17" i="9"/>
  <c r="K17" i="9"/>
  <c r="F17" i="9"/>
  <c r="W16" i="9"/>
  <c r="T16" i="9"/>
  <c r="Q16" i="9"/>
  <c r="N16" i="9"/>
  <c r="K16" i="9"/>
  <c r="F16" i="9"/>
  <c r="W15" i="9"/>
  <c r="T15" i="9"/>
  <c r="Q15" i="9"/>
  <c r="N15" i="9"/>
  <c r="K15" i="9"/>
  <c r="F15" i="9"/>
  <c r="W14" i="9"/>
  <c r="T14" i="9"/>
  <c r="Q14" i="9"/>
  <c r="N14" i="9"/>
  <c r="K14" i="9"/>
  <c r="F14" i="9"/>
  <c r="W13" i="9"/>
  <c r="T13" i="9"/>
  <c r="Q13" i="9"/>
  <c r="N13" i="9"/>
  <c r="K13" i="9"/>
  <c r="F13" i="9"/>
  <c r="W12" i="9"/>
  <c r="T12" i="9"/>
  <c r="Q12" i="9"/>
  <c r="N12" i="9"/>
  <c r="K12" i="9"/>
  <c r="F12" i="9"/>
  <c r="W11" i="9"/>
  <c r="T11" i="9"/>
  <c r="Q11" i="9"/>
  <c r="N11" i="9"/>
  <c r="K11" i="9"/>
  <c r="F11" i="9"/>
  <c r="W10" i="9"/>
  <c r="T10" i="9"/>
  <c r="Q10" i="9"/>
  <c r="N10" i="9"/>
  <c r="K10" i="9"/>
  <c r="F10" i="9"/>
  <c r="W9" i="9"/>
  <c r="T9" i="9"/>
  <c r="Q9" i="9"/>
  <c r="N9" i="9"/>
  <c r="K9" i="9"/>
  <c r="F9" i="9"/>
  <c r="W8" i="9"/>
  <c r="T8" i="9"/>
  <c r="Q8" i="9"/>
  <c r="N8" i="9"/>
  <c r="K8" i="9"/>
  <c r="F8" i="9"/>
  <c r="W7" i="9"/>
  <c r="T7" i="9"/>
  <c r="Q7" i="9"/>
  <c r="N7" i="9"/>
  <c r="K7" i="9"/>
  <c r="F7" i="9"/>
  <c r="Q6" i="9"/>
  <c r="W5" i="9"/>
  <c r="N5" i="9"/>
  <c r="K5" i="9"/>
  <c r="F5" i="9"/>
  <c r="H6" i="9" s="1"/>
  <c r="X36" i="10" l="1"/>
  <c r="X39" i="10"/>
  <c r="H28" i="10"/>
  <c r="X28" i="10"/>
  <c r="U30" i="10" s="1"/>
  <c r="K27" i="9"/>
  <c r="W27" i="9"/>
  <c r="X7" i="9"/>
  <c r="H8" i="9"/>
  <c r="H7" i="9"/>
  <c r="X8" i="9"/>
  <c r="X9" i="9"/>
  <c r="H10" i="9"/>
  <c r="H9" i="9"/>
  <c r="X10" i="9"/>
  <c r="X11" i="9"/>
  <c r="H12" i="9"/>
  <c r="H11" i="9"/>
  <c r="X12" i="9"/>
  <c r="X39" i="9" s="1"/>
  <c r="X13" i="9"/>
  <c r="H14" i="9"/>
  <c r="H13" i="9"/>
  <c r="X14" i="9"/>
  <c r="X15" i="9"/>
  <c r="H16" i="9"/>
  <c r="H15" i="9"/>
  <c r="X16" i="9"/>
  <c r="H18" i="9"/>
  <c r="H17" i="9"/>
  <c r="H20" i="9"/>
  <c r="H19" i="9"/>
  <c r="H22" i="9"/>
  <c r="H21" i="9"/>
  <c r="H24" i="9"/>
  <c r="H23" i="9"/>
  <c r="N27" i="9"/>
  <c r="F27" i="9"/>
  <c r="X26" i="9"/>
  <c r="T27" i="9"/>
  <c r="Q27" i="9"/>
  <c r="X17" i="9"/>
  <c r="X18" i="9"/>
  <c r="X19" i="9"/>
  <c r="X20" i="9"/>
  <c r="X21" i="9"/>
  <c r="X22" i="9"/>
  <c r="X23" i="9"/>
  <c r="X24" i="9"/>
  <c r="X37" i="9" s="1"/>
  <c r="X25" i="9"/>
  <c r="X6" i="9"/>
  <c r="F31" i="8"/>
  <c r="F32" i="8"/>
  <c r="X40" i="10" l="1"/>
  <c r="Y40" i="10" s="1"/>
  <c r="X38" i="9"/>
  <c r="X36" i="9"/>
  <c r="X35" i="9"/>
  <c r="Y35" i="9" s="1"/>
  <c r="H27" i="9"/>
  <c r="X27" i="9"/>
  <c r="U30" i="9" s="1"/>
  <c r="W26" i="8"/>
  <c r="T26" i="8"/>
  <c r="Q26" i="8"/>
  <c r="N26" i="8"/>
  <c r="K26" i="8"/>
  <c r="F26" i="8"/>
  <c r="W25" i="8"/>
  <c r="T25" i="8"/>
  <c r="Q25" i="8"/>
  <c r="N25" i="8"/>
  <c r="K25" i="8"/>
  <c r="F25" i="8"/>
  <c r="W24" i="8"/>
  <c r="T24" i="8"/>
  <c r="Q24" i="8"/>
  <c r="N24" i="8"/>
  <c r="K24" i="8"/>
  <c r="F24" i="8"/>
  <c r="H24" i="8" s="1"/>
  <c r="W23" i="8"/>
  <c r="T23" i="8"/>
  <c r="Q23" i="8"/>
  <c r="N23" i="8"/>
  <c r="K23" i="8"/>
  <c r="F23" i="8"/>
  <c r="H23" i="8" s="1"/>
  <c r="W22" i="8"/>
  <c r="T22" i="8"/>
  <c r="Q22" i="8"/>
  <c r="N22" i="8"/>
  <c r="K22" i="8"/>
  <c r="F22" i="8"/>
  <c r="H22" i="8" s="1"/>
  <c r="W21" i="8"/>
  <c r="T21" i="8"/>
  <c r="Q21" i="8"/>
  <c r="N21" i="8"/>
  <c r="K21" i="8"/>
  <c r="F21" i="8"/>
  <c r="H21" i="8" s="1"/>
  <c r="W20" i="8"/>
  <c r="T20" i="8"/>
  <c r="Q20" i="8"/>
  <c r="N20" i="8"/>
  <c r="K20" i="8"/>
  <c r="F20" i="8"/>
  <c r="H20" i="8" s="1"/>
  <c r="W19" i="8"/>
  <c r="T19" i="8"/>
  <c r="Q19" i="8"/>
  <c r="N19" i="8"/>
  <c r="K19" i="8"/>
  <c r="F19" i="8"/>
  <c r="H19" i="8" s="1"/>
  <c r="W18" i="8"/>
  <c r="T18" i="8"/>
  <c r="Q18" i="8"/>
  <c r="N18" i="8"/>
  <c r="K18" i="8"/>
  <c r="F18" i="8"/>
  <c r="W17" i="8"/>
  <c r="T17" i="8"/>
  <c r="Q17" i="8"/>
  <c r="N17" i="8"/>
  <c r="K17" i="8"/>
  <c r="F17" i="8"/>
  <c r="W16" i="8"/>
  <c r="T16" i="8"/>
  <c r="Q16" i="8"/>
  <c r="N16" i="8"/>
  <c r="K16" i="8"/>
  <c r="F16" i="8"/>
  <c r="H16" i="8" s="1"/>
  <c r="W15" i="8"/>
  <c r="T15" i="8"/>
  <c r="Q15" i="8"/>
  <c r="N15" i="8"/>
  <c r="K15" i="8"/>
  <c r="F15" i="8"/>
  <c r="H15" i="8" s="1"/>
  <c r="W14" i="8"/>
  <c r="T14" i="8"/>
  <c r="Q14" i="8"/>
  <c r="N14" i="8"/>
  <c r="K14" i="8"/>
  <c r="F14" i="8"/>
  <c r="H14" i="8" s="1"/>
  <c r="W13" i="8"/>
  <c r="T13" i="8"/>
  <c r="Q13" i="8"/>
  <c r="N13" i="8"/>
  <c r="K13" i="8"/>
  <c r="F13" i="8"/>
  <c r="H13" i="8" s="1"/>
  <c r="W12" i="8"/>
  <c r="T12" i="8"/>
  <c r="Q12" i="8"/>
  <c r="N12" i="8"/>
  <c r="K12" i="8"/>
  <c r="F12" i="8"/>
  <c r="W11" i="8"/>
  <c r="T11" i="8"/>
  <c r="Q11" i="8"/>
  <c r="N11" i="8"/>
  <c r="K11" i="8"/>
  <c r="F11" i="8"/>
  <c r="W10" i="8"/>
  <c r="T10" i="8"/>
  <c r="Q10" i="8"/>
  <c r="N10" i="8"/>
  <c r="K10" i="8"/>
  <c r="F10" i="8"/>
  <c r="H10" i="8" s="1"/>
  <c r="W9" i="8"/>
  <c r="T9" i="8"/>
  <c r="Q9" i="8"/>
  <c r="N9" i="8"/>
  <c r="K9" i="8"/>
  <c r="F9" i="8"/>
  <c r="H9" i="8" s="1"/>
  <c r="W8" i="8"/>
  <c r="T8" i="8"/>
  <c r="Q8" i="8"/>
  <c r="N8" i="8"/>
  <c r="K8" i="8"/>
  <c r="F8" i="8"/>
  <c r="H8" i="8" s="1"/>
  <c r="F7" i="8"/>
  <c r="H7" i="8" s="1"/>
  <c r="K7" i="8"/>
  <c r="N7" i="8"/>
  <c r="Q7" i="8"/>
  <c r="T7" i="8"/>
  <c r="W7" i="8"/>
  <c r="F5" i="8"/>
  <c r="H6" i="8" s="1"/>
  <c r="K5" i="8"/>
  <c r="N5" i="8"/>
  <c r="T5" i="8"/>
  <c r="W5" i="8"/>
  <c r="Q6" i="8"/>
  <c r="X40" i="9" l="1"/>
  <c r="Y40" i="9" s="1"/>
  <c r="H12" i="8"/>
  <c r="H11" i="8"/>
  <c r="H17" i="8"/>
  <c r="H18" i="8"/>
  <c r="H25" i="8"/>
  <c r="H26" i="8"/>
  <c r="X7" i="8"/>
  <c r="X8" i="8"/>
  <c r="X9" i="8"/>
  <c r="X36" i="8" s="1"/>
  <c r="Y36" i="8" s="1"/>
  <c r="X10" i="8"/>
  <c r="X11" i="8"/>
  <c r="X12" i="8"/>
  <c r="X13" i="8"/>
  <c r="X14" i="8"/>
  <c r="X15" i="8"/>
  <c r="X16" i="8"/>
  <c r="X17" i="8"/>
  <c r="X19" i="8"/>
  <c r="X21" i="8"/>
  <c r="X22" i="8"/>
  <c r="X25" i="8"/>
  <c r="X26" i="8"/>
  <c r="X23" i="8"/>
  <c r="X18" i="8"/>
  <c r="Q27" i="8"/>
  <c r="X24" i="8"/>
  <c r="K27" i="8"/>
  <c r="W27" i="8"/>
  <c r="N27" i="8"/>
  <c r="T27" i="8"/>
  <c r="F27" i="8"/>
  <c r="X6" i="8"/>
  <c r="X35" i="8" s="1"/>
  <c r="Y35" i="8" s="1"/>
  <c r="Y37" i="8" s="1"/>
  <c r="H27" i="8" l="1"/>
  <c r="X27" i="8"/>
  <c r="U31" i="8" s="1"/>
</calcChain>
</file>

<file path=xl/sharedStrings.xml><?xml version="1.0" encoding="utf-8"?>
<sst xmlns="http://schemas.openxmlformats.org/spreadsheetml/2006/main" count="351" uniqueCount="66">
  <si>
    <t>就労継続Ｂ</t>
    <rPh sb="0" eb="2">
      <t>シュウロウ</t>
    </rPh>
    <rPh sb="2" eb="4">
      <t>ケイゾク</t>
    </rPh>
    <phoneticPr fontId="2"/>
  </si>
  <si>
    <t>就継初期</t>
    <rPh sb="0" eb="1">
      <t>ツ</t>
    </rPh>
    <rPh sb="1" eb="2">
      <t>ツ</t>
    </rPh>
    <rPh sb="2" eb="4">
      <t>ショキ</t>
    </rPh>
    <phoneticPr fontId="2"/>
  </si>
  <si>
    <t>欠席対応</t>
    <rPh sb="0" eb="2">
      <t>ケッセキ</t>
    </rPh>
    <rPh sb="2" eb="4">
      <t>タイオウ</t>
    </rPh>
    <phoneticPr fontId="2"/>
  </si>
  <si>
    <t>就労外</t>
    <rPh sb="0" eb="2">
      <t>シュウロウ</t>
    </rPh>
    <rPh sb="2" eb="3">
      <t>ガイ</t>
    </rPh>
    <phoneticPr fontId="2"/>
  </si>
  <si>
    <t>利用者名</t>
    <rPh sb="0" eb="3">
      <t>リヨウシャ</t>
    </rPh>
    <rPh sb="3" eb="4">
      <t>メイ</t>
    </rPh>
    <phoneticPr fontId="2"/>
  </si>
  <si>
    <t>日数</t>
    <rPh sb="0" eb="2">
      <t>ニッスウ</t>
    </rPh>
    <phoneticPr fontId="2"/>
  </si>
  <si>
    <t>合計</t>
    <rPh sb="0" eb="2">
      <t>ゴウケイ</t>
    </rPh>
    <phoneticPr fontId="2"/>
  </si>
  <si>
    <t>平成27年度</t>
    <rPh sb="0" eb="2">
      <t>ヘイセイ</t>
    </rPh>
    <rPh sb="4" eb="5">
      <t>ネン</t>
    </rPh>
    <rPh sb="5" eb="6">
      <t>ド</t>
    </rPh>
    <phoneticPr fontId="2"/>
  </si>
  <si>
    <t>訪問支援特別加算</t>
    <rPh sb="0" eb="2">
      <t>ホウモン</t>
    </rPh>
    <rPh sb="2" eb="4">
      <t>シエン</t>
    </rPh>
    <rPh sb="4" eb="6">
      <t>トクベツ</t>
    </rPh>
    <rPh sb="6" eb="8">
      <t>カサン</t>
    </rPh>
    <phoneticPr fontId="2"/>
  </si>
  <si>
    <t>山内　龍一</t>
    <rPh sb="0" eb="2">
      <t>ヤマウチ</t>
    </rPh>
    <rPh sb="3" eb="5">
      <t>リュウイチ</t>
    </rPh>
    <phoneticPr fontId="2"/>
  </si>
  <si>
    <t>山下　恵美子</t>
    <rPh sb="0" eb="2">
      <t>ヤマシタ</t>
    </rPh>
    <rPh sb="3" eb="6">
      <t>エミコ</t>
    </rPh>
    <phoneticPr fontId="2"/>
  </si>
  <si>
    <t>川上　智樹</t>
    <rPh sb="0" eb="2">
      <t>カワウエ</t>
    </rPh>
    <rPh sb="3" eb="5">
      <t>トモキ</t>
    </rPh>
    <phoneticPr fontId="2"/>
  </si>
  <si>
    <t>上松　正和</t>
    <rPh sb="0" eb="2">
      <t>ウエマツ</t>
    </rPh>
    <rPh sb="3" eb="5">
      <t>マサカズ</t>
    </rPh>
    <phoneticPr fontId="2"/>
  </si>
  <si>
    <t>上松　浩二</t>
    <rPh sb="0" eb="2">
      <t>ウエマツ</t>
    </rPh>
    <rPh sb="3" eb="5">
      <t>コウジ</t>
    </rPh>
    <phoneticPr fontId="2"/>
  </si>
  <si>
    <t>若林　哲也</t>
    <rPh sb="0" eb="2">
      <t>ワカバヤシ</t>
    </rPh>
    <rPh sb="3" eb="4">
      <t>テツ</t>
    </rPh>
    <rPh sb="4" eb="5">
      <t>ヤ</t>
    </rPh>
    <phoneticPr fontId="2"/>
  </si>
  <si>
    <t>柏木　憲太</t>
    <rPh sb="0" eb="2">
      <t>カシワギ</t>
    </rPh>
    <rPh sb="3" eb="5">
      <t>ケンタ</t>
    </rPh>
    <phoneticPr fontId="2"/>
  </si>
  <si>
    <t>大元　裕美子</t>
    <rPh sb="0" eb="2">
      <t>オオモト</t>
    </rPh>
    <rPh sb="3" eb="6">
      <t>ユミコ</t>
    </rPh>
    <phoneticPr fontId="2"/>
  </si>
  <si>
    <t>葛籠　紗葵</t>
    <rPh sb="0" eb="2">
      <t>ツヅラ</t>
    </rPh>
    <rPh sb="3" eb="4">
      <t>サ</t>
    </rPh>
    <rPh sb="4" eb="5">
      <t>キ</t>
    </rPh>
    <phoneticPr fontId="2"/>
  </si>
  <si>
    <t>倉谷　円</t>
    <rPh sb="0" eb="2">
      <t>クラタニ</t>
    </rPh>
    <rPh sb="3" eb="4">
      <t>マドカ</t>
    </rPh>
    <phoneticPr fontId="2"/>
  </si>
  <si>
    <t>佐藤　皓喜</t>
    <rPh sb="0" eb="2">
      <t>サトウ</t>
    </rPh>
    <rPh sb="3" eb="4">
      <t>コウ</t>
    </rPh>
    <rPh sb="4" eb="5">
      <t>キ</t>
    </rPh>
    <phoneticPr fontId="2"/>
  </si>
  <si>
    <t>神田　幸弘</t>
    <rPh sb="0" eb="1">
      <t>カミ</t>
    </rPh>
    <rPh sb="1" eb="2">
      <t>タ</t>
    </rPh>
    <rPh sb="3" eb="5">
      <t>ユキヒロ</t>
    </rPh>
    <phoneticPr fontId="2"/>
  </si>
  <si>
    <t>弁当代</t>
    <rPh sb="0" eb="2">
      <t>ベントウ</t>
    </rPh>
    <rPh sb="2" eb="3">
      <t>ダイ</t>
    </rPh>
    <phoneticPr fontId="2"/>
  </si>
  <si>
    <t>櫻武　隆一</t>
    <rPh sb="0" eb="1">
      <t>サクラ</t>
    </rPh>
    <rPh sb="1" eb="2">
      <t>ブ</t>
    </rPh>
    <rPh sb="3" eb="5">
      <t>リュウイチ</t>
    </rPh>
    <phoneticPr fontId="2"/>
  </si>
  <si>
    <t>山内　雄司</t>
    <rPh sb="0" eb="2">
      <t>ヤマウチ</t>
    </rPh>
    <rPh sb="3" eb="5">
      <t>ユウジ</t>
    </rPh>
    <phoneticPr fontId="2"/>
  </si>
  <si>
    <t>岡田　直明</t>
    <rPh sb="0" eb="2">
      <t>オカダ</t>
    </rPh>
    <rPh sb="3" eb="5">
      <t>ナオアキ</t>
    </rPh>
    <phoneticPr fontId="2"/>
  </si>
  <si>
    <t>5月分</t>
    <rPh sb="1" eb="2">
      <t>ガツ</t>
    </rPh>
    <rPh sb="2" eb="3">
      <t>ブン</t>
    </rPh>
    <phoneticPr fontId="2"/>
  </si>
  <si>
    <t>吉原　祐平　</t>
    <rPh sb="0" eb="2">
      <t>ヨシハラ</t>
    </rPh>
    <rPh sb="3" eb="5">
      <t>ユウヘイ</t>
    </rPh>
    <phoneticPr fontId="2"/>
  </si>
  <si>
    <t>○櫻武　隆一</t>
    <rPh sb="1" eb="2">
      <t>サクラ</t>
    </rPh>
    <rPh sb="2" eb="3">
      <t>ブ</t>
    </rPh>
    <rPh sb="4" eb="6">
      <t>リュウイチ</t>
    </rPh>
    <phoneticPr fontId="2"/>
  </si>
  <si>
    <t>宇江　寿江</t>
    <rPh sb="0" eb="1">
      <t>ウ</t>
    </rPh>
    <rPh sb="1" eb="2">
      <t>エ</t>
    </rPh>
    <rPh sb="3" eb="4">
      <t>コトブキ</t>
    </rPh>
    <rPh sb="4" eb="5">
      <t>エ</t>
    </rPh>
    <phoneticPr fontId="2"/>
  </si>
  <si>
    <t>葛籠紗葵　３月請求が返戻になっていた為、今月請求。</t>
    <rPh sb="0" eb="2">
      <t>ツヅラ</t>
    </rPh>
    <rPh sb="2" eb="3">
      <t>サ</t>
    </rPh>
    <rPh sb="3" eb="4">
      <t>キ</t>
    </rPh>
    <rPh sb="6" eb="7">
      <t>ガツ</t>
    </rPh>
    <rPh sb="7" eb="9">
      <t>セイキュウ</t>
    </rPh>
    <rPh sb="10" eb="12">
      <t>ヘンレイ</t>
    </rPh>
    <rPh sb="18" eb="19">
      <t>タメ</t>
    </rPh>
    <rPh sb="20" eb="22">
      <t>コンゲツ</t>
    </rPh>
    <rPh sb="22" eb="24">
      <t>セイキュウ</t>
    </rPh>
    <phoneticPr fontId="2"/>
  </si>
  <si>
    <t>4神田　幸弘</t>
    <rPh sb="1" eb="2">
      <t>カミ</t>
    </rPh>
    <rPh sb="2" eb="3">
      <t>デン</t>
    </rPh>
    <rPh sb="4" eb="6">
      <t>ユキヒロ</t>
    </rPh>
    <phoneticPr fontId="2"/>
  </si>
  <si>
    <t>3葛籠　紗葵</t>
    <rPh sb="1" eb="3">
      <t>ツヅラ</t>
    </rPh>
    <rPh sb="4" eb="5">
      <t>サ</t>
    </rPh>
    <rPh sb="5" eb="6">
      <t>キ</t>
    </rPh>
    <phoneticPr fontId="2"/>
  </si>
  <si>
    <t>瀬戸　</t>
    <rPh sb="0" eb="2">
      <t>セト</t>
    </rPh>
    <phoneticPr fontId="2"/>
  </si>
  <si>
    <t>4山内　龍一</t>
    <rPh sb="1" eb="3">
      <t>ヤマウチ</t>
    </rPh>
    <rPh sb="4" eb="5">
      <t>リュウ</t>
    </rPh>
    <rPh sb="5" eb="6">
      <t>イチ</t>
    </rPh>
    <phoneticPr fontId="2"/>
  </si>
  <si>
    <t>柏木憲太　受給者証の更新の遅れがある為、来月５・６月で請求</t>
    <rPh sb="0" eb="2">
      <t>カシワギ</t>
    </rPh>
    <rPh sb="2" eb="4">
      <t>ケンタ</t>
    </rPh>
    <rPh sb="5" eb="7">
      <t>ジュキュウ</t>
    </rPh>
    <rPh sb="7" eb="8">
      <t>シャ</t>
    </rPh>
    <rPh sb="8" eb="9">
      <t>ショウ</t>
    </rPh>
    <rPh sb="10" eb="12">
      <t>コウシン</t>
    </rPh>
    <rPh sb="13" eb="14">
      <t>オク</t>
    </rPh>
    <rPh sb="18" eb="19">
      <t>タメ</t>
    </rPh>
    <rPh sb="20" eb="22">
      <t>ライゲツ</t>
    </rPh>
    <rPh sb="25" eb="26">
      <t>ガツ</t>
    </rPh>
    <rPh sb="27" eb="29">
      <t>セイキュウ</t>
    </rPh>
    <phoneticPr fontId="2"/>
  </si>
  <si>
    <t>山内龍一　4月再請求</t>
    <rPh sb="0" eb="2">
      <t>ヤマウチ</t>
    </rPh>
    <rPh sb="2" eb="4">
      <t>リュウイチ</t>
    </rPh>
    <rPh sb="6" eb="7">
      <t>ガツ</t>
    </rPh>
    <rPh sb="7" eb="10">
      <t>サイセイキュウ</t>
    </rPh>
    <phoneticPr fontId="2"/>
  </si>
  <si>
    <t>鹿室　泰洋</t>
    <rPh sb="0" eb="2">
      <t>カナムロ</t>
    </rPh>
    <rPh sb="3" eb="4">
      <t>タイ</t>
    </rPh>
    <rPh sb="4" eb="5">
      <t>ヨウ</t>
    </rPh>
    <phoneticPr fontId="2"/>
  </si>
  <si>
    <t>神田　幸弘</t>
    <rPh sb="0" eb="1">
      <t>ジン</t>
    </rPh>
    <rPh sb="1" eb="2">
      <t>デン</t>
    </rPh>
    <rPh sb="3" eb="5">
      <t>ユキヒロ</t>
    </rPh>
    <phoneticPr fontId="2"/>
  </si>
  <si>
    <t>鹿室　泰洋</t>
    <rPh sb="0" eb="1">
      <t>シカ</t>
    </rPh>
    <rPh sb="1" eb="2">
      <t>ムロ</t>
    </rPh>
    <rPh sb="3" eb="4">
      <t>タイ</t>
    </rPh>
    <rPh sb="4" eb="5">
      <t>ヨウ</t>
    </rPh>
    <phoneticPr fontId="2"/>
  </si>
  <si>
    <t>志並　智美</t>
    <rPh sb="0" eb="1">
      <t>シ</t>
    </rPh>
    <rPh sb="1" eb="2">
      <t>ナミ</t>
    </rPh>
    <rPh sb="3" eb="5">
      <t>トモミ</t>
    </rPh>
    <phoneticPr fontId="2"/>
  </si>
  <si>
    <t>送迎加算</t>
    <rPh sb="0" eb="2">
      <t>ソウゲイ</t>
    </rPh>
    <rPh sb="2" eb="4">
      <t>カサン</t>
    </rPh>
    <phoneticPr fontId="2"/>
  </si>
  <si>
    <t>吉岡　一夫</t>
    <rPh sb="0" eb="2">
      <t>ヨシオカ</t>
    </rPh>
    <rPh sb="3" eb="5">
      <t>カズオ</t>
    </rPh>
    <phoneticPr fontId="2"/>
  </si>
  <si>
    <t>6月分</t>
    <rPh sb="1" eb="2">
      <t>ガツ</t>
    </rPh>
    <rPh sb="2" eb="3">
      <t>ブン</t>
    </rPh>
    <phoneticPr fontId="2"/>
  </si>
  <si>
    <t>7月分</t>
    <rPh sb="1" eb="2">
      <t>ガツ</t>
    </rPh>
    <rPh sb="2" eb="3">
      <t>ブン</t>
    </rPh>
    <phoneticPr fontId="2"/>
  </si>
  <si>
    <t>仁井　諭</t>
    <rPh sb="0" eb="1">
      <t>ニ</t>
    </rPh>
    <rPh sb="1" eb="2">
      <t>イ</t>
    </rPh>
    <rPh sb="3" eb="4">
      <t>サトル</t>
    </rPh>
    <phoneticPr fontId="2"/>
  </si>
  <si>
    <t xml:space="preserve"> 林　　命</t>
    <rPh sb="1" eb="2">
      <t>ハヤシ</t>
    </rPh>
    <rPh sb="4" eb="5">
      <t>ミコト</t>
    </rPh>
    <phoneticPr fontId="2"/>
  </si>
  <si>
    <t>（6月）吉岡</t>
    <rPh sb="2" eb="3">
      <t>ガツ</t>
    </rPh>
    <rPh sb="4" eb="6">
      <t>ヨシオカ</t>
    </rPh>
    <phoneticPr fontId="2"/>
  </si>
  <si>
    <t>福山</t>
    <rPh sb="0" eb="2">
      <t>フクヤマ</t>
    </rPh>
    <phoneticPr fontId="2"/>
  </si>
  <si>
    <t>尾道</t>
    <rPh sb="0" eb="2">
      <t>オノミチ</t>
    </rPh>
    <phoneticPr fontId="2"/>
  </si>
  <si>
    <t>今治</t>
    <rPh sb="0" eb="2">
      <t>イマバリ</t>
    </rPh>
    <phoneticPr fontId="2"/>
  </si>
  <si>
    <t>三原</t>
    <rPh sb="0" eb="2">
      <t>ミハラ</t>
    </rPh>
    <phoneticPr fontId="2"/>
  </si>
  <si>
    <t>世羅</t>
    <rPh sb="0" eb="2">
      <t>セラ</t>
    </rPh>
    <phoneticPr fontId="2"/>
  </si>
  <si>
    <t>福山</t>
    <rPh sb="0" eb="2">
      <t>フクヤマ</t>
    </rPh>
    <phoneticPr fontId="2"/>
  </si>
  <si>
    <t>今治</t>
    <rPh sb="0" eb="2">
      <t>イマバリ</t>
    </rPh>
    <phoneticPr fontId="2"/>
  </si>
  <si>
    <t>三原</t>
    <rPh sb="0" eb="2">
      <t>ミハラ</t>
    </rPh>
    <phoneticPr fontId="2"/>
  </si>
  <si>
    <t>尾道</t>
    <rPh sb="0" eb="2">
      <t>オノミチ</t>
    </rPh>
    <phoneticPr fontId="2"/>
  </si>
  <si>
    <t>世羅</t>
    <rPh sb="0" eb="2">
      <t>セラ</t>
    </rPh>
    <phoneticPr fontId="2"/>
  </si>
  <si>
    <t>今治市</t>
    <rPh sb="0" eb="3">
      <t>イマバリシ</t>
    </rPh>
    <phoneticPr fontId="2"/>
  </si>
  <si>
    <t>福山</t>
    <rPh sb="0" eb="2">
      <t>フクヤマ</t>
    </rPh>
    <phoneticPr fontId="2"/>
  </si>
  <si>
    <t>今治</t>
    <rPh sb="0" eb="2">
      <t>イマバリ</t>
    </rPh>
    <phoneticPr fontId="2"/>
  </si>
  <si>
    <t>福山市</t>
    <rPh sb="0" eb="3">
      <t>フクヤマシ</t>
    </rPh>
    <phoneticPr fontId="2"/>
  </si>
  <si>
    <t>尾道市</t>
    <rPh sb="0" eb="2">
      <t>オノミチ</t>
    </rPh>
    <rPh sb="2" eb="3">
      <t>シ</t>
    </rPh>
    <phoneticPr fontId="2"/>
  </si>
  <si>
    <t>世羅町</t>
    <rPh sb="0" eb="3">
      <t>セラチョウ</t>
    </rPh>
    <phoneticPr fontId="2"/>
  </si>
  <si>
    <t>今治市</t>
    <rPh sb="0" eb="3">
      <t>イマバリシ</t>
    </rPh>
    <phoneticPr fontId="2"/>
  </si>
  <si>
    <t>三原市</t>
    <rPh sb="0" eb="2">
      <t>ミハラ</t>
    </rPh>
    <rPh sb="2" eb="3">
      <t>シ</t>
    </rPh>
    <phoneticPr fontId="2"/>
  </si>
  <si>
    <t>差額</t>
    <rPh sb="0" eb="2">
      <t>サガク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</si>
</sst>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¥&quot;#,##0;[Red]&quot;¥&quot;\-#,##0"/>
  </numFmts>
  <fonts count="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8"/>
      <color theme="1"/>
      <name val="ＭＳ Ｐゴシック"/>
      <family val="2"/>
      <charset val="128"/>
      <scheme val="minor"/>
    </font>
    <font>
      <sz val="20"/>
      <color theme="1" tint="4.9989318521683403E-2"/>
      <name val="ＭＳ Ｐゴシック"/>
      <family val="2"/>
      <charset val="128"/>
      <scheme val="minor"/>
    </font>
    <font>
      <sz val="25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6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7" xfId="0" applyBorder="1">
      <alignment vertical="center"/>
    </xf>
    <xf numFmtId="0" fontId="0" fillId="3" borderId="3" xfId="0" applyFill="1" applyBorder="1">
      <alignment vertical="center"/>
    </xf>
    <xf numFmtId="0" fontId="0" fillId="3" borderId="1" xfId="0" applyFill="1" applyBorder="1">
      <alignment vertical="center"/>
    </xf>
    <xf numFmtId="0" fontId="0" fillId="5" borderId="0" xfId="0" applyFill="1">
      <alignment vertical="center"/>
    </xf>
    <xf numFmtId="6" fontId="5" fillId="5" borderId="0" xfId="1" applyFont="1" applyFill="1">
      <alignment vertical="center"/>
    </xf>
    <xf numFmtId="0" fontId="0" fillId="0" borderId="8" xfId="0" applyBorder="1">
      <alignment vertical="center"/>
    </xf>
    <xf numFmtId="0" fontId="0" fillId="0" borderId="4" xfId="0" applyBorder="1" applyAlignment="1">
      <alignment horizontal="center" vertical="center"/>
    </xf>
    <xf numFmtId="38" fontId="0" fillId="0" borderId="3" xfId="2" applyFont="1" applyBorder="1">
      <alignment vertical="center"/>
    </xf>
    <xf numFmtId="38" fontId="0" fillId="0" borderId="1" xfId="2" applyFont="1" applyBorder="1">
      <alignment vertical="center"/>
    </xf>
    <xf numFmtId="38" fontId="0" fillId="0" borderId="4" xfId="2" applyFont="1" applyBorder="1">
      <alignment vertical="center"/>
    </xf>
    <xf numFmtId="38" fontId="3" fillId="2" borderId="3" xfId="2" applyFont="1" applyFill="1" applyBorder="1">
      <alignment vertical="center"/>
    </xf>
    <xf numFmtId="38" fontId="0" fillId="2" borderId="3" xfId="2" applyFont="1" applyFill="1" applyBorder="1">
      <alignment vertical="center"/>
    </xf>
    <xf numFmtId="0" fontId="0" fillId="4" borderId="3" xfId="0" applyFill="1" applyBorder="1">
      <alignment vertical="center"/>
    </xf>
    <xf numFmtId="0" fontId="0" fillId="4" borderId="1" xfId="0" applyFill="1" applyBorder="1">
      <alignment vertical="center"/>
    </xf>
    <xf numFmtId="0" fontId="3" fillId="6" borderId="3" xfId="0" applyFont="1" applyFill="1" applyBorder="1">
      <alignment vertical="center"/>
    </xf>
    <xf numFmtId="0" fontId="0" fillId="0" borderId="15" xfId="0" applyFill="1" applyBorder="1" applyAlignment="1">
      <alignment horizontal="center" vertical="center"/>
    </xf>
    <xf numFmtId="0" fontId="0" fillId="4" borderId="7" xfId="0" applyFill="1" applyBorder="1" applyAlignment="1">
      <alignment horizontal="right" vertical="center"/>
    </xf>
    <xf numFmtId="0" fontId="3" fillId="6" borderId="7" xfId="0" applyFont="1" applyFill="1" applyBorder="1">
      <alignment vertical="center"/>
    </xf>
    <xf numFmtId="0" fontId="0" fillId="0" borderId="0" xfId="0" applyFill="1" applyBorder="1">
      <alignment vertical="center"/>
    </xf>
    <xf numFmtId="6" fontId="4" fillId="0" borderId="0" xfId="1" applyFont="1" applyFill="1" applyBorder="1">
      <alignment vertical="center"/>
    </xf>
    <xf numFmtId="0" fontId="0" fillId="0" borderId="1" xfId="0" applyFill="1" applyBorder="1">
      <alignment vertical="center"/>
    </xf>
    <xf numFmtId="0" fontId="0" fillId="0" borderId="0" xfId="0" applyBorder="1">
      <alignment vertical="center"/>
    </xf>
    <xf numFmtId="3" fontId="0" fillId="0" borderId="0" xfId="0" applyNumberFormat="1" applyBorder="1">
      <alignment vertical="center"/>
    </xf>
    <xf numFmtId="38" fontId="0" fillId="0" borderId="1" xfId="2" applyFont="1" applyBorder="1" applyAlignment="1">
      <alignment vertical="center"/>
    </xf>
    <xf numFmtId="38" fontId="6" fillId="6" borderId="3" xfId="2" applyFont="1" applyFill="1" applyBorder="1">
      <alignment vertical="center"/>
    </xf>
    <xf numFmtId="0" fontId="3" fillId="0" borderId="14" xfId="0" applyFont="1" applyBorder="1" applyAlignment="1">
      <alignment horizontal="center" vertical="center"/>
    </xf>
    <xf numFmtId="38" fontId="3" fillId="2" borderId="16" xfId="2" applyFont="1" applyFill="1" applyBorder="1" applyAlignment="1">
      <alignment horizontal="right" vertical="center"/>
    </xf>
    <xf numFmtId="38" fontId="3" fillId="2" borderId="3" xfId="2" applyFont="1" applyFill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38" fontId="7" fillId="0" borderId="3" xfId="2" applyFont="1" applyBorder="1">
      <alignment vertical="center"/>
    </xf>
    <xf numFmtId="0" fontId="0" fillId="0" borderId="17" xfId="0" applyBorder="1" applyAlignment="1">
      <alignment horizontal="center" vertical="center"/>
    </xf>
    <xf numFmtId="38" fontId="0" fillId="0" borderId="0" xfId="2" applyFont="1" applyBorder="1">
      <alignment vertical="center"/>
    </xf>
    <xf numFmtId="38" fontId="0" fillId="0" borderId="0" xfId="0" applyNumberFormat="1" applyFill="1" applyBorder="1">
      <alignment vertical="center"/>
    </xf>
    <xf numFmtId="38" fontId="0" fillId="0" borderId="0" xfId="2" applyFont="1">
      <alignment vertical="center"/>
    </xf>
    <xf numFmtId="6" fontId="0" fillId="0" borderId="0" xfId="0" applyNumberFormat="1">
      <alignment vertical="center"/>
    </xf>
    <xf numFmtId="38" fontId="0" fillId="0" borderId="0" xfId="2" applyFont="1" applyFill="1" applyBorder="1">
      <alignment vertical="center"/>
    </xf>
    <xf numFmtId="38" fontId="7" fillId="0" borderId="0" xfId="0" applyNumberFormat="1" applyFont="1" applyFill="1" applyBorder="1">
      <alignment vertical="center"/>
    </xf>
    <xf numFmtId="38" fontId="7" fillId="0" borderId="0" xfId="2" applyFont="1" applyFill="1" applyBorder="1">
      <alignment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38" fontId="7" fillId="0" borderId="16" xfId="2" applyFont="1" applyBorder="1" applyAlignment="1">
      <alignment horizontal="right" vertical="center"/>
    </xf>
    <xf numFmtId="38" fontId="7" fillId="0" borderId="3" xfId="2" applyFont="1" applyBorder="1" applyAlignment="1">
      <alignment horizontal="right" vertical="center"/>
    </xf>
    <xf numFmtId="0" fontId="0" fillId="3" borderId="16" xfId="0" applyFill="1" applyBorder="1" applyAlignment="1">
      <alignment horizontal="right" vertical="center"/>
    </xf>
    <xf numFmtId="0" fontId="0" fillId="3" borderId="3" xfId="0" applyFill="1" applyBorder="1" applyAlignment="1">
      <alignment horizontal="right" vertical="center"/>
    </xf>
    <xf numFmtId="38" fontId="3" fillId="2" borderId="16" xfId="2" applyFont="1" applyFill="1" applyBorder="1" applyAlignment="1">
      <alignment horizontal="right" vertical="center"/>
    </xf>
    <xf numFmtId="38" fontId="3" fillId="2" borderId="3" xfId="2" applyFont="1" applyFill="1" applyBorder="1" applyAlignment="1">
      <alignment horizontal="right" vertical="center"/>
    </xf>
    <xf numFmtId="0" fontId="0" fillId="0" borderId="16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38" fontId="0" fillId="0" borderId="0" xfId="2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6" fontId="5" fillId="4" borderId="0" xfId="1" applyFont="1" applyFill="1" applyAlignment="1">
      <alignment horizontal="center" vertical="center"/>
    </xf>
    <xf numFmtId="38" fontId="0" fillId="2" borderId="16" xfId="2" applyFont="1" applyFill="1" applyBorder="1" applyAlignment="1">
      <alignment horizontal="right" vertical="center"/>
    </xf>
    <xf numFmtId="38" fontId="0" fillId="2" borderId="3" xfId="2" applyFont="1" applyFill="1" applyBorder="1" applyAlignment="1">
      <alignment horizontal="right" vertical="center"/>
    </xf>
    <xf numFmtId="38" fontId="0" fillId="0" borderId="16" xfId="2" applyFont="1" applyBorder="1" applyAlignment="1">
      <alignment horizontal="center" vertical="center"/>
    </xf>
    <xf numFmtId="38" fontId="0" fillId="0" borderId="3" xfId="2" applyFont="1" applyBorder="1" applyAlignment="1">
      <alignment horizontal="center" vertical="center"/>
    </xf>
    <xf numFmtId="38" fontId="0" fillId="0" borderId="7" xfId="2" applyFont="1" applyBorder="1" applyAlignment="1">
      <alignment horizontal="right" vertical="center"/>
    </xf>
    <xf numFmtId="38" fontId="0" fillId="0" borderId="1" xfId="2" applyFont="1" applyBorder="1" applyAlignment="1">
      <alignment horizontal="right" vertical="center"/>
    </xf>
    <xf numFmtId="38" fontId="0" fillId="0" borderId="16" xfId="2" applyFont="1" applyBorder="1" applyAlignment="1">
      <alignment horizontal="right" vertical="center"/>
    </xf>
    <xf numFmtId="38" fontId="0" fillId="0" borderId="3" xfId="2" applyFont="1" applyBorder="1" applyAlignment="1">
      <alignment horizontal="right" vertical="center"/>
    </xf>
  </cellXfs>
  <cellStyles count="3">
    <cellStyle name="桁区切り" xfId="2" builtinId="6"/>
    <cellStyle name="通貨" xfId="1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85725</xdr:colOff>
      <xdr:row>17</xdr:row>
      <xdr:rowOff>85725</xdr:rowOff>
    </xdr:from>
    <xdr:ext cx="65" cy="172227"/>
    <xdr:sp macro="" textlink="">
      <xdr:nvSpPr>
        <xdr:cNvPr id="2" name="テキスト ボックス 1"/>
        <xdr:cNvSpPr txBox="1"/>
      </xdr:nvSpPr>
      <xdr:spPr>
        <a:xfrm>
          <a:off x="9391650" y="177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85725</xdr:colOff>
      <xdr:row>17</xdr:row>
      <xdr:rowOff>85725</xdr:rowOff>
    </xdr:from>
    <xdr:ext cx="65" cy="172227"/>
    <xdr:sp macro="" textlink="">
      <xdr:nvSpPr>
        <xdr:cNvPr id="2" name="テキスト ボックス 1"/>
        <xdr:cNvSpPr txBox="1"/>
      </xdr:nvSpPr>
      <xdr:spPr>
        <a:xfrm>
          <a:off x="9391650" y="1933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85725</xdr:colOff>
      <xdr:row>17</xdr:row>
      <xdr:rowOff>85725</xdr:rowOff>
    </xdr:from>
    <xdr:ext cx="65" cy="172227"/>
    <xdr:sp macro="" textlink="">
      <xdr:nvSpPr>
        <xdr:cNvPr id="2" name="テキスト ボックス 1"/>
        <xdr:cNvSpPr txBox="1"/>
      </xdr:nvSpPr>
      <xdr:spPr>
        <a:xfrm>
          <a:off x="9391650" y="39338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85725</xdr:colOff>
      <xdr:row>17</xdr:row>
      <xdr:rowOff>85725</xdr:rowOff>
    </xdr:from>
    <xdr:ext cx="65" cy="172227"/>
    <xdr:sp macro="" textlink="">
      <xdr:nvSpPr>
        <xdr:cNvPr id="2" name="テキスト ボックス 1"/>
        <xdr:cNvSpPr txBox="1"/>
      </xdr:nvSpPr>
      <xdr:spPr>
        <a:xfrm>
          <a:off x="7058025" y="39338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85725</xdr:colOff>
      <xdr:row>17</xdr:row>
      <xdr:rowOff>85725</xdr:rowOff>
    </xdr:from>
    <xdr:ext cx="65" cy="172227"/>
    <xdr:sp macro="" textlink="">
      <xdr:nvSpPr>
        <xdr:cNvPr id="2" name="テキスト ボックス 1"/>
        <xdr:cNvSpPr txBox="1"/>
      </xdr:nvSpPr>
      <xdr:spPr>
        <a:xfrm>
          <a:off x="7058025" y="3752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85725</xdr:colOff>
      <xdr:row>17</xdr:row>
      <xdr:rowOff>85725</xdr:rowOff>
    </xdr:from>
    <xdr:ext cx="65" cy="172227"/>
    <xdr:sp macro="" textlink="">
      <xdr:nvSpPr>
        <xdr:cNvPr id="2" name="テキスト ボックス 1"/>
        <xdr:cNvSpPr txBox="1"/>
      </xdr:nvSpPr>
      <xdr:spPr>
        <a:xfrm>
          <a:off x="7058025" y="3752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35"/>
  <sheetViews>
    <sheetView workbookViewId="0">
      <selection activeCell="X6" sqref="X6"/>
    </sheetView>
  </sheetViews>
  <sheetFormatPr defaultRowHeight="13.5" x14ac:dyDescent="0.15"/>
  <cols>
    <col min="1" max="1" width="3.25" customWidth="1"/>
    <col min="2" max="3" width="12.625" customWidth="1"/>
    <col min="4" max="4" width="6.625" customWidth="1"/>
    <col min="5" max="5" width="5.125" customWidth="1"/>
    <col min="6" max="8" width="9" customWidth="1"/>
    <col min="9" max="9" width="5.5" customWidth="1"/>
    <col min="10" max="10" width="5.375" customWidth="1"/>
    <col min="11" max="11" width="7.625" customWidth="1"/>
    <col min="12" max="12" width="5.625" customWidth="1"/>
    <col min="13" max="13" width="5" customWidth="1"/>
    <col min="14" max="14" width="7.625" customWidth="1"/>
    <col min="15" max="15" width="5.625" customWidth="1"/>
    <col min="16" max="16" width="4.875" customWidth="1"/>
    <col min="17" max="17" width="7.625" customWidth="1"/>
    <col min="18" max="18" width="6" customWidth="1"/>
    <col min="19" max="19" width="4.875" customWidth="1"/>
    <col min="20" max="20" width="7.625" customWidth="1"/>
    <col min="21" max="21" width="6.5" customWidth="1"/>
    <col min="22" max="22" width="4.875" customWidth="1"/>
    <col min="23" max="23" width="7.625" customWidth="1"/>
    <col min="24" max="24" width="10.625" customWidth="1"/>
  </cols>
  <sheetData>
    <row r="1" spans="1:24" x14ac:dyDescent="0.15">
      <c r="B1" t="s">
        <v>7</v>
      </c>
    </row>
    <row r="2" spans="1:24" x14ac:dyDescent="0.15">
      <c r="A2" s="59" t="s">
        <v>25</v>
      </c>
      <c r="B2" s="60"/>
      <c r="C2" s="34"/>
    </row>
    <row r="3" spans="1:24" x14ac:dyDescent="0.15">
      <c r="A3" s="61"/>
      <c r="B3" s="62"/>
      <c r="C3" s="36"/>
      <c r="D3" s="44" t="s">
        <v>0</v>
      </c>
      <c r="E3" s="45"/>
      <c r="F3" s="46"/>
      <c r="G3" s="29"/>
      <c r="H3" s="29"/>
      <c r="I3" s="44" t="s">
        <v>1</v>
      </c>
      <c r="J3" s="45"/>
      <c r="K3" s="46"/>
      <c r="L3" s="44" t="s">
        <v>2</v>
      </c>
      <c r="M3" s="45"/>
      <c r="N3" s="46"/>
      <c r="O3" s="44" t="s">
        <v>21</v>
      </c>
      <c r="P3" s="45"/>
      <c r="Q3" s="46"/>
      <c r="R3" s="44" t="s">
        <v>8</v>
      </c>
      <c r="S3" s="45"/>
      <c r="T3" s="46"/>
      <c r="U3" s="44" t="s">
        <v>3</v>
      </c>
      <c r="V3" s="45"/>
      <c r="W3" s="46"/>
      <c r="X3" s="47" t="s">
        <v>6</v>
      </c>
    </row>
    <row r="4" spans="1:24" ht="14.25" thickBot="1" x14ac:dyDescent="0.2">
      <c r="A4" s="2"/>
      <c r="B4" s="9" t="s">
        <v>4</v>
      </c>
      <c r="C4" s="9"/>
      <c r="D4" s="3">
        <v>5890</v>
      </c>
      <c r="E4" s="10" t="s">
        <v>5</v>
      </c>
      <c r="F4" s="3"/>
      <c r="G4" s="3"/>
      <c r="H4" s="3"/>
      <c r="I4" s="3">
        <v>300</v>
      </c>
      <c r="J4" s="10" t="s">
        <v>5</v>
      </c>
      <c r="K4" s="3"/>
      <c r="L4" s="3">
        <v>940</v>
      </c>
      <c r="M4" s="10" t="s">
        <v>5</v>
      </c>
      <c r="N4" s="3"/>
      <c r="O4" s="3">
        <v>350</v>
      </c>
      <c r="P4" s="10" t="s">
        <v>5</v>
      </c>
      <c r="Q4" s="3"/>
      <c r="R4" s="13">
        <v>2800</v>
      </c>
      <c r="S4" s="3" t="s">
        <v>5</v>
      </c>
      <c r="T4" s="3"/>
      <c r="U4" s="13">
        <v>1000</v>
      </c>
      <c r="V4" s="10" t="s">
        <v>5</v>
      </c>
      <c r="W4" s="3"/>
      <c r="X4" s="48"/>
    </row>
    <row r="5" spans="1:24" ht="14.25" customHeight="1" thickTop="1" x14ac:dyDescent="0.15">
      <c r="A5" s="2"/>
      <c r="B5" s="49" t="s">
        <v>9</v>
      </c>
      <c r="C5" s="32"/>
      <c r="D5" s="51">
        <v>5190</v>
      </c>
      <c r="E5" s="53">
        <v>17</v>
      </c>
      <c r="F5" s="55">
        <f>SUM(D5*E5)</f>
        <v>88230</v>
      </c>
      <c r="G5" s="30"/>
      <c r="H5" s="30"/>
      <c r="I5" s="57">
        <v>300</v>
      </c>
      <c r="J5" s="53"/>
      <c r="K5" s="55">
        <f>SUM(I5*J5)</f>
        <v>0</v>
      </c>
      <c r="L5" s="57">
        <v>940</v>
      </c>
      <c r="M5" s="53">
        <v>4</v>
      </c>
      <c r="N5" s="70">
        <f>SUM(L5*M5)</f>
        <v>3760</v>
      </c>
      <c r="O5" s="4"/>
      <c r="P5" s="20"/>
      <c r="Q5" s="21"/>
      <c r="R5" s="72">
        <v>2800</v>
      </c>
      <c r="S5" s="63"/>
      <c r="T5" s="70">
        <f>SUM(R5*S6)</f>
        <v>0</v>
      </c>
      <c r="U5" s="72">
        <v>1000</v>
      </c>
      <c r="V5" s="63"/>
      <c r="W5" s="55">
        <f>SUM(V6*U5)</f>
        <v>0</v>
      </c>
      <c r="X5" s="19"/>
    </row>
    <row r="6" spans="1:24" ht="20.100000000000001" customHeight="1" x14ac:dyDescent="0.15">
      <c r="A6" s="1">
        <v>1</v>
      </c>
      <c r="B6" s="50"/>
      <c r="C6" s="33" t="s">
        <v>58</v>
      </c>
      <c r="D6" s="52"/>
      <c r="E6" s="54"/>
      <c r="F6" s="56"/>
      <c r="G6" s="31">
        <f>E5*5840</f>
        <v>99280</v>
      </c>
      <c r="H6" s="31">
        <f>G6-F5</f>
        <v>11050</v>
      </c>
      <c r="I6" s="58"/>
      <c r="J6" s="54"/>
      <c r="K6" s="56"/>
      <c r="L6" s="58"/>
      <c r="M6" s="54"/>
      <c r="N6" s="71"/>
      <c r="O6" s="2">
        <v>290</v>
      </c>
      <c r="P6" s="16">
        <v>15</v>
      </c>
      <c r="Q6" s="18">
        <f>SUM(O6*P6)</f>
        <v>4350</v>
      </c>
      <c r="R6" s="73"/>
      <c r="S6" s="64"/>
      <c r="T6" s="71"/>
      <c r="U6" s="73"/>
      <c r="V6" s="64"/>
      <c r="W6" s="56"/>
      <c r="X6" s="35">
        <f>SUM(F5+K5+N5+T5+W5)</f>
        <v>91990</v>
      </c>
    </row>
    <row r="7" spans="1:24" ht="20.100000000000001" customHeight="1" x14ac:dyDescent="0.15">
      <c r="A7" s="1">
        <v>2</v>
      </c>
      <c r="B7" s="1" t="s">
        <v>10</v>
      </c>
      <c r="C7" s="2" t="s">
        <v>58</v>
      </c>
      <c r="D7" s="35">
        <v>5190</v>
      </c>
      <c r="E7" s="5">
        <v>16</v>
      </c>
      <c r="F7" s="14">
        <f>SUM(D7*E7)</f>
        <v>83040</v>
      </c>
      <c r="G7" s="31">
        <f>E7*5840</f>
        <v>93440</v>
      </c>
      <c r="H7" s="31">
        <f>G7-F7</f>
        <v>10400</v>
      </c>
      <c r="I7" s="2">
        <v>300</v>
      </c>
      <c r="J7" s="5"/>
      <c r="K7" s="14">
        <f t="shared" ref="K7:K26" si="0">SUM(I7*J7)</f>
        <v>0</v>
      </c>
      <c r="L7" s="2">
        <v>940</v>
      </c>
      <c r="M7" s="6">
        <v>2</v>
      </c>
      <c r="N7" s="15">
        <f t="shared" ref="N7:N26" si="1">SUM(L7*M7)</f>
        <v>1880</v>
      </c>
      <c r="O7" s="2">
        <v>350</v>
      </c>
      <c r="P7" s="17">
        <v>17</v>
      </c>
      <c r="Q7" s="18">
        <f t="shared" ref="Q7:Q26" si="2">SUM(O7*P7)</f>
        <v>5950</v>
      </c>
      <c r="R7" s="11">
        <v>2800</v>
      </c>
      <c r="S7" s="6"/>
      <c r="T7" s="15">
        <f t="shared" ref="T7:T26" si="3">SUM(R7*S7)</f>
        <v>0</v>
      </c>
      <c r="U7" s="12">
        <v>1000</v>
      </c>
      <c r="V7" s="6"/>
      <c r="W7" s="14">
        <f t="shared" ref="W7:W26" si="4">SUM(V7*U7)</f>
        <v>0</v>
      </c>
      <c r="X7" s="35">
        <f t="shared" ref="X7:X26" si="5">SUM(F7+K7+N7+T7+W7)</f>
        <v>84920</v>
      </c>
    </row>
    <row r="8" spans="1:24" ht="20.100000000000001" customHeight="1" x14ac:dyDescent="0.15">
      <c r="A8" s="1">
        <v>3</v>
      </c>
      <c r="B8" s="1" t="s">
        <v>11</v>
      </c>
      <c r="C8" s="2"/>
      <c r="D8" s="11">
        <v>5840</v>
      </c>
      <c r="E8" s="5">
        <v>0</v>
      </c>
      <c r="F8" s="14">
        <f t="shared" ref="F8:F26" si="6">SUM(D8*E8)</f>
        <v>0</v>
      </c>
      <c r="G8" s="31">
        <f>E8*5840</f>
        <v>0</v>
      </c>
      <c r="H8" s="31">
        <f>G8-F8</f>
        <v>0</v>
      </c>
      <c r="I8" s="2">
        <v>300</v>
      </c>
      <c r="J8" s="5"/>
      <c r="K8" s="14">
        <f t="shared" si="0"/>
        <v>0</v>
      </c>
      <c r="L8" s="2">
        <v>940</v>
      </c>
      <c r="M8" s="6"/>
      <c r="N8" s="15">
        <f t="shared" si="1"/>
        <v>0</v>
      </c>
      <c r="O8" s="2">
        <v>350</v>
      </c>
      <c r="P8" s="17"/>
      <c r="Q8" s="18">
        <f t="shared" si="2"/>
        <v>0</v>
      </c>
      <c r="R8" s="11">
        <v>2800</v>
      </c>
      <c r="S8" s="6"/>
      <c r="T8" s="15">
        <f t="shared" si="3"/>
        <v>0</v>
      </c>
      <c r="U8" s="12">
        <v>1000</v>
      </c>
      <c r="V8" s="6"/>
      <c r="W8" s="14">
        <f t="shared" si="4"/>
        <v>0</v>
      </c>
      <c r="X8" s="11">
        <f t="shared" si="5"/>
        <v>0</v>
      </c>
    </row>
    <row r="9" spans="1:24" ht="20.100000000000001" customHeight="1" x14ac:dyDescent="0.15">
      <c r="A9" s="1">
        <v>4</v>
      </c>
      <c r="B9" s="1" t="s">
        <v>12</v>
      </c>
      <c r="C9" s="2" t="s">
        <v>59</v>
      </c>
      <c r="D9" s="35">
        <v>5190</v>
      </c>
      <c r="E9" s="5">
        <v>22</v>
      </c>
      <c r="F9" s="14">
        <f t="shared" si="6"/>
        <v>114180</v>
      </c>
      <c r="G9" s="31">
        <f t="shared" ref="G9" si="7">E9*5840</f>
        <v>128480</v>
      </c>
      <c r="H9" s="31">
        <f>G9-F9</f>
        <v>14300</v>
      </c>
      <c r="I9" s="2">
        <v>300</v>
      </c>
      <c r="J9" s="5"/>
      <c r="K9" s="14">
        <f t="shared" si="0"/>
        <v>0</v>
      </c>
      <c r="L9" s="2">
        <v>940</v>
      </c>
      <c r="M9" s="6"/>
      <c r="N9" s="15">
        <f t="shared" si="1"/>
        <v>0</v>
      </c>
      <c r="O9" s="2">
        <v>350</v>
      </c>
      <c r="P9" s="17">
        <v>19</v>
      </c>
      <c r="Q9" s="18">
        <f t="shared" si="2"/>
        <v>6650</v>
      </c>
      <c r="R9" s="11">
        <v>2800</v>
      </c>
      <c r="S9" s="6"/>
      <c r="T9" s="15">
        <f t="shared" si="3"/>
        <v>0</v>
      </c>
      <c r="U9" s="12">
        <v>1000</v>
      </c>
      <c r="V9" s="6"/>
      <c r="W9" s="14">
        <f t="shared" si="4"/>
        <v>0</v>
      </c>
      <c r="X9" s="11">
        <f t="shared" si="5"/>
        <v>114180</v>
      </c>
    </row>
    <row r="10" spans="1:24" ht="20.100000000000001" customHeight="1" x14ac:dyDescent="0.15">
      <c r="A10" s="1">
        <v>5</v>
      </c>
      <c r="B10" s="1" t="s">
        <v>13</v>
      </c>
      <c r="C10" s="2" t="s">
        <v>59</v>
      </c>
      <c r="D10" s="35">
        <v>5190</v>
      </c>
      <c r="E10" s="5">
        <v>22</v>
      </c>
      <c r="F10" s="14">
        <f t="shared" si="6"/>
        <v>114180</v>
      </c>
      <c r="G10" s="31">
        <f t="shared" ref="G10" si="8">E9*5840</f>
        <v>128480</v>
      </c>
      <c r="H10" s="31">
        <f t="shared" ref="H10:H11" si="9">G10-F10</f>
        <v>14300</v>
      </c>
      <c r="I10" s="2">
        <v>300</v>
      </c>
      <c r="J10" s="5"/>
      <c r="K10" s="14">
        <f t="shared" si="0"/>
        <v>0</v>
      </c>
      <c r="L10" s="2">
        <v>940</v>
      </c>
      <c r="M10" s="6"/>
      <c r="N10" s="15">
        <f t="shared" si="1"/>
        <v>0</v>
      </c>
      <c r="O10" s="2">
        <v>350</v>
      </c>
      <c r="P10" s="17">
        <v>19</v>
      </c>
      <c r="Q10" s="18">
        <f t="shared" si="2"/>
        <v>6650</v>
      </c>
      <c r="R10" s="11">
        <v>2800</v>
      </c>
      <c r="S10" s="6"/>
      <c r="T10" s="15">
        <f t="shared" si="3"/>
        <v>0</v>
      </c>
      <c r="U10" s="12">
        <v>1000</v>
      </c>
      <c r="V10" s="6"/>
      <c r="W10" s="14">
        <f t="shared" si="4"/>
        <v>0</v>
      </c>
      <c r="X10" s="11">
        <f t="shared" si="5"/>
        <v>114180</v>
      </c>
    </row>
    <row r="11" spans="1:24" ht="20.100000000000001" customHeight="1" x14ac:dyDescent="0.15">
      <c r="A11" s="1">
        <v>6</v>
      </c>
      <c r="B11" s="1" t="s">
        <v>14</v>
      </c>
      <c r="C11" s="2"/>
      <c r="D11" s="11">
        <v>5840</v>
      </c>
      <c r="E11" s="5">
        <v>16</v>
      </c>
      <c r="F11" s="14">
        <f t="shared" si="6"/>
        <v>93440</v>
      </c>
      <c r="G11" s="31">
        <f t="shared" ref="G11" si="10">E11*5840</f>
        <v>93440</v>
      </c>
      <c r="H11" s="31">
        <f t="shared" si="9"/>
        <v>0</v>
      </c>
      <c r="I11" s="2">
        <v>300</v>
      </c>
      <c r="J11" s="5"/>
      <c r="K11" s="14">
        <f t="shared" si="0"/>
        <v>0</v>
      </c>
      <c r="L11" s="2">
        <v>940</v>
      </c>
      <c r="M11" s="6">
        <v>1</v>
      </c>
      <c r="N11" s="15">
        <f t="shared" si="1"/>
        <v>940</v>
      </c>
      <c r="O11" s="2">
        <v>350</v>
      </c>
      <c r="P11" s="17"/>
      <c r="Q11" s="18">
        <f t="shared" si="2"/>
        <v>0</v>
      </c>
      <c r="R11" s="11">
        <v>2800</v>
      </c>
      <c r="S11" s="6"/>
      <c r="T11" s="15">
        <f t="shared" si="3"/>
        <v>0</v>
      </c>
      <c r="U11" s="12">
        <v>1000</v>
      </c>
      <c r="V11" s="6"/>
      <c r="W11" s="14">
        <f t="shared" si="4"/>
        <v>0</v>
      </c>
      <c r="X11" s="11">
        <f t="shared" si="5"/>
        <v>94380</v>
      </c>
    </row>
    <row r="12" spans="1:24" ht="20.100000000000001" customHeight="1" x14ac:dyDescent="0.15">
      <c r="A12" s="1">
        <v>7</v>
      </c>
      <c r="B12" s="1" t="s">
        <v>15</v>
      </c>
      <c r="C12" s="2"/>
      <c r="D12" s="11">
        <v>5840</v>
      </c>
      <c r="E12" s="5">
        <v>22</v>
      </c>
      <c r="F12" s="14">
        <f t="shared" si="6"/>
        <v>128480</v>
      </c>
      <c r="G12" s="31">
        <f t="shared" ref="G12" si="11">E11*5840</f>
        <v>93440</v>
      </c>
      <c r="H12" s="31">
        <f t="shared" ref="H12" si="12">G12-F11</f>
        <v>0</v>
      </c>
      <c r="I12" s="2">
        <v>300</v>
      </c>
      <c r="J12" s="5"/>
      <c r="K12" s="14">
        <f t="shared" si="0"/>
        <v>0</v>
      </c>
      <c r="L12" s="2">
        <v>940</v>
      </c>
      <c r="M12" s="6"/>
      <c r="N12" s="15">
        <f t="shared" si="1"/>
        <v>0</v>
      </c>
      <c r="O12" s="2">
        <v>350</v>
      </c>
      <c r="P12" s="17">
        <v>22</v>
      </c>
      <c r="Q12" s="18">
        <f t="shared" si="2"/>
        <v>7700</v>
      </c>
      <c r="R12" s="11">
        <v>2800</v>
      </c>
      <c r="S12" s="6"/>
      <c r="T12" s="15">
        <f t="shared" si="3"/>
        <v>0</v>
      </c>
      <c r="U12" s="12">
        <v>1000</v>
      </c>
      <c r="V12" s="6"/>
      <c r="W12" s="14">
        <f t="shared" si="4"/>
        <v>0</v>
      </c>
      <c r="X12" s="11">
        <f t="shared" si="5"/>
        <v>128480</v>
      </c>
    </row>
    <row r="13" spans="1:24" ht="20.100000000000001" customHeight="1" x14ac:dyDescent="0.15">
      <c r="A13" s="1">
        <v>8</v>
      </c>
      <c r="B13" s="1" t="s">
        <v>16</v>
      </c>
      <c r="C13" s="2"/>
      <c r="D13" s="11">
        <v>5840</v>
      </c>
      <c r="E13" s="5">
        <v>22</v>
      </c>
      <c r="F13" s="14">
        <f t="shared" si="6"/>
        <v>128480</v>
      </c>
      <c r="G13" s="31">
        <f t="shared" ref="G13" si="13">E13*5840</f>
        <v>128480</v>
      </c>
      <c r="H13" s="31">
        <f t="shared" ref="H13:H14" si="14">G13-F13</f>
        <v>0</v>
      </c>
      <c r="I13" s="2">
        <v>300</v>
      </c>
      <c r="J13" s="5"/>
      <c r="K13" s="14">
        <f t="shared" si="0"/>
        <v>0</v>
      </c>
      <c r="L13" s="2">
        <v>940</v>
      </c>
      <c r="M13" s="6"/>
      <c r="N13" s="15">
        <f t="shared" si="1"/>
        <v>0</v>
      </c>
      <c r="O13" s="2">
        <v>350</v>
      </c>
      <c r="P13" s="17">
        <v>9</v>
      </c>
      <c r="Q13" s="18">
        <f t="shared" si="2"/>
        <v>3150</v>
      </c>
      <c r="R13" s="11">
        <v>2800</v>
      </c>
      <c r="S13" s="6"/>
      <c r="T13" s="15">
        <f t="shared" si="3"/>
        <v>0</v>
      </c>
      <c r="U13" s="12">
        <v>1000</v>
      </c>
      <c r="V13" s="6"/>
      <c r="W13" s="14">
        <f t="shared" si="4"/>
        <v>0</v>
      </c>
      <c r="X13" s="11">
        <f t="shared" si="5"/>
        <v>128480</v>
      </c>
    </row>
    <row r="14" spans="1:24" ht="20.100000000000001" customHeight="1" x14ac:dyDescent="0.15">
      <c r="A14" s="1">
        <v>9</v>
      </c>
      <c r="B14" s="2" t="s">
        <v>17</v>
      </c>
      <c r="C14" s="2"/>
      <c r="D14" s="11">
        <v>5840</v>
      </c>
      <c r="E14" s="5">
        <v>18</v>
      </c>
      <c r="F14" s="14">
        <f t="shared" si="6"/>
        <v>105120</v>
      </c>
      <c r="G14" s="31">
        <f>E14*5840</f>
        <v>105120</v>
      </c>
      <c r="H14" s="31">
        <f t="shared" si="14"/>
        <v>0</v>
      </c>
      <c r="I14" s="2">
        <v>300</v>
      </c>
      <c r="J14" s="5"/>
      <c r="K14" s="14">
        <f t="shared" si="0"/>
        <v>0</v>
      </c>
      <c r="L14" s="2">
        <v>940</v>
      </c>
      <c r="M14" s="6">
        <v>4</v>
      </c>
      <c r="N14" s="15">
        <f t="shared" si="1"/>
        <v>3760</v>
      </c>
      <c r="O14" s="2">
        <v>350</v>
      </c>
      <c r="P14" s="17">
        <v>18</v>
      </c>
      <c r="Q14" s="18">
        <f t="shared" si="2"/>
        <v>6300</v>
      </c>
      <c r="R14" s="11">
        <v>2800</v>
      </c>
      <c r="S14" s="6"/>
      <c r="T14" s="15">
        <f t="shared" si="3"/>
        <v>0</v>
      </c>
      <c r="U14" s="12">
        <v>1000</v>
      </c>
      <c r="V14" s="6"/>
      <c r="W14" s="14">
        <f t="shared" si="4"/>
        <v>0</v>
      </c>
      <c r="X14" s="11">
        <f t="shared" si="5"/>
        <v>108880</v>
      </c>
    </row>
    <row r="15" spans="1:24" ht="20.100000000000001" customHeight="1" x14ac:dyDescent="0.15">
      <c r="A15" s="1">
        <v>10</v>
      </c>
      <c r="B15" s="2" t="s">
        <v>18</v>
      </c>
      <c r="C15" s="2"/>
      <c r="D15" s="11">
        <v>5840</v>
      </c>
      <c r="E15" s="5">
        <v>6</v>
      </c>
      <c r="F15" s="14">
        <f t="shared" si="6"/>
        <v>35040</v>
      </c>
      <c r="G15" s="31">
        <f>E15*5840</f>
        <v>35040</v>
      </c>
      <c r="H15" s="31">
        <f>G15-F15</f>
        <v>0</v>
      </c>
      <c r="I15" s="2">
        <v>300</v>
      </c>
      <c r="J15" s="5"/>
      <c r="K15" s="14">
        <f t="shared" si="0"/>
        <v>0</v>
      </c>
      <c r="L15" s="2">
        <v>940</v>
      </c>
      <c r="M15" s="6">
        <v>4</v>
      </c>
      <c r="N15" s="15">
        <f t="shared" si="1"/>
        <v>3760</v>
      </c>
      <c r="O15" s="2">
        <v>350</v>
      </c>
      <c r="P15" s="17">
        <v>10</v>
      </c>
      <c r="Q15" s="18">
        <f t="shared" si="2"/>
        <v>3500</v>
      </c>
      <c r="R15" s="11">
        <v>2800</v>
      </c>
      <c r="S15" s="6"/>
      <c r="T15" s="15">
        <f t="shared" si="3"/>
        <v>0</v>
      </c>
      <c r="U15" s="12">
        <v>1000</v>
      </c>
      <c r="V15" s="6"/>
      <c r="W15" s="14">
        <f t="shared" si="4"/>
        <v>0</v>
      </c>
      <c r="X15" s="11">
        <f t="shared" si="5"/>
        <v>38800</v>
      </c>
    </row>
    <row r="16" spans="1:24" ht="20.100000000000001" customHeight="1" x14ac:dyDescent="0.15">
      <c r="A16" s="1">
        <v>11</v>
      </c>
      <c r="B16" s="1" t="s">
        <v>19</v>
      </c>
      <c r="C16" s="2"/>
      <c r="D16" s="11">
        <v>5840</v>
      </c>
      <c r="E16" s="5">
        <v>0</v>
      </c>
      <c r="F16" s="14">
        <f t="shared" si="6"/>
        <v>0</v>
      </c>
      <c r="G16" s="31">
        <f>E16*5840</f>
        <v>0</v>
      </c>
      <c r="H16" s="31">
        <f t="shared" ref="H16:H17" si="15">G16-F16</f>
        <v>0</v>
      </c>
      <c r="I16" s="2">
        <v>300</v>
      </c>
      <c r="J16" s="5"/>
      <c r="K16" s="14">
        <f t="shared" si="0"/>
        <v>0</v>
      </c>
      <c r="L16" s="2">
        <v>940</v>
      </c>
      <c r="M16" s="6"/>
      <c r="N16" s="15">
        <f t="shared" si="1"/>
        <v>0</v>
      </c>
      <c r="O16" s="2">
        <v>350</v>
      </c>
      <c r="P16" s="17"/>
      <c r="Q16" s="18">
        <f t="shared" si="2"/>
        <v>0</v>
      </c>
      <c r="R16" s="11">
        <v>2800</v>
      </c>
      <c r="S16" s="6"/>
      <c r="T16" s="15">
        <f t="shared" si="3"/>
        <v>0</v>
      </c>
      <c r="U16" s="12">
        <v>1000</v>
      </c>
      <c r="V16" s="6"/>
      <c r="W16" s="14">
        <f t="shared" si="4"/>
        <v>0</v>
      </c>
      <c r="X16" s="11">
        <f t="shared" si="5"/>
        <v>0</v>
      </c>
    </row>
    <row r="17" spans="1:26" ht="20.100000000000001" customHeight="1" x14ac:dyDescent="0.15">
      <c r="A17" s="1">
        <v>12</v>
      </c>
      <c r="B17" s="1" t="s">
        <v>24</v>
      </c>
      <c r="C17" s="2"/>
      <c r="D17" s="11">
        <v>5840</v>
      </c>
      <c r="E17" s="5">
        <v>9</v>
      </c>
      <c r="F17" s="14">
        <f t="shared" si="6"/>
        <v>52560</v>
      </c>
      <c r="G17" s="31">
        <f t="shared" ref="G17:G25" si="16">E17*5840</f>
        <v>52560</v>
      </c>
      <c r="H17" s="31">
        <f t="shared" si="15"/>
        <v>0</v>
      </c>
      <c r="I17" s="2">
        <v>300</v>
      </c>
      <c r="J17" s="5"/>
      <c r="K17" s="14">
        <f t="shared" si="0"/>
        <v>0</v>
      </c>
      <c r="L17" s="2">
        <v>940</v>
      </c>
      <c r="M17" s="6">
        <v>2</v>
      </c>
      <c r="N17" s="15">
        <f t="shared" si="1"/>
        <v>1880</v>
      </c>
      <c r="O17" s="2">
        <v>350</v>
      </c>
      <c r="P17" s="17"/>
      <c r="Q17" s="18">
        <f t="shared" si="2"/>
        <v>0</v>
      </c>
      <c r="R17" s="11">
        <v>2800</v>
      </c>
      <c r="S17" s="6"/>
      <c r="T17" s="15">
        <f t="shared" si="3"/>
        <v>0</v>
      </c>
      <c r="U17" s="12">
        <v>1000</v>
      </c>
      <c r="V17" s="6"/>
      <c r="W17" s="14">
        <f t="shared" si="4"/>
        <v>0</v>
      </c>
      <c r="X17" s="11">
        <f t="shared" si="5"/>
        <v>54440</v>
      </c>
    </row>
    <row r="18" spans="1:26" ht="20.100000000000001" customHeight="1" x14ac:dyDescent="0.15">
      <c r="A18" s="1">
        <v>13</v>
      </c>
      <c r="B18" s="1" t="s">
        <v>26</v>
      </c>
      <c r="C18" s="2" t="s">
        <v>58</v>
      </c>
      <c r="D18" s="35">
        <v>5190</v>
      </c>
      <c r="E18" s="5">
        <v>13</v>
      </c>
      <c r="F18" s="14">
        <f t="shared" si="6"/>
        <v>67470</v>
      </c>
      <c r="G18" s="31">
        <f t="shared" si="16"/>
        <v>75920</v>
      </c>
      <c r="H18" s="31">
        <f t="shared" ref="H18" si="17">G18-F17</f>
        <v>23360</v>
      </c>
      <c r="I18" s="2">
        <v>300</v>
      </c>
      <c r="J18" s="5">
        <v>13</v>
      </c>
      <c r="K18" s="14">
        <f t="shared" si="0"/>
        <v>3900</v>
      </c>
      <c r="L18" s="2">
        <v>940</v>
      </c>
      <c r="M18" s="6">
        <v>3</v>
      </c>
      <c r="N18" s="15">
        <f t="shared" si="1"/>
        <v>2820</v>
      </c>
      <c r="O18" s="2">
        <v>350</v>
      </c>
      <c r="P18" s="17">
        <v>19</v>
      </c>
      <c r="Q18" s="18">
        <f t="shared" si="2"/>
        <v>6650</v>
      </c>
      <c r="R18" s="11">
        <v>2800</v>
      </c>
      <c r="S18" s="6"/>
      <c r="T18" s="15">
        <f t="shared" si="3"/>
        <v>0</v>
      </c>
      <c r="U18" s="12">
        <v>1000</v>
      </c>
      <c r="V18" s="6"/>
      <c r="W18" s="14">
        <f t="shared" si="4"/>
        <v>0</v>
      </c>
      <c r="X18" s="35">
        <f t="shared" si="5"/>
        <v>74190</v>
      </c>
    </row>
    <row r="19" spans="1:26" ht="20.100000000000001" customHeight="1" x14ac:dyDescent="0.15">
      <c r="A19" s="1">
        <v>14</v>
      </c>
      <c r="B19" s="1" t="s">
        <v>30</v>
      </c>
      <c r="C19" s="2"/>
      <c r="D19" s="11">
        <v>5840</v>
      </c>
      <c r="E19" s="5">
        <v>3</v>
      </c>
      <c r="F19" s="14">
        <f t="shared" si="6"/>
        <v>17520</v>
      </c>
      <c r="G19" s="31">
        <f t="shared" si="16"/>
        <v>17520</v>
      </c>
      <c r="H19" s="31">
        <f t="shared" ref="H19:H20" si="18">G19-F19</f>
        <v>0</v>
      </c>
      <c r="I19" s="2">
        <v>300</v>
      </c>
      <c r="J19" s="5">
        <v>3</v>
      </c>
      <c r="K19" s="14">
        <f t="shared" si="0"/>
        <v>900</v>
      </c>
      <c r="L19" s="2">
        <v>940</v>
      </c>
      <c r="M19" s="6"/>
      <c r="N19" s="15">
        <f t="shared" si="1"/>
        <v>0</v>
      </c>
      <c r="O19" s="2">
        <v>350</v>
      </c>
      <c r="P19" s="17"/>
      <c r="Q19" s="18">
        <f t="shared" si="2"/>
        <v>0</v>
      </c>
      <c r="R19" s="11">
        <v>2800</v>
      </c>
      <c r="S19" s="6"/>
      <c r="T19" s="15">
        <f t="shared" si="3"/>
        <v>0</v>
      </c>
      <c r="U19" s="12">
        <v>1000</v>
      </c>
      <c r="V19" s="6"/>
      <c r="W19" s="14">
        <f t="shared" si="4"/>
        <v>0</v>
      </c>
      <c r="X19" s="11">
        <f t="shared" si="5"/>
        <v>18420</v>
      </c>
    </row>
    <row r="20" spans="1:26" ht="20.100000000000001" customHeight="1" x14ac:dyDescent="0.15">
      <c r="A20" s="1">
        <v>15</v>
      </c>
      <c r="B20" s="1" t="s">
        <v>33</v>
      </c>
      <c r="C20" s="2" t="s">
        <v>58</v>
      </c>
      <c r="D20" s="35">
        <v>5190</v>
      </c>
      <c r="E20" s="5"/>
      <c r="F20" s="14">
        <f t="shared" si="6"/>
        <v>0</v>
      </c>
      <c r="G20" s="31">
        <f>E20*5190</f>
        <v>0</v>
      </c>
      <c r="H20" s="31">
        <f t="shared" si="18"/>
        <v>0</v>
      </c>
      <c r="I20" s="2">
        <v>300</v>
      </c>
      <c r="J20" s="5"/>
      <c r="K20" s="14">
        <f t="shared" si="0"/>
        <v>0</v>
      </c>
      <c r="L20" s="2">
        <v>940</v>
      </c>
      <c r="M20" s="6"/>
      <c r="N20" s="15">
        <f t="shared" si="1"/>
        <v>0</v>
      </c>
      <c r="O20" s="2">
        <v>350</v>
      </c>
      <c r="P20" s="17"/>
      <c r="Q20" s="18">
        <f t="shared" si="2"/>
        <v>0</v>
      </c>
      <c r="R20" s="11">
        <v>2800</v>
      </c>
      <c r="S20" s="6"/>
      <c r="T20" s="15">
        <f t="shared" si="3"/>
        <v>0</v>
      </c>
      <c r="U20" s="12">
        <v>1000</v>
      </c>
      <c r="V20" s="6"/>
      <c r="W20" s="14">
        <f t="shared" si="4"/>
        <v>0</v>
      </c>
      <c r="X20" s="11">
        <f t="shared" si="5"/>
        <v>0</v>
      </c>
    </row>
    <row r="21" spans="1:26" ht="20.100000000000001" customHeight="1" x14ac:dyDescent="0.15">
      <c r="A21" s="1">
        <v>16</v>
      </c>
      <c r="B21" s="1" t="s">
        <v>31</v>
      </c>
      <c r="C21" s="2"/>
      <c r="D21" s="11">
        <v>5890</v>
      </c>
      <c r="E21" s="5">
        <v>7</v>
      </c>
      <c r="F21" s="14">
        <f t="shared" si="6"/>
        <v>41230</v>
      </c>
      <c r="G21" s="31">
        <f>E21*5890</f>
        <v>41230</v>
      </c>
      <c r="H21" s="31">
        <f>G21-F21</f>
        <v>0</v>
      </c>
      <c r="I21" s="2">
        <v>300</v>
      </c>
      <c r="J21" s="5">
        <v>7</v>
      </c>
      <c r="K21" s="14">
        <f t="shared" si="0"/>
        <v>2100</v>
      </c>
      <c r="L21" s="2">
        <v>940</v>
      </c>
      <c r="M21" s="6"/>
      <c r="N21" s="15">
        <f t="shared" si="1"/>
        <v>0</v>
      </c>
      <c r="O21" s="2">
        <v>350</v>
      </c>
      <c r="P21" s="17"/>
      <c r="Q21" s="18">
        <f t="shared" si="2"/>
        <v>0</v>
      </c>
      <c r="R21" s="11">
        <v>2800</v>
      </c>
      <c r="S21" s="6"/>
      <c r="T21" s="15">
        <f t="shared" si="3"/>
        <v>0</v>
      </c>
      <c r="U21" s="12">
        <v>1000</v>
      </c>
      <c r="V21" s="6"/>
      <c r="W21" s="14">
        <f t="shared" si="4"/>
        <v>0</v>
      </c>
      <c r="X21" s="11">
        <f t="shared" si="5"/>
        <v>43330</v>
      </c>
    </row>
    <row r="22" spans="1:26" ht="20.100000000000001" customHeight="1" x14ac:dyDescent="0.15">
      <c r="A22" s="1">
        <v>17</v>
      </c>
      <c r="B22" s="1" t="s">
        <v>20</v>
      </c>
      <c r="C22" s="2"/>
      <c r="D22" s="11">
        <v>5840</v>
      </c>
      <c r="E22" s="5">
        <v>20</v>
      </c>
      <c r="F22" s="14">
        <f t="shared" si="6"/>
        <v>116800</v>
      </c>
      <c r="G22" s="31">
        <f t="shared" si="16"/>
        <v>116800</v>
      </c>
      <c r="H22" s="31">
        <f t="shared" ref="H22:H23" si="19">G22-F22</f>
        <v>0</v>
      </c>
      <c r="I22" s="2">
        <v>300</v>
      </c>
      <c r="J22" s="5">
        <v>15</v>
      </c>
      <c r="K22" s="14">
        <f t="shared" si="0"/>
        <v>4500</v>
      </c>
      <c r="L22" s="2">
        <v>940</v>
      </c>
      <c r="M22" s="6">
        <v>2</v>
      </c>
      <c r="N22" s="15">
        <f t="shared" si="1"/>
        <v>1880</v>
      </c>
      <c r="O22" s="2">
        <v>350</v>
      </c>
      <c r="P22" s="17">
        <v>19</v>
      </c>
      <c r="Q22" s="18">
        <f t="shared" si="2"/>
        <v>6650</v>
      </c>
      <c r="R22" s="11">
        <v>2800</v>
      </c>
      <c r="S22" s="6"/>
      <c r="T22" s="15">
        <f t="shared" si="3"/>
        <v>0</v>
      </c>
      <c r="U22" s="12">
        <v>1000</v>
      </c>
      <c r="V22" s="6"/>
      <c r="W22" s="14">
        <f t="shared" si="4"/>
        <v>0</v>
      </c>
      <c r="X22" s="11">
        <f t="shared" si="5"/>
        <v>123180</v>
      </c>
    </row>
    <row r="23" spans="1:26" ht="20.100000000000001" customHeight="1" x14ac:dyDescent="0.15">
      <c r="A23" s="1">
        <v>18</v>
      </c>
      <c r="B23" s="1" t="s">
        <v>28</v>
      </c>
      <c r="C23" s="2"/>
      <c r="D23" s="11">
        <v>5840</v>
      </c>
      <c r="E23" s="5">
        <v>12</v>
      </c>
      <c r="F23" s="14">
        <f t="shared" si="6"/>
        <v>70080</v>
      </c>
      <c r="G23" s="31">
        <f t="shared" si="16"/>
        <v>70080</v>
      </c>
      <c r="H23" s="31">
        <f t="shared" si="19"/>
        <v>0</v>
      </c>
      <c r="I23" s="2">
        <v>300</v>
      </c>
      <c r="J23" s="5">
        <v>12</v>
      </c>
      <c r="K23" s="14">
        <f t="shared" si="0"/>
        <v>3600</v>
      </c>
      <c r="L23" s="2">
        <v>940</v>
      </c>
      <c r="M23" s="6">
        <v>3</v>
      </c>
      <c r="N23" s="15">
        <f t="shared" si="1"/>
        <v>2820</v>
      </c>
      <c r="O23" s="2">
        <v>350</v>
      </c>
      <c r="P23" s="17"/>
      <c r="Q23" s="18">
        <f t="shared" si="2"/>
        <v>0</v>
      </c>
      <c r="R23" s="11">
        <v>2800</v>
      </c>
      <c r="S23" s="6"/>
      <c r="T23" s="15">
        <f t="shared" si="3"/>
        <v>0</v>
      </c>
      <c r="U23" s="12">
        <v>1000</v>
      </c>
      <c r="V23" s="6"/>
      <c r="W23" s="14">
        <f t="shared" si="4"/>
        <v>0</v>
      </c>
      <c r="X23" s="11">
        <f t="shared" si="5"/>
        <v>76500</v>
      </c>
    </row>
    <row r="24" spans="1:26" ht="20.100000000000001" customHeight="1" x14ac:dyDescent="0.15">
      <c r="A24" s="1">
        <v>19</v>
      </c>
      <c r="B24" s="1" t="s">
        <v>36</v>
      </c>
      <c r="C24" s="2" t="s">
        <v>58</v>
      </c>
      <c r="D24" s="35">
        <v>5190</v>
      </c>
      <c r="E24" s="5">
        <v>4</v>
      </c>
      <c r="F24" s="14">
        <f t="shared" si="6"/>
        <v>20760</v>
      </c>
      <c r="G24" s="31">
        <f t="shared" si="16"/>
        <v>23360</v>
      </c>
      <c r="H24" s="31">
        <f>G24-F24</f>
        <v>2600</v>
      </c>
      <c r="I24" s="2">
        <v>300</v>
      </c>
      <c r="J24" s="5">
        <v>4</v>
      </c>
      <c r="K24" s="14">
        <f t="shared" si="0"/>
        <v>1200</v>
      </c>
      <c r="L24" s="2">
        <v>940</v>
      </c>
      <c r="M24" s="6">
        <v>2</v>
      </c>
      <c r="N24" s="15">
        <f t="shared" si="1"/>
        <v>1880</v>
      </c>
      <c r="O24" s="2">
        <v>350</v>
      </c>
      <c r="P24" s="17">
        <v>5</v>
      </c>
      <c r="Q24" s="18">
        <f t="shared" si="2"/>
        <v>1750</v>
      </c>
      <c r="R24" s="11">
        <v>2800</v>
      </c>
      <c r="S24" s="6"/>
      <c r="T24" s="15">
        <f t="shared" si="3"/>
        <v>0</v>
      </c>
      <c r="U24" s="12">
        <v>1000</v>
      </c>
      <c r="V24" s="6"/>
      <c r="W24" s="14">
        <f t="shared" si="4"/>
        <v>0</v>
      </c>
      <c r="X24" s="35">
        <f t="shared" si="5"/>
        <v>23840</v>
      </c>
    </row>
    <row r="25" spans="1:26" ht="20.100000000000001" customHeight="1" x14ac:dyDescent="0.15">
      <c r="A25" s="1">
        <v>21</v>
      </c>
      <c r="B25" s="1" t="s">
        <v>27</v>
      </c>
      <c r="C25" s="2"/>
      <c r="D25" s="11">
        <v>5840</v>
      </c>
      <c r="E25" s="5"/>
      <c r="F25" s="14">
        <f t="shared" si="6"/>
        <v>0</v>
      </c>
      <c r="G25" s="31">
        <f t="shared" si="16"/>
        <v>0</v>
      </c>
      <c r="H25" s="31">
        <f t="shared" ref="H25" si="20">G25-F25</f>
        <v>0</v>
      </c>
      <c r="I25" s="2">
        <v>300</v>
      </c>
      <c r="J25" s="5"/>
      <c r="K25" s="14">
        <f t="shared" si="0"/>
        <v>0</v>
      </c>
      <c r="L25" s="2">
        <v>940</v>
      </c>
      <c r="M25" s="6"/>
      <c r="N25" s="15">
        <f t="shared" si="1"/>
        <v>0</v>
      </c>
      <c r="O25" s="2">
        <v>350</v>
      </c>
      <c r="P25" s="17">
        <v>21</v>
      </c>
      <c r="Q25" s="18">
        <f t="shared" si="2"/>
        <v>7350</v>
      </c>
      <c r="R25" s="11">
        <v>2800</v>
      </c>
      <c r="S25" s="6"/>
      <c r="T25" s="15">
        <f t="shared" si="3"/>
        <v>0</v>
      </c>
      <c r="U25" s="12">
        <v>1000</v>
      </c>
      <c r="V25" s="6"/>
      <c r="W25" s="14">
        <f t="shared" si="4"/>
        <v>0</v>
      </c>
      <c r="X25" s="11">
        <f t="shared" si="5"/>
        <v>0</v>
      </c>
    </row>
    <row r="26" spans="1:26" ht="20.100000000000001" customHeight="1" x14ac:dyDescent="0.15">
      <c r="A26" s="1">
        <v>22</v>
      </c>
      <c r="B26" s="1"/>
      <c r="C26" s="2"/>
      <c r="D26" s="11">
        <v>5840</v>
      </c>
      <c r="E26" s="5"/>
      <c r="F26" s="14">
        <f t="shared" si="6"/>
        <v>0</v>
      </c>
      <c r="G26" s="31">
        <f t="shared" ref="G26" si="21">E25*5890</f>
        <v>0</v>
      </c>
      <c r="H26" s="31">
        <f t="shared" ref="H26" si="22">G26-F25</f>
        <v>0</v>
      </c>
      <c r="I26" s="2">
        <v>300</v>
      </c>
      <c r="J26" s="5"/>
      <c r="K26" s="14">
        <f t="shared" si="0"/>
        <v>0</v>
      </c>
      <c r="L26" s="2">
        <v>940</v>
      </c>
      <c r="M26" s="6"/>
      <c r="N26" s="15">
        <f t="shared" si="1"/>
        <v>0</v>
      </c>
      <c r="O26" s="2">
        <v>350</v>
      </c>
      <c r="P26" s="17"/>
      <c r="Q26" s="18">
        <f t="shared" si="2"/>
        <v>0</v>
      </c>
      <c r="R26" s="11">
        <v>2800</v>
      </c>
      <c r="S26" s="6"/>
      <c r="T26" s="15">
        <f t="shared" si="3"/>
        <v>0</v>
      </c>
      <c r="U26" s="12">
        <v>1000</v>
      </c>
      <c r="V26" s="6"/>
      <c r="W26" s="14">
        <f t="shared" si="4"/>
        <v>0</v>
      </c>
      <c r="X26" s="11">
        <f t="shared" si="5"/>
        <v>0</v>
      </c>
    </row>
    <row r="27" spans="1:26" x14ac:dyDescent="0.15">
      <c r="A27" s="1"/>
      <c r="B27" s="1"/>
      <c r="C27" s="1"/>
      <c r="D27" s="1"/>
      <c r="E27" s="1"/>
      <c r="F27" s="12">
        <f>SUM(F5:F25)</f>
        <v>1276610</v>
      </c>
      <c r="G27" s="12"/>
      <c r="H27" s="12">
        <f>SUM(H6:H26)</f>
        <v>76010</v>
      </c>
      <c r="I27" s="12"/>
      <c r="J27" s="12"/>
      <c r="K27" s="12">
        <f>SUM(K5:K25)</f>
        <v>16200</v>
      </c>
      <c r="L27" s="12"/>
      <c r="M27" s="12"/>
      <c r="N27" s="12">
        <f>SUM(N5:N25)</f>
        <v>25380</v>
      </c>
      <c r="O27" s="12"/>
      <c r="P27" s="12"/>
      <c r="Q27" s="12">
        <f>SUM(Q5:Q25)</f>
        <v>66650</v>
      </c>
      <c r="R27" s="12"/>
      <c r="S27" s="1"/>
      <c r="T27" s="12">
        <f>SUM(T5:T25)</f>
        <v>0</v>
      </c>
      <c r="U27" s="1"/>
      <c r="V27" s="1"/>
      <c r="W27" s="12">
        <f>SUM(W5:W25)</f>
        <v>0</v>
      </c>
      <c r="X27" s="12">
        <f>SUM(X6:X25)</f>
        <v>1318190</v>
      </c>
    </row>
    <row r="29" spans="1:26" ht="13.5" customHeight="1" x14ac:dyDescent="0.15">
      <c r="B29" s="65" t="s">
        <v>21</v>
      </c>
      <c r="C29" s="65"/>
      <c r="D29" s="65"/>
      <c r="E29" s="65"/>
      <c r="F29" s="65"/>
      <c r="G29" s="34"/>
      <c r="H29" s="34"/>
      <c r="J29" s="66"/>
      <c r="K29" s="66"/>
      <c r="L29" s="66"/>
      <c r="M29" s="66"/>
      <c r="N29" s="66"/>
      <c r="Q29" s="8"/>
      <c r="R29" s="8"/>
      <c r="S29" s="8"/>
      <c r="T29" s="8"/>
      <c r="U29" s="8"/>
      <c r="V29" s="8"/>
      <c r="W29" s="8"/>
      <c r="X29" s="7"/>
      <c r="Y29" s="22"/>
      <c r="Z29" s="22"/>
    </row>
    <row r="30" spans="1:26" ht="13.5" customHeight="1" x14ac:dyDescent="0.15">
      <c r="B30" s="1" t="s">
        <v>23</v>
      </c>
      <c r="C30" s="1"/>
      <c r="D30" s="1">
        <v>350</v>
      </c>
      <c r="E30" s="1">
        <v>1</v>
      </c>
      <c r="F30" s="1">
        <f>SUM(D30*E30)</f>
        <v>350</v>
      </c>
      <c r="G30" s="25"/>
      <c r="H30" s="25"/>
      <c r="J30" s="25"/>
      <c r="K30" s="26"/>
      <c r="L30" s="25"/>
      <c r="M30" s="67"/>
      <c r="N30" s="67"/>
      <c r="O30" s="68"/>
      <c r="P30" s="68"/>
      <c r="Q30" s="7"/>
      <c r="R30" s="7"/>
      <c r="S30" s="7"/>
      <c r="T30" s="7"/>
      <c r="U30" s="69">
        <f>X27</f>
        <v>1318190</v>
      </c>
      <c r="V30" s="69"/>
      <c r="W30" s="69"/>
      <c r="X30" s="69"/>
      <c r="Y30" s="22"/>
      <c r="Z30" s="22"/>
    </row>
    <row r="31" spans="1:26" ht="13.5" customHeight="1" x14ac:dyDescent="0.15">
      <c r="B31" s="24" t="s">
        <v>32</v>
      </c>
      <c r="C31" s="24"/>
      <c r="D31" s="1">
        <v>350</v>
      </c>
      <c r="E31" s="1">
        <v>3</v>
      </c>
      <c r="F31" s="1">
        <f>SUM(D31*E31)</f>
        <v>1050</v>
      </c>
      <c r="G31" s="25"/>
      <c r="H31" s="25"/>
      <c r="J31" s="25"/>
      <c r="K31" s="26"/>
      <c r="L31" s="25"/>
      <c r="M31" s="67"/>
      <c r="N31" s="67"/>
      <c r="O31" s="68"/>
      <c r="P31" s="68"/>
      <c r="Q31" s="8"/>
      <c r="R31" s="8"/>
      <c r="S31" s="8"/>
      <c r="T31" s="8"/>
      <c r="U31" s="69"/>
      <c r="V31" s="69"/>
      <c r="W31" s="69"/>
      <c r="X31" s="69"/>
      <c r="Y31" s="23"/>
      <c r="Z31" s="22"/>
    </row>
    <row r="32" spans="1:26" ht="13.5" customHeight="1" x14ac:dyDescent="0.15">
      <c r="B32" t="s">
        <v>34</v>
      </c>
      <c r="U32" s="69"/>
      <c r="V32" s="69"/>
      <c r="W32" s="69"/>
      <c r="X32" s="69"/>
      <c r="Y32" s="23"/>
      <c r="Z32" s="22"/>
    </row>
    <row r="33" spans="2:26" ht="13.5" customHeight="1" x14ac:dyDescent="0.15">
      <c r="B33" t="s">
        <v>29</v>
      </c>
      <c r="T33" s="22"/>
      <c r="U33" s="22"/>
      <c r="V33" s="23"/>
      <c r="W33" s="23"/>
      <c r="X33" s="23"/>
      <c r="Y33" s="23"/>
      <c r="Z33" s="22"/>
    </row>
    <row r="34" spans="2:26" x14ac:dyDescent="0.15">
      <c r="B34" t="s">
        <v>35</v>
      </c>
      <c r="T34" s="22"/>
      <c r="U34" s="22"/>
      <c r="V34" s="22"/>
      <c r="W34" s="22" t="s">
        <v>52</v>
      </c>
      <c r="X34" s="38">
        <f>X6+X7+X18+X20+X24</f>
        <v>274940</v>
      </c>
      <c r="Y34" s="22"/>
      <c r="Z34" s="22"/>
    </row>
    <row r="35" spans="2:26" x14ac:dyDescent="0.15">
      <c r="T35" s="22"/>
      <c r="U35" s="22"/>
      <c r="V35" s="22"/>
      <c r="W35" s="22" t="s">
        <v>57</v>
      </c>
      <c r="X35" s="38">
        <f>X9+X10</f>
        <v>228360</v>
      </c>
      <c r="Y35" s="22"/>
      <c r="Z35" s="22"/>
    </row>
  </sheetData>
  <autoFilter ref="A4:Z27"/>
  <mergeCells count="31">
    <mergeCell ref="V5:V6"/>
    <mergeCell ref="W5:W6"/>
    <mergeCell ref="B29:F29"/>
    <mergeCell ref="J29:N29"/>
    <mergeCell ref="M30:N30"/>
    <mergeCell ref="O30:P30"/>
    <mergeCell ref="U30:X32"/>
    <mergeCell ref="M31:N31"/>
    <mergeCell ref="O31:P31"/>
    <mergeCell ref="M5:M6"/>
    <mergeCell ref="N5:N6"/>
    <mergeCell ref="R5:R6"/>
    <mergeCell ref="S5:S6"/>
    <mergeCell ref="T5:T6"/>
    <mergeCell ref="U5:U6"/>
    <mergeCell ref="U3:W3"/>
    <mergeCell ref="X3:X4"/>
    <mergeCell ref="B5:B6"/>
    <mergeCell ref="D5:D6"/>
    <mergeCell ref="E5:E6"/>
    <mergeCell ref="F5:F6"/>
    <mergeCell ref="I5:I6"/>
    <mergeCell ref="J5:J6"/>
    <mergeCell ref="K5:K6"/>
    <mergeCell ref="L5:L6"/>
    <mergeCell ref="A2:B3"/>
    <mergeCell ref="D3:F3"/>
    <mergeCell ref="I3:K3"/>
    <mergeCell ref="L3:N3"/>
    <mergeCell ref="O3:Q3"/>
    <mergeCell ref="R3:T3"/>
  </mergeCells>
  <phoneticPr fontId="2"/>
  <pageMargins left="0.51181102362204722" right="0" top="0.35433070866141736" bottom="0.35433070866141736" header="0.31496062992125984" footer="0.31496062992125984"/>
  <pageSetup paperSize="9" scale="83" orientation="landscape" r:id="rId1"/>
  <headerFooter>
    <oddFooter>&amp;Rカイト御調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40"/>
  <sheetViews>
    <sheetView workbookViewId="0">
      <selection activeCell="X24" sqref="X24"/>
    </sheetView>
  </sheetViews>
  <sheetFormatPr defaultRowHeight="13.5" x14ac:dyDescent="0.15"/>
  <cols>
    <col min="1" max="1" width="3.25" customWidth="1"/>
    <col min="2" max="3" width="12.625" customWidth="1"/>
    <col min="4" max="4" width="6.625" customWidth="1"/>
    <col min="5" max="5" width="5.125" customWidth="1"/>
    <col min="6" max="8" width="9" customWidth="1"/>
    <col min="9" max="9" width="5.5" customWidth="1"/>
    <col min="10" max="10" width="5.375" customWidth="1"/>
    <col min="11" max="11" width="7.625" customWidth="1"/>
    <col min="12" max="12" width="5.625" customWidth="1"/>
    <col min="13" max="13" width="5" customWidth="1"/>
    <col min="14" max="14" width="7.625" customWidth="1"/>
    <col min="15" max="15" width="5.625" customWidth="1"/>
    <col min="16" max="16" width="4.875" customWidth="1"/>
    <col min="17" max="17" width="7.625" customWidth="1"/>
    <col min="18" max="18" width="6" customWidth="1"/>
    <col min="19" max="19" width="4.875" customWidth="1"/>
    <col min="20" max="20" width="7.625" customWidth="1"/>
    <col min="21" max="21" width="6.5" customWidth="1"/>
    <col min="22" max="22" width="4.875" customWidth="1"/>
    <col min="23" max="23" width="7.625" customWidth="1"/>
    <col min="24" max="24" width="10.625" customWidth="1"/>
  </cols>
  <sheetData>
    <row r="1" spans="1:24" x14ac:dyDescent="0.15">
      <c r="B1" t="s">
        <v>7</v>
      </c>
    </row>
    <row r="2" spans="1:24" x14ac:dyDescent="0.15">
      <c r="A2" s="59" t="s">
        <v>42</v>
      </c>
      <c r="B2" s="60"/>
      <c r="C2" s="34"/>
    </row>
    <row r="3" spans="1:24" x14ac:dyDescent="0.15">
      <c r="A3" s="61"/>
      <c r="B3" s="62"/>
      <c r="C3" s="36"/>
      <c r="D3" s="44" t="s">
        <v>0</v>
      </c>
      <c r="E3" s="45"/>
      <c r="F3" s="46"/>
      <c r="G3" s="29"/>
      <c r="H3" s="29"/>
      <c r="I3" s="44" t="s">
        <v>1</v>
      </c>
      <c r="J3" s="45"/>
      <c r="K3" s="46"/>
      <c r="L3" s="44" t="s">
        <v>2</v>
      </c>
      <c r="M3" s="45"/>
      <c r="N3" s="46"/>
      <c r="O3" s="44" t="s">
        <v>21</v>
      </c>
      <c r="P3" s="45"/>
      <c r="Q3" s="46"/>
      <c r="R3" s="44" t="s">
        <v>40</v>
      </c>
      <c r="S3" s="45"/>
      <c r="T3" s="46"/>
      <c r="U3" s="44" t="s">
        <v>3</v>
      </c>
      <c r="V3" s="45"/>
      <c r="W3" s="46"/>
      <c r="X3" s="47" t="s">
        <v>6</v>
      </c>
    </row>
    <row r="4" spans="1:24" ht="14.25" thickBot="1" x14ac:dyDescent="0.2">
      <c r="A4" s="2"/>
      <c r="B4" s="9" t="s">
        <v>4</v>
      </c>
      <c r="C4" s="9"/>
      <c r="D4" s="3">
        <v>5890</v>
      </c>
      <c r="E4" s="10" t="s">
        <v>5</v>
      </c>
      <c r="F4" s="3"/>
      <c r="G4" s="3"/>
      <c r="H4" s="3"/>
      <c r="I4" s="3">
        <v>300</v>
      </c>
      <c r="J4" s="10" t="s">
        <v>5</v>
      </c>
      <c r="K4" s="3"/>
      <c r="L4" s="3">
        <v>940</v>
      </c>
      <c r="M4" s="10" t="s">
        <v>5</v>
      </c>
      <c r="N4" s="3"/>
      <c r="O4" s="3">
        <v>350</v>
      </c>
      <c r="P4" s="10" t="s">
        <v>5</v>
      </c>
      <c r="Q4" s="3"/>
      <c r="R4" s="13">
        <v>270</v>
      </c>
      <c r="S4" s="3" t="s">
        <v>5</v>
      </c>
      <c r="T4" s="3"/>
      <c r="U4" s="13">
        <v>1000</v>
      </c>
      <c r="V4" s="10" t="s">
        <v>5</v>
      </c>
      <c r="W4" s="3"/>
      <c r="X4" s="48"/>
    </row>
    <row r="5" spans="1:24" ht="14.25" customHeight="1" thickTop="1" x14ac:dyDescent="0.15">
      <c r="A5" s="2"/>
      <c r="B5" s="49" t="s">
        <v>9</v>
      </c>
      <c r="C5" s="32"/>
      <c r="D5" s="51">
        <v>5190</v>
      </c>
      <c r="E5" s="53">
        <v>11</v>
      </c>
      <c r="F5" s="55">
        <f>SUM(D5*E5)</f>
        <v>57090</v>
      </c>
      <c r="G5" s="30"/>
      <c r="H5" s="30"/>
      <c r="I5" s="57">
        <v>300</v>
      </c>
      <c r="J5" s="53"/>
      <c r="K5" s="55">
        <f>SUM(I5*J5)</f>
        <v>0</v>
      </c>
      <c r="L5" s="57">
        <v>940</v>
      </c>
      <c r="M5" s="53">
        <v>4</v>
      </c>
      <c r="N5" s="70">
        <f>SUM(L5*M5)</f>
        <v>3760</v>
      </c>
      <c r="O5" s="4"/>
      <c r="P5" s="20"/>
      <c r="Q5" s="21"/>
      <c r="R5" s="74">
        <v>270</v>
      </c>
      <c r="S5" s="53">
        <v>22</v>
      </c>
      <c r="T5" s="70">
        <f>SUM(R5*S5)</f>
        <v>5940</v>
      </c>
      <c r="U5" s="76">
        <v>1000</v>
      </c>
      <c r="V5" s="63"/>
      <c r="W5" s="55">
        <f>SUM(V6*U5)</f>
        <v>0</v>
      </c>
      <c r="X5" s="19"/>
    </row>
    <row r="6" spans="1:24" ht="20.100000000000001" customHeight="1" x14ac:dyDescent="0.15">
      <c r="A6" s="1">
        <v>1</v>
      </c>
      <c r="B6" s="50"/>
      <c r="C6" s="33" t="s">
        <v>58</v>
      </c>
      <c r="D6" s="52"/>
      <c r="E6" s="54"/>
      <c r="F6" s="56"/>
      <c r="G6" s="31">
        <f>E5*5890</f>
        <v>64790</v>
      </c>
      <c r="H6" s="31">
        <f>G6-F5</f>
        <v>7700</v>
      </c>
      <c r="I6" s="58"/>
      <c r="J6" s="54"/>
      <c r="K6" s="56"/>
      <c r="L6" s="58"/>
      <c r="M6" s="54"/>
      <c r="N6" s="71"/>
      <c r="O6" s="2">
        <v>290</v>
      </c>
      <c r="P6" s="16">
        <v>10</v>
      </c>
      <c r="Q6" s="18">
        <f>SUM(O6*P6)</f>
        <v>2900</v>
      </c>
      <c r="R6" s="75"/>
      <c r="S6" s="54"/>
      <c r="T6" s="71"/>
      <c r="U6" s="77"/>
      <c r="V6" s="64"/>
      <c r="W6" s="56"/>
      <c r="X6" s="35">
        <f>SUM(F5+K5+N5+T5+W5)</f>
        <v>66790</v>
      </c>
    </row>
    <row r="7" spans="1:24" ht="20.100000000000001" customHeight="1" x14ac:dyDescent="0.15">
      <c r="A7" s="1">
        <v>2</v>
      </c>
      <c r="B7" s="1" t="s">
        <v>10</v>
      </c>
      <c r="C7" s="33" t="s">
        <v>58</v>
      </c>
      <c r="D7" s="35">
        <v>5190</v>
      </c>
      <c r="E7" s="5">
        <v>19</v>
      </c>
      <c r="F7" s="14">
        <f>SUM(D7*E7)</f>
        <v>98610</v>
      </c>
      <c r="G7" s="14">
        <f>E7*5890</f>
        <v>111910</v>
      </c>
      <c r="H7" s="31">
        <f>G7-F7</f>
        <v>13300</v>
      </c>
      <c r="I7" s="2">
        <v>300</v>
      </c>
      <c r="J7" s="5"/>
      <c r="K7" s="14">
        <f t="shared" ref="K7:K26" si="0">SUM(I7*J7)</f>
        <v>0</v>
      </c>
      <c r="L7" s="2">
        <v>940</v>
      </c>
      <c r="M7" s="6">
        <v>3</v>
      </c>
      <c r="N7" s="15">
        <f t="shared" ref="N7:N26" si="1">SUM(L7*M7)</f>
        <v>2820</v>
      </c>
      <c r="O7" s="2">
        <v>350</v>
      </c>
      <c r="P7" s="17">
        <v>19</v>
      </c>
      <c r="Q7" s="18">
        <f t="shared" ref="Q7:Q26" si="2">SUM(O7*P7)</f>
        <v>6650</v>
      </c>
      <c r="R7" s="27">
        <v>270</v>
      </c>
      <c r="S7" s="6">
        <v>38</v>
      </c>
      <c r="T7" s="15">
        <f t="shared" ref="T7:T26" si="3">SUM(R7*S7)</f>
        <v>10260</v>
      </c>
      <c r="U7" s="12">
        <v>1000</v>
      </c>
      <c r="V7" s="6"/>
      <c r="W7" s="14">
        <f t="shared" ref="W7:W26" si="4">SUM(V7*U7)</f>
        <v>0</v>
      </c>
      <c r="X7" s="35">
        <f t="shared" ref="X7:X26" si="5">SUM(F7+K7+N7+T7+W7)</f>
        <v>111690</v>
      </c>
    </row>
    <row r="8" spans="1:24" ht="20.100000000000001" customHeight="1" x14ac:dyDescent="0.15">
      <c r="A8" s="1">
        <v>3</v>
      </c>
      <c r="B8" s="1" t="s">
        <v>11</v>
      </c>
      <c r="C8" s="2" t="s">
        <v>55</v>
      </c>
      <c r="D8" s="35">
        <v>5190</v>
      </c>
      <c r="E8" s="5">
        <v>6</v>
      </c>
      <c r="F8" s="14">
        <f t="shared" ref="F8:F26" si="6">SUM(D8*E8)</f>
        <v>31140</v>
      </c>
      <c r="G8" s="31">
        <f t="shared" ref="G8" si="7">E7*5890</f>
        <v>111910</v>
      </c>
      <c r="H8" s="31">
        <f t="shared" ref="H8" si="8">G8-F7</f>
        <v>13300</v>
      </c>
      <c r="I8" s="2">
        <v>300</v>
      </c>
      <c r="J8" s="5"/>
      <c r="K8" s="14">
        <f t="shared" si="0"/>
        <v>0</v>
      </c>
      <c r="L8" s="2">
        <v>940</v>
      </c>
      <c r="M8" s="6"/>
      <c r="N8" s="15">
        <f t="shared" si="1"/>
        <v>0</v>
      </c>
      <c r="O8" s="2">
        <v>350</v>
      </c>
      <c r="P8" s="17"/>
      <c r="Q8" s="18">
        <f t="shared" si="2"/>
        <v>0</v>
      </c>
      <c r="R8" s="27">
        <v>270</v>
      </c>
      <c r="S8" s="6"/>
      <c r="T8" s="15">
        <f t="shared" si="3"/>
        <v>0</v>
      </c>
      <c r="U8" s="12">
        <v>1000</v>
      </c>
      <c r="V8" s="6"/>
      <c r="W8" s="14">
        <f t="shared" si="4"/>
        <v>0</v>
      </c>
      <c r="X8" s="11">
        <f t="shared" si="5"/>
        <v>31140</v>
      </c>
    </row>
    <row r="9" spans="1:24" ht="20.100000000000001" customHeight="1" x14ac:dyDescent="0.15">
      <c r="A9" s="1">
        <v>4</v>
      </c>
      <c r="B9" s="1" t="s">
        <v>12</v>
      </c>
      <c r="C9" s="2" t="s">
        <v>59</v>
      </c>
      <c r="D9" s="35">
        <v>5190</v>
      </c>
      <c r="E9" s="5">
        <v>22</v>
      </c>
      <c r="F9" s="14">
        <f t="shared" si="6"/>
        <v>114180</v>
      </c>
      <c r="G9" s="14">
        <f t="shared" ref="G9" si="9">E9*5890</f>
        <v>129580</v>
      </c>
      <c r="H9" s="31">
        <f t="shared" ref="H9" si="10">G9-F9</f>
        <v>15400</v>
      </c>
      <c r="I9" s="2">
        <v>300</v>
      </c>
      <c r="J9" s="5"/>
      <c r="K9" s="14">
        <f t="shared" si="0"/>
        <v>0</v>
      </c>
      <c r="L9" s="2">
        <v>940</v>
      </c>
      <c r="M9" s="6"/>
      <c r="N9" s="15">
        <f t="shared" si="1"/>
        <v>0</v>
      </c>
      <c r="O9" s="2">
        <v>350</v>
      </c>
      <c r="P9" s="17">
        <v>5</v>
      </c>
      <c r="Q9" s="18">
        <f t="shared" si="2"/>
        <v>1750</v>
      </c>
      <c r="R9" s="27">
        <v>270</v>
      </c>
      <c r="S9" s="6"/>
      <c r="T9" s="15">
        <f t="shared" si="3"/>
        <v>0</v>
      </c>
      <c r="U9" s="12">
        <v>1000</v>
      </c>
      <c r="V9" s="6"/>
      <c r="W9" s="14">
        <f t="shared" si="4"/>
        <v>0</v>
      </c>
      <c r="X9" s="11">
        <f t="shared" si="5"/>
        <v>114180</v>
      </c>
    </row>
    <row r="10" spans="1:24" ht="20.100000000000001" customHeight="1" x14ac:dyDescent="0.15">
      <c r="A10" s="1">
        <v>5</v>
      </c>
      <c r="B10" s="1" t="s">
        <v>13</v>
      </c>
      <c r="C10" s="2" t="s">
        <v>59</v>
      </c>
      <c r="D10" s="35">
        <v>5190</v>
      </c>
      <c r="E10" s="5">
        <v>22</v>
      </c>
      <c r="F10" s="14">
        <f t="shared" si="6"/>
        <v>114180</v>
      </c>
      <c r="G10" s="31">
        <f t="shared" ref="G10" si="11">E9*5890</f>
        <v>129580</v>
      </c>
      <c r="H10" s="31">
        <f t="shared" ref="H10" si="12">G10-F9</f>
        <v>15400</v>
      </c>
      <c r="I10" s="2">
        <v>300</v>
      </c>
      <c r="J10" s="5"/>
      <c r="K10" s="14">
        <f t="shared" si="0"/>
        <v>0</v>
      </c>
      <c r="L10" s="2">
        <v>940</v>
      </c>
      <c r="M10" s="6"/>
      <c r="N10" s="15">
        <f t="shared" si="1"/>
        <v>0</v>
      </c>
      <c r="O10" s="2">
        <v>350</v>
      </c>
      <c r="P10" s="17">
        <v>5</v>
      </c>
      <c r="Q10" s="18">
        <f t="shared" si="2"/>
        <v>1750</v>
      </c>
      <c r="R10" s="27">
        <v>270</v>
      </c>
      <c r="S10" s="6"/>
      <c r="T10" s="15">
        <f t="shared" si="3"/>
        <v>0</v>
      </c>
      <c r="U10" s="12">
        <v>1000</v>
      </c>
      <c r="V10" s="6"/>
      <c r="W10" s="14">
        <f t="shared" si="4"/>
        <v>0</v>
      </c>
      <c r="X10" s="11">
        <f t="shared" si="5"/>
        <v>114180</v>
      </c>
    </row>
    <row r="11" spans="1:24" ht="20.100000000000001" customHeight="1" x14ac:dyDescent="0.15">
      <c r="A11" s="1">
        <v>6</v>
      </c>
      <c r="B11" s="1" t="s">
        <v>14</v>
      </c>
      <c r="C11" s="2" t="s">
        <v>55</v>
      </c>
      <c r="D11" s="35">
        <v>5190</v>
      </c>
      <c r="E11" s="5">
        <v>12</v>
      </c>
      <c r="F11" s="14">
        <f t="shared" si="6"/>
        <v>62280</v>
      </c>
      <c r="G11" s="14">
        <f t="shared" ref="G11" si="13">E11*5890</f>
        <v>70680</v>
      </c>
      <c r="H11" s="31">
        <f t="shared" ref="H11" si="14">G11-F11</f>
        <v>8400</v>
      </c>
      <c r="I11" s="2">
        <v>300</v>
      </c>
      <c r="J11" s="5"/>
      <c r="K11" s="14">
        <f t="shared" si="0"/>
        <v>0</v>
      </c>
      <c r="L11" s="2">
        <v>940</v>
      </c>
      <c r="M11" s="6">
        <v>4</v>
      </c>
      <c r="N11" s="15">
        <f t="shared" si="1"/>
        <v>3760</v>
      </c>
      <c r="O11" s="2">
        <v>350</v>
      </c>
      <c r="P11" s="17"/>
      <c r="Q11" s="18">
        <f t="shared" si="2"/>
        <v>0</v>
      </c>
      <c r="R11" s="27">
        <v>270</v>
      </c>
      <c r="S11" s="6">
        <v>24</v>
      </c>
      <c r="T11" s="15">
        <f t="shared" si="3"/>
        <v>6480</v>
      </c>
      <c r="U11" s="12">
        <v>1000</v>
      </c>
      <c r="V11" s="6"/>
      <c r="W11" s="14">
        <f t="shared" si="4"/>
        <v>0</v>
      </c>
      <c r="X11" s="11">
        <f t="shared" si="5"/>
        <v>72520</v>
      </c>
    </row>
    <row r="12" spans="1:24" ht="20.100000000000001" customHeight="1" x14ac:dyDescent="0.15">
      <c r="A12" s="1">
        <v>7</v>
      </c>
      <c r="B12" s="1" t="s">
        <v>15</v>
      </c>
      <c r="C12" s="2" t="s">
        <v>54</v>
      </c>
      <c r="D12" s="35">
        <v>5190</v>
      </c>
      <c r="E12" s="5">
        <v>22</v>
      </c>
      <c r="F12" s="14">
        <f t="shared" si="6"/>
        <v>114180</v>
      </c>
      <c r="G12" s="31">
        <f t="shared" ref="G12" si="15">E11*5890</f>
        <v>70680</v>
      </c>
      <c r="H12" s="31">
        <f t="shared" ref="H12" si="16">G12-F11</f>
        <v>8400</v>
      </c>
      <c r="I12" s="2">
        <v>300</v>
      </c>
      <c r="J12" s="5"/>
      <c r="K12" s="14">
        <f t="shared" si="0"/>
        <v>0</v>
      </c>
      <c r="L12" s="2">
        <v>940</v>
      </c>
      <c r="M12" s="6"/>
      <c r="N12" s="15">
        <f t="shared" si="1"/>
        <v>0</v>
      </c>
      <c r="O12" s="2">
        <v>350</v>
      </c>
      <c r="P12" s="17">
        <v>22</v>
      </c>
      <c r="Q12" s="18">
        <f t="shared" si="2"/>
        <v>7700</v>
      </c>
      <c r="R12" s="27">
        <v>270</v>
      </c>
      <c r="S12" s="6">
        <v>44</v>
      </c>
      <c r="T12" s="15">
        <f t="shared" si="3"/>
        <v>11880</v>
      </c>
      <c r="U12" s="12">
        <v>1000</v>
      </c>
      <c r="V12" s="6"/>
      <c r="W12" s="14">
        <f t="shared" si="4"/>
        <v>0</v>
      </c>
      <c r="X12" s="11">
        <f t="shared" si="5"/>
        <v>126060</v>
      </c>
    </row>
    <row r="13" spans="1:24" ht="20.100000000000001" customHeight="1" x14ac:dyDescent="0.15">
      <c r="A13" s="1">
        <v>8</v>
      </c>
      <c r="B13" s="1" t="s">
        <v>16</v>
      </c>
      <c r="C13" s="2" t="s">
        <v>55</v>
      </c>
      <c r="D13" s="35">
        <v>5190</v>
      </c>
      <c r="E13" s="5">
        <v>21</v>
      </c>
      <c r="F13" s="14">
        <f t="shared" si="6"/>
        <v>108990</v>
      </c>
      <c r="G13" s="14">
        <f t="shared" ref="G13" si="17">E13*5890</f>
        <v>123690</v>
      </c>
      <c r="H13" s="31">
        <f t="shared" ref="H13" si="18">G13-F13</f>
        <v>14700</v>
      </c>
      <c r="I13" s="2">
        <v>300</v>
      </c>
      <c r="J13" s="5"/>
      <c r="K13" s="14">
        <f t="shared" si="0"/>
        <v>0</v>
      </c>
      <c r="L13" s="2">
        <v>940</v>
      </c>
      <c r="M13" s="6">
        <v>1</v>
      </c>
      <c r="N13" s="15">
        <f t="shared" si="1"/>
        <v>940</v>
      </c>
      <c r="O13" s="2">
        <v>350</v>
      </c>
      <c r="P13" s="17">
        <v>8</v>
      </c>
      <c r="Q13" s="18">
        <f t="shared" si="2"/>
        <v>2800</v>
      </c>
      <c r="R13" s="27">
        <v>270</v>
      </c>
      <c r="S13" s="6">
        <v>42</v>
      </c>
      <c r="T13" s="15">
        <f t="shared" si="3"/>
        <v>11340</v>
      </c>
      <c r="U13" s="12">
        <v>1000</v>
      </c>
      <c r="V13" s="6"/>
      <c r="W13" s="14">
        <f t="shared" si="4"/>
        <v>0</v>
      </c>
      <c r="X13" s="11">
        <f t="shared" si="5"/>
        <v>121270</v>
      </c>
    </row>
    <row r="14" spans="1:24" ht="20.100000000000001" customHeight="1" x14ac:dyDescent="0.15">
      <c r="A14" s="1">
        <v>9</v>
      </c>
      <c r="B14" s="2" t="s">
        <v>17</v>
      </c>
      <c r="C14" s="2" t="s">
        <v>55</v>
      </c>
      <c r="D14" s="35">
        <v>5190</v>
      </c>
      <c r="E14" s="5">
        <v>19</v>
      </c>
      <c r="F14" s="14">
        <f t="shared" si="6"/>
        <v>98610</v>
      </c>
      <c r="G14" s="31">
        <f t="shared" ref="G14" si="19">E13*5890</f>
        <v>123690</v>
      </c>
      <c r="H14" s="31">
        <f t="shared" ref="H14" si="20">G14-F13</f>
        <v>14700</v>
      </c>
      <c r="I14" s="2">
        <v>300</v>
      </c>
      <c r="J14" s="5"/>
      <c r="K14" s="14">
        <f t="shared" si="0"/>
        <v>0</v>
      </c>
      <c r="L14" s="2">
        <v>940</v>
      </c>
      <c r="M14" s="6">
        <v>3</v>
      </c>
      <c r="N14" s="15">
        <f t="shared" si="1"/>
        <v>2820</v>
      </c>
      <c r="O14" s="2">
        <v>350</v>
      </c>
      <c r="P14" s="17">
        <v>19</v>
      </c>
      <c r="Q14" s="18">
        <f t="shared" si="2"/>
        <v>6650</v>
      </c>
      <c r="R14" s="27">
        <v>270</v>
      </c>
      <c r="S14" s="6">
        <v>38</v>
      </c>
      <c r="T14" s="15">
        <f t="shared" si="3"/>
        <v>10260</v>
      </c>
      <c r="U14" s="12">
        <v>1000</v>
      </c>
      <c r="V14" s="6"/>
      <c r="W14" s="14">
        <f t="shared" si="4"/>
        <v>0</v>
      </c>
      <c r="X14" s="11">
        <f t="shared" si="5"/>
        <v>111690</v>
      </c>
    </row>
    <row r="15" spans="1:24" ht="20.100000000000001" customHeight="1" x14ac:dyDescent="0.15">
      <c r="A15" s="1">
        <v>10</v>
      </c>
      <c r="B15" s="2" t="s">
        <v>18</v>
      </c>
      <c r="C15" s="2"/>
      <c r="D15" s="35">
        <v>5190</v>
      </c>
      <c r="E15" s="5"/>
      <c r="F15" s="14">
        <f t="shared" si="6"/>
        <v>0</v>
      </c>
      <c r="G15" s="14">
        <f t="shared" ref="G15" si="21">E15*5890</f>
        <v>0</v>
      </c>
      <c r="H15" s="31">
        <f t="shared" ref="H15" si="22">G15-F15</f>
        <v>0</v>
      </c>
      <c r="I15" s="2">
        <v>300</v>
      </c>
      <c r="J15" s="5"/>
      <c r="K15" s="14">
        <f t="shared" si="0"/>
        <v>0</v>
      </c>
      <c r="L15" s="2">
        <v>940</v>
      </c>
      <c r="M15" s="6"/>
      <c r="N15" s="15">
        <f t="shared" si="1"/>
        <v>0</v>
      </c>
      <c r="O15" s="2">
        <v>350</v>
      </c>
      <c r="P15" s="17"/>
      <c r="Q15" s="18">
        <f t="shared" si="2"/>
        <v>0</v>
      </c>
      <c r="R15" s="27">
        <v>270</v>
      </c>
      <c r="S15" s="6"/>
      <c r="T15" s="15">
        <f t="shared" si="3"/>
        <v>0</v>
      </c>
      <c r="U15" s="12">
        <v>1000</v>
      </c>
      <c r="V15" s="6"/>
      <c r="W15" s="14">
        <f t="shared" si="4"/>
        <v>0</v>
      </c>
      <c r="X15" s="11">
        <f t="shared" si="5"/>
        <v>0</v>
      </c>
    </row>
    <row r="16" spans="1:24" ht="20.100000000000001" customHeight="1" x14ac:dyDescent="0.15">
      <c r="A16" s="1">
        <v>11</v>
      </c>
      <c r="B16" s="1" t="s">
        <v>19</v>
      </c>
      <c r="C16" s="2"/>
      <c r="D16" s="35">
        <v>5190</v>
      </c>
      <c r="E16" s="5"/>
      <c r="F16" s="14">
        <f t="shared" si="6"/>
        <v>0</v>
      </c>
      <c r="G16" s="31">
        <f t="shared" ref="G16" si="23">E15*5890</f>
        <v>0</v>
      </c>
      <c r="H16" s="31">
        <f t="shared" ref="H16" si="24">G16-F15</f>
        <v>0</v>
      </c>
      <c r="I16" s="2">
        <v>300</v>
      </c>
      <c r="J16" s="5"/>
      <c r="K16" s="14">
        <f t="shared" si="0"/>
        <v>0</v>
      </c>
      <c r="L16" s="2">
        <v>940</v>
      </c>
      <c r="M16" s="6"/>
      <c r="N16" s="15">
        <f t="shared" si="1"/>
        <v>0</v>
      </c>
      <c r="O16" s="2">
        <v>350</v>
      </c>
      <c r="P16" s="17"/>
      <c r="Q16" s="18">
        <f t="shared" si="2"/>
        <v>0</v>
      </c>
      <c r="R16" s="27">
        <v>270</v>
      </c>
      <c r="S16" s="6"/>
      <c r="T16" s="15">
        <f t="shared" si="3"/>
        <v>0</v>
      </c>
      <c r="U16" s="12">
        <v>1000</v>
      </c>
      <c r="V16" s="6"/>
      <c r="W16" s="14">
        <f t="shared" si="4"/>
        <v>0</v>
      </c>
      <c r="X16" s="11">
        <f t="shared" si="5"/>
        <v>0</v>
      </c>
    </row>
    <row r="17" spans="1:26" ht="20.100000000000001" customHeight="1" x14ac:dyDescent="0.15">
      <c r="A17" s="1">
        <v>12</v>
      </c>
      <c r="B17" s="1" t="s">
        <v>24</v>
      </c>
      <c r="C17" s="2" t="s">
        <v>55</v>
      </c>
      <c r="D17" s="35">
        <v>5190</v>
      </c>
      <c r="E17" s="5">
        <v>11</v>
      </c>
      <c r="F17" s="14">
        <f t="shared" si="6"/>
        <v>57090</v>
      </c>
      <c r="G17" s="14">
        <f t="shared" ref="G17" si="25">E17*5890</f>
        <v>64790</v>
      </c>
      <c r="H17" s="31">
        <f t="shared" ref="H17" si="26">G17-F17</f>
        <v>7700</v>
      </c>
      <c r="I17" s="2">
        <v>300</v>
      </c>
      <c r="J17" s="5"/>
      <c r="K17" s="14">
        <f t="shared" si="0"/>
        <v>0</v>
      </c>
      <c r="L17" s="2">
        <v>940</v>
      </c>
      <c r="M17" s="6">
        <v>2</v>
      </c>
      <c r="N17" s="15">
        <f t="shared" si="1"/>
        <v>1880</v>
      </c>
      <c r="O17" s="2">
        <v>350</v>
      </c>
      <c r="P17" s="17"/>
      <c r="Q17" s="18">
        <f t="shared" si="2"/>
        <v>0</v>
      </c>
      <c r="R17" s="27">
        <v>270</v>
      </c>
      <c r="S17" s="6"/>
      <c r="T17" s="15">
        <f t="shared" si="3"/>
        <v>0</v>
      </c>
      <c r="U17" s="12">
        <v>1000</v>
      </c>
      <c r="V17" s="6"/>
      <c r="W17" s="14">
        <f t="shared" si="4"/>
        <v>0</v>
      </c>
      <c r="X17" s="11">
        <f t="shared" si="5"/>
        <v>58970</v>
      </c>
    </row>
    <row r="18" spans="1:26" ht="20.100000000000001" customHeight="1" x14ac:dyDescent="0.15">
      <c r="A18" s="1">
        <v>13</v>
      </c>
      <c r="B18" s="1" t="s">
        <v>26</v>
      </c>
      <c r="C18" s="2" t="s">
        <v>58</v>
      </c>
      <c r="D18" s="35">
        <v>5190</v>
      </c>
      <c r="E18" s="5">
        <v>21</v>
      </c>
      <c r="F18" s="14">
        <f t="shared" si="6"/>
        <v>108990</v>
      </c>
      <c r="G18" s="31">
        <f t="shared" ref="G18" si="27">E17*5890</f>
        <v>64790</v>
      </c>
      <c r="H18" s="31">
        <f t="shared" ref="H18" si="28">G18-F17</f>
        <v>7700</v>
      </c>
      <c r="I18" s="2">
        <v>300</v>
      </c>
      <c r="J18" s="5">
        <v>8</v>
      </c>
      <c r="K18" s="14">
        <f t="shared" si="0"/>
        <v>2400</v>
      </c>
      <c r="L18" s="2">
        <v>940</v>
      </c>
      <c r="M18" s="6">
        <v>1</v>
      </c>
      <c r="N18" s="15">
        <f t="shared" si="1"/>
        <v>940</v>
      </c>
      <c r="O18" s="2">
        <v>350</v>
      </c>
      <c r="P18" s="17">
        <v>21</v>
      </c>
      <c r="Q18" s="18">
        <f t="shared" si="2"/>
        <v>7350</v>
      </c>
      <c r="R18" s="27">
        <v>270</v>
      </c>
      <c r="S18" s="6">
        <v>42</v>
      </c>
      <c r="T18" s="15">
        <f t="shared" si="3"/>
        <v>11340</v>
      </c>
      <c r="U18" s="12">
        <v>1000</v>
      </c>
      <c r="V18" s="6"/>
      <c r="W18" s="14">
        <f t="shared" si="4"/>
        <v>0</v>
      </c>
      <c r="X18" s="35">
        <f t="shared" si="5"/>
        <v>123670</v>
      </c>
    </row>
    <row r="19" spans="1:26" ht="20.100000000000001" customHeight="1" x14ac:dyDescent="0.15">
      <c r="A19" s="1">
        <v>14</v>
      </c>
      <c r="B19" s="1" t="s">
        <v>37</v>
      </c>
      <c r="C19" s="2" t="s">
        <v>55</v>
      </c>
      <c r="D19" s="35">
        <v>5190</v>
      </c>
      <c r="E19" s="5">
        <v>20</v>
      </c>
      <c r="F19" s="14">
        <f t="shared" si="6"/>
        <v>103800</v>
      </c>
      <c r="G19" s="14">
        <f t="shared" ref="G19" si="29">E19*5890</f>
        <v>117800</v>
      </c>
      <c r="H19" s="31">
        <f t="shared" ref="H19" si="30">G19-F19</f>
        <v>14000</v>
      </c>
      <c r="I19" s="2">
        <v>300</v>
      </c>
      <c r="J19" s="5"/>
      <c r="K19" s="14">
        <f t="shared" si="0"/>
        <v>0</v>
      </c>
      <c r="L19" s="2">
        <v>940</v>
      </c>
      <c r="M19" s="6">
        <v>2</v>
      </c>
      <c r="N19" s="15">
        <f t="shared" si="1"/>
        <v>1880</v>
      </c>
      <c r="O19" s="2">
        <v>350</v>
      </c>
      <c r="P19" s="17">
        <v>7</v>
      </c>
      <c r="Q19" s="18">
        <f t="shared" si="2"/>
        <v>2450</v>
      </c>
      <c r="R19" s="27">
        <v>270</v>
      </c>
      <c r="S19" s="6">
        <v>40</v>
      </c>
      <c r="T19" s="15">
        <f t="shared" si="3"/>
        <v>10800</v>
      </c>
      <c r="U19" s="12">
        <v>1000</v>
      </c>
      <c r="V19" s="6"/>
      <c r="W19" s="14">
        <f t="shared" si="4"/>
        <v>0</v>
      </c>
      <c r="X19" s="11">
        <f t="shared" si="5"/>
        <v>116480</v>
      </c>
    </row>
    <row r="20" spans="1:26" ht="20.100000000000001" customHeight="1" x14ac:dyDescent="0.15">
      <c r="A20" s="1">
        <v>15</v>
      </c>
      <c r="B20" s="1" t="s">
        <v>28</v>
      </c>
      <c r="C20" s="2" t="s">
        <v>55</v>
      </c>
      <c r="D20" s="35">
        <v>5190</v>
      </c>
      <c r="E20" s="5">
        <v>17</v>
      </c>
      <c r="F20" s="14">
        <f t="shared" si="6"/>
        <v>88230</v>
      </c>
      <c r="G20" s="31">
        <f t="shared" ref="G20" si="31">E19*5890</f>
        <v>117800</v>
      </c>
      <c r="H20" s="31">
        <f t="shared" ref="H20" si="32">G20-F19</f>
        <v>14000</v>
      </c>
      <c r="I20" s="2">
        <v>300</v>
      </c>
      <c r="J20" s="5">
        <v>7</v>
      </c>
      <c r="K20" s="14">
        <f t="shared" si="0"/>
        <v>2100</v>
      </c>
      <c r="L20" s="2">
        <v>940</v>
      </c>
      <c r="M20" s="6">
        <v>4</v>
      </c>
      <c r="N20" s="15">
        <f t="shared" si="1"/>
        <v>3760</v>
      </c>
      <c r="O20" s="2">
        <v>350</v>
      </c>
      <c r="P20" s="17"/>
      <c r="Q20" s="18">
        <f t="shared" si="2"/>
        <v>0</v>
      </c>
      <c r="R20" s="27">
        <v>270</v>
      </c>
      <c r="S20" s="6">
        <v>34</v>
      </c>
      <c r="T20" s="15">
        <f t="shared" si="3"/>
        <v>9180</v>
      </c>
      <c r="U20" s="12">
        <v>1000</v>
      </c>
      <c r="V20" s="6"/>
      <c r="W20" s="14">
        <f t="shared" si="4"/>
        <v>0</v>
      </c>
      <c r="X20" s="11">
        <f t="shared" si="5"/>
        <v>103270</v>
      </c>
    </row>
    <row r="21" spans="1:26" ht="20.100000000000001" customHeight="1" x14ac:dyDescent="0.15">
      <c r="A21" s="1">
        <v>16</v>
      </c>
      <c r="B21" s="1" t="s">
        <v>38</v>
      </c>
      <c r="C21" s="2" t="s">
        <v>58</v>
      </c>
      <c r="D21" s="35">
        <v>5190</v>
      </c>
      <c r="E21" s="5">
        <v>6</v>
      </c>
      <c r="F21" s="14">
        <f t="shared" si="6"/>
        <v>31140</v>
      </c>
      <c r="G21" s="14">
        <f t="shared" ref="G21" si="33">E21*5890</f>
        <v>35340</v>
      </c>
      <c r="H21" s="31">
        <f t="shared" ref="H21" si="34">G21-F21</f>
        <v>4200</v>
      </c>
      <c r="I21" s="2">
        <v>300</v>
      </c>
      <c r="J21" s="5">
        <v>4</v>
      </c>
      <c r="K21" s="14">
        <f t="shared" si="0"/>
        <v>1200</v>
      </c>
      <c r="L21" s="2">
        <v>940</v>
      </c>
      <c r="M21" s="6">
        <v>4</v>
      </c>
      <c r="N21" s="15">
        <f t="shared" si="1"/>
        <v>3760</v>
      </c>
      <c r="O21" s="2">
        <v>350</v>
      </c>
      <c r="P21" s="17"/>
      <c r="Q21" s="18">
        <f t="shared" si="2"/>
        <v>0</v>
      </c>
      <c r="R21" s="27">
        <v>270</v>
      </c>
      <c r="S21" s="6"/>
      <c r="T21" s="15">
        <f t="shared" si="3"/>
        <v>0</v>
      </c>
      <c r="U21" s="12">
        <v>1000</v>
      </c>
      <c r="V21" s="6"/>
      <c r="W21" s="14">
        <f t="shared" si="4"/>
        <v>0</v>
      </c>
      <c r="X21" s="35">
        <f t="shared" si="5"/>
        <v>36100</v>
      </c>
    </row>
    <row r="22" spans="1:26" ht="20.100000000000001" customHeight="1" x14ac:dyDescent="0.15">
      <c r="A22" s="1">
        <v>17</v>
      </c>
      <c r="B22" s="1" t="s">
        <v>22</v>
      </c>
      <c r="C22" s="2" t="s">
        <v>55</v>
      </c>
      <c r="D22" s="35">
        <v>5190</v>
      </c>
      <c r="E22" s="5">
        <v>15</v>
      </c>
      <c r="F22" s="14">
        <f t="shared" si="6"/>
        <v>77850</v>
      </c>
      <c r="G22" s="31">
        <f t="shared" ref="G22" si="35">E21*5890</f>
        <v>35340</v>
      </c>
      <c r="H22" s="31">
        <f t="shared" ref="H22" si="36">G22-F21</f>
        <v>4200</v>
      </c>
      <c r="I22" s="2">
        <v>300</v>
      </c>
      <c r="J22" s="5">
        <v>15</v>
      </c>
      <c r="K22" s="14">
        <f t="shared" si="0"/>
        <v>4500</v>
      </c>
      <c r="L22" s="2">
        <v>940</v>
      </c>
      <c r="M22" s="6"/>
      <c r="N22" s="15">
        <f t="shared" si="1"/>
        <v>0</v>
      </c>
      <c r="O22" s="2">
        <v>350</v>
      </c>
      <c r="P22" s="17">
        <v>22</v>
      </c>
      <c r="Q22" s="18">
        <f t="shared" si="2"/>
        <v>7700</v>
      </c>
      <c r="R22" s="27">
        <v>270</v>
      </c>
      <c r="S22" s="6">
        <v>30</v>
      </c>
      <c r="T22" s="15">
        <f t="shared" si="3"/>
        <v>8100</v>
      </c>
      <c r="U22" s="12">
        <v>1000</v>
      </c>
      <c r="V22" s="6"/>
      <c r="W22" s="14">
        <f t="shared" si="4"/>
        <v>0</v>
      </c>
      <c r="X22" s="11">
        <f t="shared" si="5"/>
        <v>90450</v>
      </c>
    </row>
    <row r="23" spans="1:26" ht="20.100000000000001" customHeight="1" x14ac:dyDescent="0.15">
      <c r="A23" s="1">
        <v>18</v>
      </c>
      <c r="B23" s="1" t="s">
        <v>39</v>
      </c>
      <c r="C23" s="2" t="s">
        <v>55</v>
      </c>
      <c r="D23" s="35">
        <v>5190</v>
      </c>
      <c r="E23" s="5">
        <v>5</v>
      </c>
      <c r="F23" s="14">
        <f t="shared" si="6"/>
        <v>25950</v>
      </c>
      <c r="G23" s="14">
        <f t="shared" ref="G23" si="37">E23*5890</f>
        <v>29450</v>
      </c>
      <c r="H23" s="31">
        <f t="shared" ref="H23" si="38">G23-F23</f>
        <v>3500</v>
      </c>
      <c r="I23" s="2">
        <v>300</v>
      </c>
      <c r="J23" s="5">
        <v>5</v>
      </c>
      <c r="K23" s="14">
        <f t="shared" si="0"/>
        <v>1500</v>
      </c>
      <c r="L23" s="2">
        <v>940</v>
      </c>
      <c r="M23" s="6">
        <v>2</v>
      </c>
      <c r="N23" s="15">
        <f t="shared" si="1"/>
        <v>1880</v>
      </c>
      <c r="O23" s="2">
        <v>350</v>
      </c>
      <c r="P23" s="17"/>
      <c r="Q23" s="18">
        <f t="shared" si="2"/>
        <v>0</v>
      </c>
      <c r="R23" s="27">
        <v>270</v>
      </c>
      <c r="S23" s="6">
        <v>10</v>
      </c>
      <c r="T23" s="15">
        <f t="shared" si="3"/>
        <v>2700</v>
      </c>
      <c r="U23" s="12">
        <v>1000</v>
      </c>
      <c r="V23" s="6"/>
      <c r="W23" s="14">
        <f t="shared" si="4"/>
        <v>0</v>
      </c>
      <c r="X23" s="11">
        <f t="shared" si="5"/>
        <v>32030</v>
      </c>
    </row>
    <row r="24" spans="1:26" ht="20.100000000000001" customHeight="1" x14ac:dyDescent="0.15">
      <c r="A24" s="1">
        <v>19</v>
      </c>
      <c r="B24" s="1" t="s">
        <v>41</v>
      </c>
      <c r="C24" s="2" t="s">
        <v>56</v>
      </c>
      <c r="D24" s="35">
        <v>5190</v>
      </c>
      <c r="E24" s="5">
        <v>21</v>
      </c>
      <c r="F24" s="14">
        <f t="shared" si="6"/>
        <v>108990</v>
      </c>
      <c r="G24" s="31">
        <f t="shared" ref="G24" si="39">E23*5890</f>
        <v>29450</v>
      </c>
      <c r="H24" s="31">
        <f t="shared" ref="H24" si="40">G24-F23</f>
        <v>3500</v>
      </c>
      <c r="I24" s="2">
        <v>300</v>
      </c>
      <c r="J24" s="5">
        <v>21</v>
      </c>
      <c r="K24" s="14">
        <f t="shared" si="0"/>
        <v>6300</v>
      </c>
      <c r="L24" s="2">
        <v>940</v>
      </c>
      <c r="M24" s="6">
        <v>1</v>
      </c>
      <c r="N24" s="15">
        <f t="shared" si="1"/>
        <v>940</v>
      </c>
      <c r="O24" s="2">
        <v>350</v>
      </c>
      <c r="P24" s="17">
        <v>17</v>
      </c>
      <c r="Q24" s="18">
        <f t="shared" si="2"/>
        <v>5950</v>
      </c>
      <c r="R24" s="27">
        <v>270</v>
      </c>
      <c r="S24" s="6">
        <v>41</v>
      </c>
      <c r="T24" s="15">
        <f t="shared" si="3"/>
        <v>11070</v>
      </c>
      <c r="U24" s="12">
        <v>1000</v>
      </c>
      <c r="V24" s="6"/>
      <c r="W24" s="14">
        <f t="shared" si="4"/>
        <v>0</v>
      </c>
      <c r="X24" s="35">
        <f t="shared" si="5"/>
        <v>127300</v>
      </c>
    </row>
    <row r="25" spans="1:26" ht="20.100000000000001" customHeight="1" x14ac:dyDescent="0.15">
      <c r="A25" s="1">
        <v>21</v>
      </c>
      <c r="B25" s="1"/>
      <c r="C25" s="2"/>
      <c r="D25" s="11">
        <v>5190</v>
      </c>
      <c r="E25" s="5"/>
      <c r="F25" s="14">
        <f t="shared" si="6"/>
        <v>0</v>
      </c>
      <c r="G25" s="14"/>
      <c r="H25" s="14"/>
      <c r="I25" s="2">
        <v>300</v>
      </c>
      <c r="J25" s="5"/>
      <c r="K25" s="14">
        <f t="shared" si="0"/>
        <v>0</v>
      </c>
      <c r="L25" s="2">
        <v>940</v>
      </c>
      <c r="M25" s="6"/>
      <c r="N25" s="15">
        <f t="shared" si="1"/>
        <v>0</v>
      </c>
      <c r="O25" s="2">
        <v>350</v>
      </c>
      <c r="P25" s="17"/>
      <c r="Q25" s="18">
        <f t="shared" si="2"/>
        <v>0</v>
      </c>
      <c r="R25" s="27">
        <v>270</v>
      </c>
      <c r="S25" s="6"/>
      <c r="T25" s="15">
        <f t="shared" si="3"/>
        <v>0</v>
      </c>
      <c r="U25" s="12">
        <v>1000</v>
      </c>
      <c r="V25" s="6"/>
      <c r="W25" s="14">
        <f t="shared" si="4"/>
        <v>0</v>
      </c>
      <c r="X25" s="11">
        <f t="shared" si="5"/>
        <v>0</v>
      </c>
    </row>
    <row r="26" spans="1:26" ht="20.100000000000001" customHeight="1" x14ac:dyDescent="0.15">
      <c r="A26" s="1">
        <v>22</v>
      </c>
      <c r="B26" s="1"/>
      <c r="C26" s="2"/>
      <c r="D26" s="11">
        <v>5190</v>
      </c>
      <c r="E26" s="5"/>
      <c r="F26" s="14">
        <f t="shared" si="6"/>
        <v>0</v>
      </c>
      <c r="G26" s="14"/>
      <c r="H26" s="14"/>
      <c r="I26" s="2">
        <v>300</v>
      </c>
      <c r="J26" s="5"/>
      <c r="K26" s="14">
        <f t="shared" si="0"/>
        <v>0</v>
      </c>
      <c r="L26" s="2">
        <v>940</v>
      </c>
      <c r="M26" s="6"/>
      <c r="N26" s="15">
        <f t="shared" si="1"/>
        <v>0</v>
      </c>
      <c r="O26" s="2">
        <v>350</v>
      </c>
      <c r="P26" s="17"/>
      <c r="Q26" s="18">
        <f t="shared" si="2"/>
        <v>0</v>
      </c>
      <c r="R26" s="27">
        <v>270</v>
      </c>
      <c r="S26" s="6"/>
      <c r="T26" s="15">
        <f t="shared" si="3"/>
        <v>0</v>
      </c>
      <c r="U26" s="12">
        <v>1000</v>
      </c>
      <c r="V26" s="6"/>
      <c r="W26" s="14">
        <f t="shared" si="4"/>
        <v>0</v>
      </c>
      <c r="X26" s="11">
        <f t="shared" si="5"/>
        <v>0</v>
      </c>
    </row>
    <row r="27" spans="1:26" x14ac:dyDescent="0.15">
      <c r="A27" s="1"/>
      <c r="B27" s="1"/>
      <c r="C27" s="1"/>
      <c r="D27" s="1"/>
      <c r="E27" s="1"/>
      <c r="F27" s="12">
        <f>SUM(F5:F25)</f>
        <v>1401300</v>
      </c>
      <c r="G27" s="12"/>
      <c r="H27" s="12">
        <f>SUM(H6:H26)</f>
        <v>170100</v>
      </c>
      <c r="I27" s="12"/>
      <c r="J27" s="12"/>
      <c r="K27" s="12">
        <f>SUM(K5:K25)</f>
        <v>18000</v>
      </c>
      <c r="L27" s="12"/>
      <c r="M27" s="12"/>
      <c r="N27" s="12">
        <f>SUM(N5:N25)</f>
        <v>29140</v>
      </c>
      <c r="O27" s="12"/>
      <c r="P27" s="12"/>
      <c r="Q27" s="12">
        <f>SUM(Q5:Q25)</f>
        <v>53650</v>
      </c>
      <c r="R27" s="12"/>
      <c r="S27" s="1"/>
      <c r="T27" s="12">
        <f>SUM(T5:T25)</f>
        <v>109350</v>
      </c>
      <c r="U27" s="1"/>
      <c r="V27" s="1"/>
      <c r="W27" s="12">
        <f>SUM(W5:W25)</f>
        <v>0</v>
      </c>
      <c r="X27" s="12">
        <f>SUM(X6:X25)</f>
        <v>1557790</v>
      </c>
    </row>
    <row r="29" spans="1:26" ht="13.5" customHeight="1" x14ac:dyDescent="0.15">
      <c r="B29" s="65" t="s">
        <v>21</v>
      </c>
      <c r="C29" s="65"/>
      <c r="D29" s="65"/>
      <c r="E29" s="65"/>
      <c r="F29" s="65"/>
      <c r="G29" s="34"/>
      <c r="H29" s="34"/>
      <c r="J29" s="66"/>
      <c r="K29" s="66"/>
      <c r="L29" s="66"/>
      <c r="M29" s="66"/>
      <c r="N29" s="66"/>
      <c r="Q29" s="8"/>
      <c r="R29" s="8"/>
      <c r="S29" s="8"/>
      <c r="T29" s="8"/>
      <c r="U29" s="8"/>
      <c r="V29" s="8"/>
      <c r="W29" s="8"/>
      <c r="X29" s="7"/>
      <c r="Y29" s="22"/>
      <c r="Z29" s="22"/>
    </row>
    <row r="30" spans="1:26" ht="13.5" customHeight="1" x14ac:dyDescent="0.15">
      <c r="B30" s="1"/>
      <c r="C30" s="1"/>
      <c r="D30" s="1"/>
      <c r="E30" s="1"/>
      <c r="F30" s="1"/>
      <c r="G30" s="25"/>
      <c r="H30" s="25"/>
      <c r="J30" s="25"/>
      <c r="K30" s="26"/>
      <c r="L30" s="25"/>
      <c r="M30" s="67"/>
      <c r="N30" s="67"/>
      <c r="O30" s="68"/>
      <c r="P30" s="68"/>
      <c r="Q30" s="7"/>
      <c r="R30" s="7"/>
      <c r="S30" s="7"/>
      <c r="T30" s="7"/>
      <c r="U30" s="69">
        <f>X27</f>
        <v>1557790</v>
      </c>
      <c r="V30" s="69"/>
      <c r="W30" s="69"/>
      <c r="X30" s="69"/>
      <c r="Y30" s="22"/>
      <c r="Z30" s="22"/>
    </row>
    <row r="31" spans="1:26" ht="13.5" customHeight="1" x14ac:dyDescent="0.15">
      <c r="B31" s="24" t="s">
        <v>32</v>
      </c>
      <c r="C31" s="24"/>
      <c r="D31" s="1">
        <v>350</v>
      </c>
      <c r="E31" s="1">
        <v>1</v>
      </c>
      <c r="F31" s="1">
        <f>SUM(D31*E31)</f>
        <v>350</v>
      </c>
      <c r="G31" s="25"/>
      <c r="H31" s="25"/>
      <c r="J31" s="25"/>
      <c r="K31" s="26"/>
      <c r="L31" s="25"/>
      <c r="M31" s="67"/>
      <c r="N31" s="67"/>
      <c r="O31" s="68"/>
      <c r="P31" s="68"/>
      <c r="Q31" s="8"/>
      <c r="R31" s="8"/>
      <c r="S31" s="8"/>
      <c r="T31" s="8"/>
      <c r="U31" s="69"/>
      <c r="V31" s="69"/>
      <c r="W31" s="69"/>
      <c r="X31" s="69"/>
      <c r="Y31" s="23"/>
      <c r="Z31" s="22"/>
    </row>
    <row r="32" spans="1:26" ht="13.5" customHeight="1" x14ac:dyDescent="0.15">
      <c r="U32" s="69"/>
      <c r="V32" s="69"/>
      <c r="W32" s="69"/>
      <c r="X32" s="69"/>
      <c r="Y32" s="23"/>
      <c r="Z32" s="22"/>
    </row>
    <row r="33" spans="20:26" ht="13.5" customHeight="1" x14ac:dyDescent="0.15">
      <c r="T33" s="22"/>
      <c r="U33" s="22"/>
      <c r="V33" s="23"/>
      <c r="W33" s="23"/>
      <c r="X33" s="23"/>
      <c r="Y33" s="23"/>
      <c r="Z33" s="22"/>
    </row>
    <row r="34" spans="20:26" x14ac:dyDescent="0.15">
      <c r="T34" s="22"/>
      <c r="U34" s="22"/>
      <c r="V34" s="22"/>
      <c r="W34" s="22"/>
      <c r="X34" s="22"/>
      <c r="Y34" s="22"/>
      <c r="Z34" s="22"/>
    </row>
    <row r="35" spans="20:26" x14ac:dyDescent="0.15">
      <c r="T35" s="22"/>
      <c r="U35" s="22"/>
      <c r="V35" s="22"/>
      <c r="W35" s="22" t="s">
        <v>60</v>
      </c>
      <c r="X35" s="38">
        <f>X6+X7+X18+X21</f>
        <v>338250</v>
      </c>
      <c r="Y35" s="22"/>
      <c r="Z35" s="22"/>
    </row>
    <row r="36" spans="20:26" x14ac:dyDescent="0.15">
      <c r="W36" s="22" t="s">
        <v>61</v>
      </c>
      <c r="X36" s="38">
        <f>X8+X11+X13+X14+X17+X19+X20+X22+X23</f>
        <v>737820</v>
      </c>
    </row>
    <row r="37" spans="20:26" x14ac:dyDescent="0.15">
      <c r="W37" s="22" t="s">
        <v>62</v>
      </c>
      <c r="X37" s="38">
        <f>X24</f>
        <v>127300</v>
      </c>
    </row>
    <row r="38" spans="20:26" x14ac:dyDescent="0.15">
      <c r="W38" s="22" t="s">
        <v>63</v>
      </c>
      <c r="X38" s="38">
        <f>X9+X10</f>
        <v>228360</v>
      </c>
    </row>
    <row r="39" spans="20:26" x14ac:dyDescent="0.15">
      <c r="W39" s="22" t="s">
        <v>64</v>
      </c>
      <c r="X39" s="38">
        <f>X12</f>
        <v>126060</v>
      </c>
    </row>
    <row r="40" spans="20:26" x14ac:dyDescent="0.15">
      <c r="X40">
        <f>SUBTOTAL(9,X35:X39)</f>
        <v>1557790</v>
      </c>
    </row>
  </sheetData>
  <autoFilter ref="A4:Z27"/>
  <mergeCells count="31">
    <mergeCell ref="V5:V6"/>
    <mergeCell ref="W5:W6"/>
    <mergeCell ref="B29:F29"/>
    <mergeCell ref="J29:N29"/>
    <mergeCell ref="M30:N30"/>
    <mergeCell ref="O30:P30"/>
    <mergeCell ref="U30:X32"/>
    <mergeCell ref="M31:N31"/>
    <mergeCell ref="O31:P31"/>
    <mergeCell ref="M5:M6"/>
    <mergeCell ref="N5:N6"/>
    <mergeCell ref="R5:R6"/>
    <mergeCell ref="S5:S6"/>
    <mergeCell ref="T5:T6"/>
    <mergeCell ref="U5:U6"/>
    <mergeCell ref="U3:W3"/>
    <mergeCell ref="X3:X4"/>
    <mergeCell ref="B5:B6"/>
    <mergeCell ref="D5:D6"/>
    <mergeCell ref="E5:E6"/>
    <mergeCell ref="F5:F6"/>
    <mergeCell ref="I5:I6"/>
    <mergeCell ref="J5:J6"/>
    <mergeCell ref="K5:K6"/>
    <mergeCell ref="L5:L6"/>
    <mergeCell ref="A2:B3"/>
    <mergeCell ref="D3:F3"/>
    <mergeCell ref="I3:K3"/>
    <mergeCell ref="L3:N3"/>
    <mergeCell ref="O3:Q3"/>
    <mergeCell ref="R3:T3"/>
  </mergeCells>
  <phoneticPr fontId="2"/>
  <pageMargins left="0.51181102362204722" right="0" top="0.35433070866141736" bottom="0.35433070866141736" header="0.31496062992125984" footer="0.31496062992125984"/>
  <pageSetup paperSize="9" scale="83" orientation="landscape" r:id="rId1"/>
  <headerFooter>
    <oddFooter>&amp;Rカイト御調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40"/>
  <sheetViews>
    <sheetView workbookViewId="0">
      <selection activeCell="X24" sqref="X24"/>
    </sheetView>
  </sheetViews>
  <sheetFormatPr defaultRowHeight="13.5" x14ac:dyDescent="0.15"/>
  <cols>
    <col min="1" max="1" width="3.25" customWidth="1"/>
    <col min="2" max="3" width="12.625" customWidth="1"/>
    <col min="4" max="4" width="6.625" customWidth="1"/>
    <col min="5" max="5" width="5.125" customWidth="1"/>
    <col min="6" max="8" width="9" customWidth="1"/>
    <col min="9" max="9" width="5.5" customWidth="1"/>
    <col min="10" max="10" width="5.375" customWidth="1"/>
    <col min="11" max="11" width="7.625" customWidth="1"/>
    <col min="12" max="12" width="5.625" customWidth="1"/>
    <col min="13" max="13" width="5" customWidth="1"/>
    <col min="14" max="14" width="7.625" customWidth="1"/>
    <col min="15" max="15" width="5.625" customWidth="1"/>
    <col min="16" max="16" width="4.875" customWidth="1"/>
    <col min="17" max="17" width="7.625" customWidth="1"/>
    <col min="18" max="18" width="6" customWidth="1"/>
    <col min="19" max="19" width="4.875" customWidth="1"/>
    <col min="20" max="20" width="7.625" customWidth="1"/>
    <col min="21" max="21" width="6.5" customWidth="1"/>
    <col min="22" max="22" width="4.875" customWidth="1"/>
    <col min="23" max="23" width="7.625" customWidth="1"/>
    <col min="24" max="24" width="10.625" customWidth="1"/>
  </cols>
  <sheetData>
    <row r="1" spans="1:24" x14ac:dyDescent="0.15">
      <c r="B1" t="s">
        <v>7</v>
      </c>
    </row>
    <row r="2" spans="1:24" x14ac:dyDescent="0.15">
      <c r="A2" s="59" t="s">
        <v>43</v>
      </c>
      <c r="B2" s="60"/>
      <c r="C2" s="34"/>
    </row>
    <row r="3" spans="1:24" x14ac:dyDescent="0.15">
      <c r="A3" s="61"/>
      <c r="B3" s="62"/>
      <c r="C3" s="36"/>
      <c r="D3" s="44" t="s">
        <v>0</v>
      </c>
      <c r="E3" s="45"/>
      <c r="F3" s="46"/>
      <c r="G3" s="29"/>
      <c r="H3" s="29"/>
      <c r="I3" s="44" t="s">
        <v>1</v>
      </c>
      <c r="J3" s="45"/>
      <c r="K3" s="46"/>
      <c r="L3" s="44" t="s">
        <v>2</v>
      </c>
      <c r="M3" s="45"/>
      <c r="N3" s="46"/>
      <c r="O3" s="44" t="s">
        <v>21</v>
      </c>
      <c r="P3" s="45"/>
      <c r="Q3" s="46"/>
      <c r="R3" s="44" t="s">
        <v>40</v>
      </c>
      <c r="S3" s="45"/>
      <c r="T3" s="46"/>
      <c r="U3" s="44" t="s">
        <v>3</v>
      </c>
      <c r="V3" s="45"/>
      <c r="W3" s="46"/>
      <c r="X3" s="47" t="s">
        <v>6</v>
      </c>
    </row>
    <row r="4" spans="1:24" ht="14.25" thickBot="1" x14ac:dyDescent="0.2">
      <c r="A4" s="2"/>
      <c r="B4" s="9" t="s">
        <v>4</v>
      </c>
      <c r="C4" s="9"/>
      <c r="D4" s="3">
        <v>5890</v>
      </c>
      <c r="E4" s="10" t="s">
        <v>5</v>
      </c>
      <c r="F4" s="3"/>
      <c r="G4" s="3"/>
      <c r="H4" s="3"/>
      <c r="I4" s="3">
        <v>300</v>
      </c>
      <c r="J4" s="10" t="s">
        <v>5</v>
      </c>
      <c r="K4" s="3"/>
      <c r="L4" s="3">
        <v>940</v>
      </c>
      <c r="M4" s="10" t="s">
        <v>5</v>
      </c>
      <c r="N4" s="3"/>
      <c r="O4" s="3">
        <v>350</v>
      </c>
      <c r="P4" s="10" t="s">
        <v>5</v>
      </c>
      <c r="Q4" s="3"/>
      <c r="R4" s="13">
        <v>270</v>
      </c>
      <c r="S4" s="3" t="s">
        <v>5</v>
      </c>
      <c r="T4" s="3"/>
      <c r="U4" s="13">
        <v>1000</v>
      </c>
      <c r="V4" s="10" t="s">
        <v>5</v>
      </c>
      <c r="W4" s="3"/>
      <c r="X4" s="48"/>
    </row>
    <row r="5" spans="1:24" ht="14.25" customHeight="1" thickTop="1" x14ac:dyDescent="0.15">
      <c r="A5" s="2"/>
      <c r="B5" s="49" t="s">
        <v>9</v>
      </c>
      <c r="C5" s="32"/>
      <c r="D5" s="51">
        <v>5190</v>
      </c>
      <c r="E5" s="53">
        <v>17</v>
      </c>
      <c r="F5" s="55">
        <f>SUM(D5*E5)</f>
        <v>88230</v>
      </c>
      <c r="G5" s="30"/>
      <c r="H5" s="30"/>
      <c r="I5" s="57">
        <v>300</v>
      </c>
      <c r="J5" s="53"/>
      <c r="K5" s="55">
        <f>SUM(I5*J5)</f>
        <v>0</v>
      </c>
      <c r="L5" s="57">
        <v>940</v>
      </c>
      <c r="M5" s="53">
        <v>4</v>
      </c>
      <c r="N5" s="70">
        <f>SUM(L5*M5)</f>
        <v>3760</v>
      </c>
      <c r="O5" s="4"/>
      <c r="P5" s="20"/>
      <c r="Q5" s="21"/>
      <c r="R5" s="74">
        <v>270</v>
      </c>
      <c r="S5" s="53">
        <v>34</v>
      </c>
      <c r="T5" s="70">
        <f>SUM(R5*S5)</f>
        <v>9180</v>
      </c>
      <c r="U5" s="76">
        <v>1000</v>
      </c>
      <c r="V5" s="63"/>
      <c r="W5" s="55">
        <f>SUM(V6*U5)</f>
        <v>0</v>
      </c>
      <c r="X5" s="19"/>
    </row>
    <row r="6" spans="1:24" ht="20.100000000000001" customHeight="1" x14ac:dyDescent="0.15">
      <c r="A6" s="1">
        <v>1</v>
      </c>
      <c r="B6" s="50"/>
      <c r="C6" s="33" t="s">
        <v>58</v>
      </c>
      <c r="D6" s="52"/>
      <c r="E6" s="54"/>
      <c r="F6" s="56"/>
      <c r="G6" s="31">
        <f>E5*5890</f>
        <v>100130</v>
      </c>
      <c r="H6" s="31">
        <f>G6-F5</f>
        <v>11900</v>
      </c>
      <c r="I6" s="58"/>
      <c r="J6" s="54"/>
      <c r="K6" s="56"/>
      <c r="L6" s="58"/>
      <c r="M6" s="54"/>
      <c r="N6" s="71"/>
      <c r="O6" s="2">
        <v>290</v>
      </c>
      <c r="P6" s="16"/>
      <c r="Q6" s="28">
        <v>5230</v>
      </c>
      <c r="R6" s="75"/>
      <c r="S6" s="54"/>
      <c r="T6" s="71"/>
      <c r="U6" s="77"/>
      <c r="V6" s="64"/>
      <c r="W6" s="56"/>
      <c r="X6" s="35">
        <f>SUM(F5+K5+N5+T5+W5)</f>
        <v>101170</v>
      </c>
    </row>
    <row r="7" spans="1:24" ht="20.100000000000001" customHeight="1" x14ac:dyDescent="0.15">
      <c r="A7" s="1">
        <v>2</v>
      </c>
      <c r="B7" s="1" t="s">
        <v>10</v>
      </c>
      <c r="C7" s="33" t="s">
        <v>58</v>
      </c>
      <c r="D7" s="35">
        <v>5190</v>
      </c>
      <c r="E7" s="5">
        <v>19</v>
      </c>
      <c r="F7" s="14">
        <f>SUM(D7*E7)</f>
        <v>98610</v>
      </c>
      <c r="G7" s="14">
        <f>E7*5890</f>
        <v>111910</v>
      </c>
      <c r="H7" s="31">
        <f>G7-F7</f>
        <v>13300</v>
      </c>
      <c r="I7" s="2">
        <v>300</v>
      </c>
      <c r="J7" s="5"/>
      <c r="K7" s="14">
        <f t="shared" ref="K7:K27" si="0">SUM(I7*J7)</f>
        <v>0</v>
      </c>
      <c r="L7" s="2">
        <v>940</v>
      </c>
      <c r="M7" s="6">
        <v>2</v>
      </c>
      <c r="N7" s="15">
        <f t="shared" ref="N7:N27" si="1">SUM(L7*M7)</f>
        <v>1880</v>
      </c>
      <c r="O7" s="2">
        <v>350</v>
      </c>
      <c r="P7" s="17">
        <v>19</v>
      </c>
      <c r="Q7" s="28">
        <f t="shared" ref="Q7:Q26" si="2">SUM(O7*P7)</f>
        <v>6650</v>
      </c>
      <c r="R7" s="27">
        <v>270</v>
      </c>
      <c r="S7" s="6">
        <v>38</v>
      </c>
      <c r="T7" s="15">
        <f t="shared" ref="T7:T27" si="3">SUM(R7*S7)</f>
        <v>10260</v>
      </c>
      <c r="U7" s="12">
        <v>1000</v>
      </c>
      <c r="V7" s="6"/>
      <c r="W7" s="14">
        <f t="shared" ref="W7:W27" si="4">SUM(V7*U7)</f>
        <v>0</v>
      </c>
      <c r="X7" s="35">
        <f t="shared" ref="X7:X26" si="5">SUM(F7+K7+N7+T7+W7)</f>
        <v>110750</v>
      </c>
    </row>
    <row r="8" spans="1:24" ht="20.100000000000001" customHeight="1" x14ac:dyDescent="0.15">
      <c r="A8" s="1">
        <v>3</v>
      </c>
      <c r="B8" s="1" t="s">
        <v>11</v>
      </c>
      <c r="C8" s="2" t="s">
        <v>55</v>
      </c>
      <c r="D8" s="35">
        <v>5190</v>
      </c>
      <c r="E8" s="5">
        <v>19</v>
      </c>
      <c r="F8" s="14">
        <f t="shared" ref="F8:F27" si="6">SUM(D8*E8)</f>
        <v>98610</v>
      </c>
      <c r="G8" s="31">
        <f t="shared" ref="G8" si="7">E7*5890</f>
        <v>111910</v>
      </c>
      <c r="H8" s="31">
        <f t="shared" ref="H8" si="8">G8-F7</f>
        <v>13300</v>
      </c>
      <c r="I8" s="2">
        <v>300</v>
      </c>
      <c r="J8" s="5"/>
      <c r="K8" s="14">
        <f t="shared" si="0"/>
        <v>0</v>
      </c>
      <c r="L8" s="2">
        <v>940</v>
      </c>
      <c r="M8" s="6">
        <v>2</v>
      </c>
      <c r="N8" s="15">
        <f t="shared" si="1"/>
        <v>1880</v>
      </c>
      <c r="O8" s="2">
        <v>350</v>
      </c>
      <c r="P8" s="17"/>
      <c r="Q8" s="28">
        <f t="shared" si="2"/>
        <v>0</v>
      </c>
      <c r="R8" s="27">
        <v>270</v>
      </c>
      <c r="S8" s="6"/>
      <c r="T8" s="15">
        <f t="shared" si="3"/>
        <v>0</v>
      </c>
      <c r="U8" s="12">
        <v>1000</v>
      </c>
      <c r="V8" s="6"/>
      <c r="W8" s="14">
        <f t="shared" si="4"/>
        <v>0</v>
      </c>
      <c r="X8" s="11">
        <f t="shared" si="5"/>
        <v>100490</v>
      </c>
    </row>
    <row r="9" spans="1:24" ht="20.100000000000001" customHeight="1" x14ac:dyDescent="0.15">
      <c r="A9" s="1">
        <v>4</v>
      </c>
      <c r="B9" s="1" t="s">
        <v>12</v>
      </c>
      <c r="C9" s="2" t="s">
        <v>59</v>
      </c>
      <c r="D9" s="35">
        <v>5190</v>
      </c>
      <c r="E9" s="5">
        <v>23</v>
      </c>
      <c r="F9" s="14">
        <f t="shared" si="6"/>
        <v>119370</v>
      </c>
      <c r="G9" s="14">
        <f t="shared" ref="G9" si="9">E9*5890</f>
        <v>135470</v>
      </c>
      <c r="H9" s="31">
        <f t="shared" ref="H9" si="10">G9-F9</f>
        <v>16100</v>
      </c>
      <c r="I9" s="2">
        <v>300</v>
      </c>
      <c r="J9" s="5"/>
      <c r="K9" s="14">
        <f t="shared" si="0"/>
        <v>0</v>
      </c>
      <c r="L9" s="2">
        <v>940</v>
      </c>
      <c r="M9" s="6"/>
      <c r="N9" s="15">
        <f t="shared" si="1"/>
        <v>0</v>
      </c>
      <c r="O9" s="2">
        <v>350</v>
      </c>
      <c r="P9" s="17"/>
      <c r="Q9" s="28">
        <f t="shared" si="2"/>
        <v>0</v>
      </c>
      <c r="R9" s="27">
        <v>270</v>
      </c>
      <c r="S9" s="6"/>
      <c r="T9" s="15">
        <f t="shared" si="3"/>
        <v>0</v>
      </c>
      <c r="U9" s="12">
        <v>1000</v>
      </c>
      <c r="V9" s="6"/>
      <c r="W9" s="14">
        <f t="shared" si="4"/>
        <v>0</v>
      </c>
      <c r="X9" s="11">
        <f t="shared" si="5"/>
        <v>119370</v>
      </c>
    </row>
    <row r="10" spans="1:24" ht="20.100000000000001" customHeight="1" x14ac:dyDescent="0.15">
      <c r="A10" s="1">
        <v>5</v>
      </c>
      <c r="B10" s="1" t="s">
        <v>13</v>
      </c>
      <c r="C10" s="2" t="s">
        <v>59</v>
      </c>
      <c r="D10" s="35">
        <v>5190</v>
      </c>
      <c r="E10" s="5">
        <v>23</v>
      </c>
      <c r="F10" s="14">
        <f t="shared" si="6"/>
        <v>119370</v>
      </c>
      <c r="G10" s="31">
        <f t="shared" ref="G10" si="11">E9*5890</f>
        <v>135470</v>
      </c>
      <c r="H10" s="31">
        <f t="shared" ref="H10" si="12">G10-F9</f>
        <v>16100</v>
      </c>
      <c r="I10" s="2">
        <v>300</v>
      </c>
      <c r="J10" s="5"/>
      <c r="K10" s="14">
        <f t="shared" si="0"/>
        <v>0</v>
      </c>
      <c r="L10" s="2">
        <v>940</v>
      </c>
      <c r="M10" s="6"/>
      <c r="N10" s="15">
        <f t="shared" si="1"/>
        <v>0</v>
      </c>
      <c r="O10" s="2">
        <v>350</v>
      </c>
      <c r="P10" s="17"/>
      <c r="Q10" s="28">
        <f t="shared" si="2"/>
        <v>0</v>
      </c>
      <c r="R10" s="27">
        <v>270</v>
      </c>
      <c r="S10" s="6"/>
      <c r="T10" s="15">
        <f t="shared" si="3"/>
        <v>0</v>
      </c>
      <c r="U10" s="12">
        <v>1000</v>
      </c>
      <c r="V10" s="6"/>
      <c r="W10" s="14">
        <f t="shared" si="4"/>
        <v>0</v>
      </c>
      <c r="X10" s="11">
        <f t="shared" si="5"/>
        <v>119370</v>
      </c>
    </row>
    <row r="11" spans="1:24" ht="20.100000000000001" customHeight="1" x14ac:dyDescent="0.15">
      <c r="A11" s="1">
        <v>6</v>
      </c>
      <c r="B11" s="1" t="s">
        <v>14</v>
      </c>
      <c r="C11" s="2" t="s">
        <v>55</v>
      </c>
      <c r="D11" s="35">
        <v>5190</v>
      </c>
      <c r="E11" s="5"/>
      <c r="F11" s="14">
        <f t="shared" si="6"/>
        <v>0</v>
      </c>
      <c r="G11" s="14">
        <f t="shared" ref="G11" si="13">E11*5890</f>
        <v>0</v>
      </c>
      <c r="H11" s="31">
        <f t="shared" ref="H11" si="14">G11-F11</f>
        <v>0</v>
      </c>
      <c r="I11" s="2">
        <v>300</v>
      </c>
      <c r="J11" s="5"/>
      <c r="K11" s="14">
        <f t="shared" si="0"/>
        <v>0</v>
      </c>
      <c r="L11" s="2">
        <v>940</v>
      </c>
      <c r="M11" s="6"/>
      <c r="N11" s="15">
        <f t="shared" si="1"/>
        <v>0</v>
      </c>
      <c r="O11" s="2">
        <v>350</v>
      </c>
      <c r="P11" s="17"/>
      <c r="Q11" s="28">
        <f t="shared" si="2"/>
        <v>0</v>
      </c>
      <c r="R11" s="27">
        <v>270</v>
      </c>
      <c r="S11" s="6"/>
      <c r="T11" s="15">
        <f t="shared" si="3"/>
        <v>0</v>
      </c>
      <c r="U11" s="12">
        <v>1000</v>
      </c>
      <c r="V11" s="6"/>
      <c r="W11" s="14">
        <f t="shared" si="4"/>
        <v>0</v>
      </c>
      <c r="X11" s="11">
        <f t="shared" si="5"/>
        <v>0</v>
      </c>
    </row>
    <row r="12" spans="1:24" ht="20.100000000000001" customHeight="1" x14ac:dyDescent="0.15">
      <c r="A12" s="1">
        <v>7</v>
      </c>
      <c r="B12" s="1" t="s">
        <v>15</v>
      </c>
      <c r="C12" s="2" t="s">
        <v>54</v>
      </c>
      <c r="D12" s="35">
        <v>5190</v>
      </c>
      <c r="E12" s="5">
        <v>19</v>
      </c>
      <c r="F12" s="14">
        <f t="shared" si="6"/>
        <v>98610</v>
      </c>
      <c r="G12" s="31">
        <f t="shared" ref="G12" si="15">E11*5890</f>
        <v>0</v>
      </c>
      <c r="H12" s="31">
        <f t="shared" ref="H12" si="16">G12-F11</f>
        <v>0</v>
      </c>
      <c r="I12" s="2">
        <v>300</v>
      </c>
      <c r="J12" s="5"/>
      <c r="K12" s="14">
        <f t="shared" si="0"/>
        <v>0</v>
      </c>
      <c r="L12" s="2">
        <v>940</v>
      </c>
      <c r="M12" s="6">
        <v>3</v>
      </c>
      <c r="N12" s="15">
        <f t="shared" si="1"/>
        <v>2820</v>
      </c>
      <c r="O12" s="2">
        <v>350</v>
      </c>
      <c r="P12" s="17">
        <v>19</v>
      </c>
      <c r="Q12" s="28">
        <f t="shared" si="2"/>
        <v>6650</v>
      </c>
      <c r="R12" s="27">
        <v>270</v>
      </c>
      <c r="S12" s="6">
        <v>38</v>
      </c>
      <c r="T12" s="15">
        <f t="shared" si="3"/>
        <v>10260</v>
      </c>
      <c r="U12" s="12">
        <v>1000</v>
      </c>
      <c r="V12" s="6"/>
      <c r="W12" s="14">
        <f t="shared" si="4"/>
        <v>0</v>
      </c>
      <c r="X12" s="11">
        <f t="shared" si="5"/>
        <v>111690</v>
      </c>
    </row>
    <row r="13" spans="1:24" ht="20.100000000000001" customHeight="1" x14ac:dyDescent="0.15">
      <c r="A13" s="1">
        <v>8</v>
      </c>
      <c r="B13" s="1" t="s">
        <v>16</v>
      </c>
      <c r="C13" s="2" t="s">
        <v>55</v>
      </c>
      <c r="D13" s="35">
        <v>5190</v>
      </c>
      <c r="E13" s="5">
        <v>13</v>
      </c>
      <c r="F13" s="14">
        <f t="shared" si="6"/>
        <v>67470</v>
      </c>
      <c r="G13" s="14">
        <f t="shared" ref="G13" si="17">E13*5890</f>
        <v>76570</v>
      </c>
      <c r="H13" s="31">
        <f t="shared" ref="H13" si="18">G13-F13</f>
        <v>9100</v>
      </c>
      <c r="I13" s="2">
        <v>300</v>
      </c>
      <c r="J13" s="5"/>
      <c r="K13" s="14">
        <f t="shared" si="0"/>
        <v>0</v>
      </c>
      <c r="L13" s="2">
        <v>940</v>
      </c>
      <c r="M13" s="6"/>
      <c r="N13" s="15">
        <f t="shared" si="1"/>
        <v>0</v>
      </c>
      <c r="O13" s="2">
        <v>350</v>
      </c>
      <c r="P13" s="17">
        <v>4</v>
      </c>
      <c r="Q13" s="28">
        <f t="shared" si="2"/>
        <v>1400</v>
      </c>
      <c r="R13" s="27">
        <v>270</v>
      </c>
      <c r="S13" s="6">
        <v>26</v>
      </c>
      <c r="T13" s="15">
        <f t="shared" si="3"/>
        <v>7020</v>
      </c>
      <c r="U13" s="12">
        <v>1000</v>
      </c>
      <c r="V13" s="6"/>
      <c r="W13" s="14">
        <f t="shared" si="4"/>
        <v>0</v>
      </c>
      <c r="X13" s="11">
        <f t="shared" si="5"/>
        <v>74490</v>
      </c>
    </row>
    <row r="14" spans="1:24" ht="20.100000000000001" customHeight="1" x14ac:dyDescent="0.15">
      <c r="A14" s="1">
        <v>9</v>
      </c>
      <c r="B14" s="2" t="s">
        <v>17</v>
      </c>
      <c r="C14" s="2" t="s">
        <v>55</v>
      </c>
      <c r="D14" s="35">
        <v>5190</v>
      </c>
      <c r="E14" s="5">
        <v>17</v>
      </c>
      <c r="F14" s="14">
        <f t="shared" si="6"/>
        <v>88230</v>
      </c>
      <c r="G14" s="31">
        <f t="shared" ref="G14" si="19">E13*5890</f>
        <v>76570</v>
      </c>
      <c r="H14" s="31">
        <f t="shared" ref="H14" si="20">G14-F13</f>
        <v>9100</v>
      </c>
      <c r="I14" s="2">
        <v>300</v>
      </c>
      <c r="J14" s="5"/>
      <c r="K14" s="14">
        <f t="shared" si="0"/>
        <v>0</v>
      </c>
      <c r="L14" s="2">
        <v>940</v>
      </c>
      <c r="M14" s="6">
        <v>4</v>
      </c>
      <c r="N14" s="15">
        <f t="shared" si="1"/>
        <v>3760</v>
      </c>
      <c r="O14" s="2">
        <v>350</v>
      </c>
      <c r="P14" s="17">
        <v>17</v>
      </c>
      <c r="Q14" s="28">
        <f t="shared" si="2"/>
        <v>5950</v>
      </c>
      <c r="R14" s="27">
        <v>270</v>
      </c>
      <c r="S14" s="6">
        <v>34</v>
      </c>
      <c r="T14" s="15">
        <f t="shared" si="3"/>
        <v>9180</v>
      </c>
      <c r="U14" s="12">
        <v>1000</v>
      </c>
      <c r="V14" s="6"/>
      <c r="W14" s="14">
        <f t="shared" si="4"/>
        <v>0</v>
      </c>
      <c r="X14" s="11">
        <f t="shared" si="5"/>
        <v>101170</v>
      </c>
    </row>
    <row r="15" spans="1:24" ht="20.100000000000001" customHeight="1" x14ac:dyDescent="0.15">
      <c r="A15" s="1">
        <v>10</v>
      </c>
      <c r="B15" s="2" t="s">
        <v>18</v>
      </c>
      <c r="C15" s="2" t="s">
        <v>55</v>
      </c>
      <c r="D15" s="35">
        <v>5190</v>
      </c>
      <c r="E15" s="5">
        <v>14</v>
      </c>
      <c r="F15" s="14">
        <f t="shared" si="6"/>
        <v>72660</v>
      </c>
      <c r="G15" s="14">
        <f t="shared" ref="G15" si="21">E15*5890</f>
        <v>82460</v>
      </c>
      <c r="H15" s="31">
        <f t="shared" ref="H15" si="22">G15-F15</f>
        <v>9800</v>
      </c>
      <c r="I15" s="2">
        <v>300</v>
      </c>
      <c r="J15" s="5"/>
      <c r="K15" s="14">
        <f t="shared" si="0"/>
        <v>0</v>
      </c>
      <c r="L15" s="2">
        <v>940</v>
      </c>
      <c r="M15" s="6"/>
      <c r="N15" s="15">
        <f t="shared" si="1"/>
        <v>0</v>
      </c>
      <c r="O15" s="2">
        <v>350</v>
      </c>
      <c r="P15" s="17">
        <v>14</v>
      </c>
      <c r="Q15" s="28">
        <f t="shared" si="2"/>
        <v>4900</v>
      </c>
      <c r="R15" s="27">
        <v>270</v>
      </c>
      <c r="S15" s="6">
        <v>28</v>
      </c>
      <c r="T15" s="15">
        <f t="shared" si="3"/>
        <v>7560</v>
      </c>
      <c r="U15" s="12">
        <v>1000</v>
      </c>
      <c r="V15" s="6"/>
      <c r="W15" s="14">
        <f t="shared" si="4"/>
        <v>0</v>
      </c>
      <c r="X15" s="11">
        <f t="shared" si="5"/>
        <v>80220</v>
      </c>
    </row>
    <row r="16" spans="1:24" ht="20.100000000000001" customHeight="1" x14ac:dyDescent="0.15">
      <c r="A16" s="1">
        <v>11</v>
      </c>
      <c r="B16" s="1" t="s">
        <v>19</v>
      </c>
      <c r="C16" s="2"/>
      <c r="D16" s="35">
        <v>5190</v>
      </c>
      <c r="E16" s="5"/>
      <c r="F16" s="14">
        <f t="shared" si="6"/>
        <v>0</v>
      </c>
      <c r="G16" s="31">
        <f t="shared" ref="G16" si="23">E15*5890</f>
        <v>82460</v>
      </c>
      <c r="H16" s="31">
        <f t="shared" ref="H16" si="24">G16-F15</f>
        <v>9800</v>
      </c>
      <c r="I16" s="2">
        <v>300</v>
      </c>
      <c r="J16" s="5"/>
      <c r="K16" s="14">
        <f t="shared" si="0"/>
        <v>0</v>
      </c>
      <c r="L16" s="2">
        <v>940</v>
      </c>
      <c r="M16" s="6"/>
      <c r="N16" s="15">
        <f t="shared" si="1"/>
        <v>0</v>
      </c>
      <c r="O16" s="2">
        <v>350</v>
      </c>
      <c r="P16" s="17"/>
      <c r="Q16" s="28">
        <f t="shared" si="2"/>
        <v>0</v>
      </c>
      <c r="R16" s="27">
        <v>270</v>
      </c>
      <c r="S16" s="6"/>
      <c r="T16" s="15">
        <f t="shared" si="3"/>
        <v>0</v>
      </c>
      <c r="U16" s="12">
        <v>1000</v>
      </c>
      <c r="V16" s="6"/>
      <c r="W16" s="14">
        <f t="shared" si="4"/>
        <v>0</v>
      </c>
      <c r="X16" s="11">
        <f t="shared" si="5"/>
        <v>0</v>
      </c>
    </row>
    <row r="17" spans="1:26" ht="20.100000000000001" customHeight="1" x14ac:dyDescent="0.15">
      <c r="A17" s="1">
        <v>12</v>
      </c>
      <c r="B17" s="1" t="s">
        <v>24</v>
      </c>
      <c r="C17" s="2" t="s">
        <v>55</v>
      </c>
      <c r="D17" s="35">
        <v>5190</v>
      </c>
      <c r="E17" s="5">
        <v>8</v>
      </c>
      <c r="F17" s="14">
        <f t="shared" si="6"/>
        <v>41520</v>
      </c>
      <c r="G17" s="14">
        <f t="shared" ref="G17" si="25">E17*5890</f>
        <v>47120</v>
      </c>
      <c r="H17" s="31">
        <f t="shared" ref="H17" si="26">G17-F17</f>
        <v>5600</v>
      </c>
      <c r="I17" s="2">
        <v>300</v>
      </c>
      <c r="J17" s="5"/>
      <c r="K17" s="14">
        <f t="shared" si="0"/>
        <v>0</v>
      </c>
      <c r="L17" s="2">
        <v>940</v>
      </c>
      <c r="M17" s="6">
        <v>4</v>
      </c>
      <c r="N17" s="15">
        <f t="shared" si="1"/>
        <v>3760</v>
      </c>
      <c r="O17" s="2">
        <v>350</v>
      </c>
      <c r="P17" s="17"/>
      <c r="Q17" s="28">
        <f t="shared" si="2"/>
        <v>0</v>
      </c>
      <c r="R17" s="27">
        <v>270</v>
      </c>
      <c r="S17" s="6"/>
      <c r="T17" s="15">
        <f t="shared" si="3"/>
        <v>0</v>
      </c>
      <c r="U17" s="12">
        <v>1000</v>
      </c>
      <c r="V17" s="6"/>
      <c r="W17" s="14">
        <f t="shared" si="4"/>
        <v>0</v>
      </c>
      <c r="X17" s="11">
        <f t="shared" si="5"/>
        <v>45280</v>
      </c>
    </row>
    <row r="18" spans="1:26" ht="20.100000000000001" customHeight="1" x14ac:dyDescent="0.15">
      <c r="A18" s="1">
        <v>13</v>
      </c>
      <c r="B18" s="1" t="s">
        <v>26</v>
      </c>
      <c r="C18" s="2" t="s">
        <v>58</v>
      </c>
      <c r="D18" s="35">
        <v>5190</v>
      </c>
      <c r="E18" s="5">
        <v>21</v>
      </c>
      <c r="F18" s="14">
        <f t="shared" si="6"/>
        <v>108990</v>
      </c>
      <c r="G18" s="31">
        <f t="shared" ref="G18" si="27">E17*5890</f>
        <v>47120</v>
      </c>
      <c r="H18" s="31">
        <f t="shared" ref="H18" si="28">G18-F17</f>
        <v>5600</v>
      </c>
      <c r="I18" s="2">
        <v>300</v>
      </c>
      <c r="J18" s="5"/>
      <c r="K18" s="14">
        <f t="shared" si="0"/>
        <v>0</v>
      </c>
      <c r="L18" s="2">
        <v>940</v>
      </c>
      <c r="M18" s="6">
        <v>1</v>
      </c>
      <c r="N18" s="15">
        <f t="shared" si="1"/>
        <v>940</v>
      </c>
      <c r="O18" s="2">
        <v>350</v>
      </c>
      <c r="P18" s="17">
        <v>21</v>
      </c>
      <c r="Q18" s="28">
        <f t="shared" si="2"/>
        <v>7350</v>
      </c>
      <c r="R18" s="27">
        <v>270</v>
      </c>
      <c r="S18" s="6">
        <v>42</v>
      </c>
      <c r="T18" s="15">
        <f t="shared" si="3"/>
        <v>11340</v>
      </c>
      <c r="U18" s="12">
        <v>1000</v>
      </c>
      <c r="V18" s="6"/>
      <c r="W18" s="14">
        <f t="shared" si="4"/>
        <v>0</v>
      </c>
      <c r="X18" s="35">
        <f t="shared" si="5"/>
        <v>121270</v>
      </c>
    </row>
    <row r="19" spans="1:26" ht="20.100000000000001" customHeight="1" x14ac:dyDescent="0.15">
      <c r="A19" s="1">
        <v>14</v>
      </c>
      <c r="B19" s="1" t="s">
        <v>37</v>
      </c>
      <c r="C19" s="2" t="s">
        <v>55</v>
      </c>
      <c r="D19" s="35">
        <v>5190</v>
      </c>
      <c r="E19" s="5">
        <v>20</v>
      </c>
      <c r="F19" s="14">
        <f t="shared" si="6"/>
        <v>103800</v>
      </c>
      <c r="G19" s="14">
        <f t="shared" ref="G19" si="29">E19*5890</f>
        <v>117800</v>
      </c>
      <c r="H19" s="31">
        <f t="shared" ref="H19" si="30">G19-F19</f>
        <v>14000</v>
      </c>
      <c r="I19" s="2">
        <v>300</v>
      </c>
      <c r="J19" s="5"/>
      <c r="K19" s="14">
        <f t="shared" si="0"/>
        <v>0</v>
      </c>
      <c r="L19" s="2">
        <v>940</v>
      </c>
      <c r="M19" s="6">
        <v>2</v>
      </c>
      <c r="N19" s="15">
        <f t="shared" si="1"/>
        <v>1880</v>
      </c>
      <c r="O19" s="2">
        <v>290</v>
      </c>
      <c r="P19" s="17">
        <v>1</v>
      </c>
      <c r="Q19" s="28">
        <f t="shared" si="2"/>
        <v>290</v>
      </c>
      <c r="R19" s="27">
        <v>270</v>
      </c>
      <c r="S19" s="6">
        <v>40</v>
      </c>
      <c r="T19" s="15">
        <f t="shared" si="3"/>
        <v>10800</v>
      </c>
      <c r="U19" s="12">
        <v>1000</v>
      </c>
      <c r="V19" s="6"/>
      <c r="W19" s="14">
        <f t="shared" si="4"/>
        <v>0</v>
      </c>
      <c r="X19" s="11">
        <f t="shared" si="5"/>
        <v>116480</v>
      </c>
    </row>
    <row r="20" spans="1:26" ht="20.100000000000001" customHeight="1" x14ac:dyDescent="0.15">
      <c r="A20" s="1">
        <v>15</v>
      </c>
      <c r="B20" s="1" t="s">
        <v>28</v>
      </c>
      <c r="C20" s="2" t="s">
        <v>55</v>
      </c>
      <c r="D20" s="35">
        <v>5190</v>
      </c>
      <c r="E20" s="5">
        <v>20</v>
      </c>
      <c r="F20" s="14">
        <f t="shared" si="6"/>
        <v>103800</v>
      </c>
      <c r="G20" s="31">
        <f t="shared" ref="G20" si="31">E19*5890</f>
        <v>117800</v>
      </c>
      <c r="H20" s="31">
        <f t="shared" ref="H20" si="32">G20-F19</f>
        <v>14000</v>
      </c>
      <c r="I20" s="2">
        <v>300</v>
      </c>
      <c r="J20" s="5"/>
      <c r="K20" s="14">
        <f t="shared" si="0"/>
        <v>0</v>
      </c>
      <c r="L20" s="2">
        <v>940</v>
      </c>
      <c r="M20" s="6">
        <v>2</v>
      </c>
      <c r="N20" s="15">
        <f t="shared" si="1"/>
        <v>1880</v>
      </c>
      <c r="O20" s="2">
        <v>350</v>
      </c>
      <c r="P20" s="17"/>
      <c r="Q20" s="28">
        <f t="shared" si="2"/>
        <v>0</v>
      </c>
      <c r="R20" s="27">
        <v>270</v>
      </c>
      <c r="S20" s="6">
        <v>40</v>
      </c>
      <c r="T20" s="15">
        <f t="shared" si="3"/>
        <v>10800</v>
      </c>
      <c r="U20" s="12">
        <v>1000</v>
      </c>
      <c r="V20" s="6"/>
      <c r="W20" s="14">
        <f t="shared" si="4"/>
        <v>0</v>
      </c>
      <c r="X20" s="11">
        <f t="shared" si="5"/>
        <v>116480</v>
      </c>
    </row>
    <row r="21" spans="1:26" ht="20.100000000000001" customHeight="1" x14ac:dyDescent="0.15">
      <c r="A21" s="1">
        <v>16</v>
      </c>
      <c r="B21" s="1" t="s">
        <v>38</v>
      </c>
      <c r="C21" s="2" t="s">
        <v>58</v>
      </c>
      <c r="D21" s="35">
        <v>5190</v>
      </c>
      <c r="E21" s="5">
        <v>9</v>
      </c>
      <c r="F21" s="14">
        <f t="shared" si="6"/>
        <v>46710</v>
      </c>
      <c r="G21" s="14">
        <f t="shared" ref="G21" si="33">E21*5890</f>
        <v>53010</v>
      </c>
      <c r="H21" s="31">
        <f t="shared" ref="H21" si="34">G21-F21</f>
        <v>6300</v>
      </c>
      <c r="I21" s="2">
        <v>300</v>
      </c>
      <c r="J21" s="5"/>
      <c r="K21" s="14">
        <f t="shared" si="0"/>
        <v>0</v>
      </c>
      <c r="L21" s="2">
        <v>940</v>
      </c>
      <c r="M21" s="6">
        <v>4</v>
      </c>
      <c r="N21" s="15">
        <f t="shared" si="1"/>
        <v>3760</v>
      </c>
      <c r="O21" s="2">
        <v>350</v>
      </c>
      <c r="P21" s="17"/>
      <c r="Q21" s="28">
        <f t="shared" si="2"/>
        <v>0</v>
      </c>
      <c r="R21" s="27">
        <v>270</v>
      </c>
      <c r="S21" s="6"/>
      <c r="T21" s="15">
        <f t="shared" si="3"/>
        <v>0</v>
      </c>
      <c r="U21" s="12">
        <v>1000</v>
      </c>
      <c r="V21" s="6"/>
      <c r="W21" s="14">
        <f t="shared" si="4"/>
        <v>0</v>
      </c>
      <c r="X21" s="35">
        <f t="shared" si="5"/>
        <v>50470</v>
      </c>
    </row>
    <row r="22" spans="1:26" ht="20.100000000000001" customHeight="1" x14ac:dyDescent="0.15">
      <c r="A22" s="1">
        <v>17</v>
      </c>
      <c r="B22" s="1" t="s">
        <v>22</v>
      </c>
      <c r="C22" s="2" t="s">
        <v>55</v>
      </c>
      <c r="D22" s="35">
        <v>5190</v>
      </c>
      <c r="E22" s="5">
        <v>21</v>
      </c>
      <c r="F22" s="14">
        <f t="shared" si="6"/>
        <v>108990</v>
      </c>
      <c r="G22" s="31">
        <f t="shared" ref="G22" si="35">E21*5890</f>
        <v>53010</v>
      </c>
      <c r="H22" s="31">
        <f t="shared" ref="H22" si="36">G22-F21</f>
        <v>6300</v>
      </c>
      <c r="I22" s="2">
        <v>300</v>
      </c>
      <c r="J22" s="5">
        <v>7</v>
      </c>
      <c r="K22" s="14">
        <f t="shared" si="0"/>
        <v>2100</v>
      </c>
      <c r="L22" s="2">
        <v>940</v>
      </c>
      <c r="M22" s="6">
        <v>1</v>
      </c>
      <c r="N22" s="15">
        <f t="shared" si="1"/>
        <v>940</v>
      </c>
      <c r="O22" s="2">
        <v>350</v>
      </c>
      <c r="P22" s="17">
        <v>21</v>
      </c>
      <c r="Q22" s="28">
        <f t="shared" si="2"/>
        <v>7350</v>
      </c>
      <c r="R22" s="27">
        <v>270</v>
      </c>
      <c r="S22" s="6">
        <v>42</v>
      </c>
      <c r="T22" s="15">
        <f t="shared" si="3"/>
        <v>11340</v>
      </c>
      <c r="U22" s="12">
        <v>1000</v>
      </c>
      <c r="V22" s="6"/>
      <c r="W22" s="14">
        <f t="shared" si="4"/>
        <v>0</v>
      </c>
      <c r="X22" s="11">
        <f t="shared" si="5"/>
        <v>123370</v>
      </c>
    </row>
    <row r="23" spans="1:26" ht="20.100000000000001" customHeight="1" x14ac:dyDescent="0.15">
      <c r="A23" s="1">
        <v>18</v>
      </c>
      <c r="B23" s="1" t="s">
        <v>39</v>
      </c>
      <c r="C23" s="2" t="s">
        <v>55</v>
      </c>
      <c r="D23" s="35">
        <v>5190</v>
      </c>
      <c r="E23" s="5">
        <v>15</v>
      </c>
      <c r="F23" s="14">
        <f t="shared" si="6"/>
        <v>77850</v>
      </c>
      <c r="G23" s="14">
        <f t="shared" ref="G23" si="37">E23*5890</f>
        <v>88350</v>
      </c>
      <c r="H23" s="31">
        <f t="shared" ref="H23" si="38">G23-F23</f>
        <v>10500</v>
      </c>
      <c r="I23" s="2">
        <v>300</v>
      </c>
      <c r="J23" s="5">
        <v>8</v>
      </c>
      <c r="K23" s="14">
        <f t="shared" si="0"/>
        <v>2400</v>
      </c>
      <c r="L23" s="2">
        <v>940</v>
      </c>
      <c r="M23" s="6">
        <v>4</v>
      </c>
      <c r="N23" s="15">
        <f t="shared" si="1"/>
        <v>3760</v>
      </c>
      <c r="O23" s="2">
        <v>350</v>
      </c>
      <c r="P23" s="17"/>
      <c r="Q23" s="28">
        <f t="shared" si="2"/>
        <v>0</v>
      </c>
      <c r="R23" s="27">
        <v>270</v>
      </c>
      <c r="S23" s="6">
        <v>30</v>
      </c>
      <c r="T23" s="15">
        <f t="shared" si="3"/>
        <v>8100</v>
      </c>
      <c r="U23" s="12">
        <v>1000</v>
      </c>
      <c r="V23" s="6"/>
      <c r="W23" s="14">
        <f t="shared" si="4"/>
        <v>0</v>
      </c>
      <c r="X23" s="11">
        <f t="shared" si="5"/>
        <v>92110</v>
      </c>
    </row>
    <row r="24" spans="1:26" ht="20.100000000000001" customHeight="1" x14ac:dyDescent="0.15">
      <c r="A24" s="1">
        <v>19</v>
      </c>
      <c r="B24" s="1" t="s">
        <v>41</v>
      </c>
      <c r="C24" s="2" t="s">
        <v>56</v>
      </c>
      <c r="D24" s="35">
        <v>5190</v>
      </c>
      <c r="E24" s="5">
        <v>18</v>
      </c>
      <c r="F24" s="14">
        <f t="shared" si="6"/>
        <v>93420</v>
      </c>
      <c r="G24" s="31">
        <f t="shared" ref="G24" si="39">E23*5890</f>
        <v>88350</v>
      </c>
      <c r="H24" s="31">
        <f t="shared" ref="H24" si="40">G24-F23</f>
        <v>10500</v>
      </c>
      <c r="I24" s="2">
        <v>300</v>
      </c>
      <c r="J24" s="5"/>
      <c r="K24" s="14">
        <f t="shared" si="0"/>
        <v>0</v>
      </c>
      <c r="L24" s="2">
        <v>940</v>
      </c>
      <c r="M24" s="6">
        <v>4</v>
      </c>
      <c r="N24" s="15">
        <f t="shared" si="1"/>
        <v>3760</v>
      </c>
      <c r="O24" s="2">
        <v>350</v>
      </c>
      <c r="P24" s="17"/>
      <c r="Q24" s="28">
        <f t="shared" si="2"/>
        <v>0</v>
      </c>
      <c r="R24" s="27">
        <v>270</v>
      </c>
      <c r="S24" s="6">
        <v>36</v>
      </c>
      <c r="T24" s="15">
        <f t="shared" si="3"/>
        <v>9720</v>
      </c>
      <c r="U24" s="12">
        <v>1000</v>
      </c>
      <c r="V24" s="6"/>
      <c r="W24" s="14">
        <f t="shared" si="4"/>
        <v>0</v>
      </c>
      <c r="X24" s="35">
        <f t="shared" si="5"/>
        <v>106900</v>
      </c>
    </row>
    <row r="25" spans="1:26" ht="20.100000000000001" customHeight="1" x14ac:dyDescent="0.15">
      <c r="A25" s="1">
        <v>21</v>
      </c>
      <c r="B25" s="1" t="s">
        <v>44</v>
      </c>
      <c r="C25" s="2" t="s">
        <v>54</v>
      </c>
      <c r="D25" s="35">
        <v>5190</v>
      </c>
      <c r="E25" s="5">
        <v>21</v>
      </c>
      <c r="F25" s="14">
        <f t="shared" si="6"/>
        <v>108990</v>
      </c>
      <c r="G25" s="14">
        <f t="shared" ref="G25" si="41">E25*5890</f>
        <v>123690</v>
      </c>
      <c r="H25" s="31">
        <f t="shared" ref="H25" si="42">G25-F25</f>
        <v>14700</v>
      </c>
      <c r="I25" s="2">
        <v>300</v>
      </c>
      <c r="J25" s="5">
        <v>20</v>
      </c>
      <c r="K25" s="14">
        <f t="shared" si="0"/>
        <v>6000</v>
      </c>
      <c r="L25" s="2">
        <v>940</v>
      </c>
      <c r="M25" s="6">
        <v>1</v>
      </c>
      <c r="N25" s="15">
        <f t="shared" si="1"/>
        <v>940</v>
      </c>
      <c r="O25" s="2">
        <v>350</v>
      </c>
      <c r="P25" s="17">
        <v>21</v>
      </c>
      <c r="Q25" s="28">
        <f t="shared" si="2"/>
        <v>7350</v>
      </c>
      <c r="R25" s="27">
        <v>270</v>
      </c>
      <c r="S25" s="6">
        <v>42</v>
      </c>
      <c r="T25" s="15">
        <f t="shared" si="3"/>
        <v>11340</v>
      </c>
      <c r="U25" s="12">
        <v>1000</v>
      </c>
      <c r="V25" s="6"/>
      <c r="W25" s="14">
        <f t="shared" si="4"/>
        <v>0</v>
      </c>
      <c r="X25" s="11">
        <f t="shared" si="5"/>
        <v>127270</v>
      </c>
    </row>
    <row r="26" spans="1:26" ht="20.100000000000001" customHeight="1" x14ac:dyDescent="0.15">
      <c r="A26" s="1">
        <v>22</v>
      </c>
      <c r="B26" s="1" t="s">
        <v>45</v>
      </c>
      <c r="C26" s="2" t="s">
        <v>55</v>
      </c>
      <c r="D26" s="35">
        <v>5190</v>
      </c>
      <c r="E26" s="5">
        <v>16</v>
      </c>
      <c r="F26" s="14">
        <f t="shared" si="6"/>
        <v>83040</v>
      </c>
      <c r="G26" s="31">
        <f t="shared" ref="G26" si="43">E25*5890</f>
        <v>123690</v>
      </c>
      <c r="H26" s="31">
        <f t="shared" ref="H26" si="44">G26-F25</f>
        <v>14700</v>
      </c>
      <c r="I26" s="2">
        <v>300</v>
      </c>
      <c r="J26" s="5">
        <v>16</v>
      </c>
      <c r="K26" s="14">
        <f t="shared" si="0"/>
        <v>4800</v>
      </c>
      <c r="L26" s="2">
        <v>940</v>
      </c>
      <c r="M26" s="6">
        <v>3</v>
      </c>
      <c r="N26" s="15">
        <f t="shared" si="1"/>
        <v>2820</v>
      </c>
      <c r="O26" s="2">
        <v>350</v>
      </c>
      <c r="P26" s="17">
        <v>16</v>
      </c>
      <c r="Q26" s="28">
        <f t="shared" si="2"/>
        <v>5600</v>
      </c>
      <c r="R26" s="27">
        <v>270</v>
      </c>
      <c r="S26" s="6">
        <v>32</v>
      </c>
      <c r="T26" s="15">
        <f t="shared" si="3"/>
        <v>8640</v>
      </c>
      <c r="U26" s="12">
        <v>1000</v>
      </c>
      <c r="V26" s="6"/>
      <c r="W26" s="14">
        <f t="shared" si="4"/>
        <v>0</v>
      </c>
      <c r="X26" s="11">
        <f t="shared" si="5"/>
        <v>99300</v>
      </c>
    </row>
    <row r="27" spans="1:26" ht="20.100000000000001" customHeight="1" x14ac:dyDescent="0.15">
      <c r="A27" s="1">
        <v>23</v>
      </c>
      <c r="B27" s="1" t="s">
        <v>46</v>
      </c>
      <c r="C27" s="2" t="s">
        <v>56</v>
      </c>
      <c r="D27" s="35">
        <v>5190</v>
      </c>
      <c r="E27" s="5"/>
      <c r="F27" s="14">
        <f t="shared" si="6"/>
        <v>0</v>
      </c>
      <c r="G27" s="14">
        <f t="shared" ref="G27" si="45">E27*5890</f>
        <v>0</v>
      </c>
      <c r="H27" s="31">
        <f t="shared" ref="H27" si="46">G27-F27</f>
        <v>0</v>
      </c>
      <c r="I27" s="2">
        <v>300</v>
      </c>
      <c r="J27" s="5">
        <v>21</v>
      </c>
      <c r="K27" s="14">
        <f t="shared" si="0"/>
        <v>6300</v>
      </c>
      <c r="L27" s="2">
        <v>940</v>
      </c>
      <c r="M27" s="6">
        <v>1</v>
      </c>
      <c r="N27" s="15">
        <f t="shared" si="1"/>
        <v>940</v>
      </c>
      <c r="O27" s="2">
        <v>350</v>
      </c>
      <c r="P27" s="17"/>
      <c r="Q27" s="28"/>
      <c r="R27" s="27">
        <v>270</v>
      </c>
      <c r="S27" s="6">
        <v>41</v>
      </c>
      <c r="T27" s="15">
        <f t="shared" si="3"/>
        <v>11070</v>
      </c>
      <c r="U27" s="12">
        <v>1000</v>
      </c>
      <c r="V27" s="6"/>
      <c r="W27" s="14">
        <f t="shared" si="4"/>
        <v>0</v>
      </c>
      <c r="X27" s="11"/>
    </row>
    <row r="28" spans="1:26" x14ac:dyDescent="0.15">
      <c r="A28" s="1"/>
      <c r="B28" s="1"/>
      <c r="C28" s="1"/>
      <c r="D28" s="1"/>
      <c r="E28" s="1"/>
      <c r="F28" s="12">
        <f>SUM(F5:F25)</f>
        <v>1645230</v>
      </c>
      <c r="G28" s="12"/>
      <c r="H28" s="12">
        <f>SUM(H6:H27)</f>
        <v>210700</v>
      </c>
      <c r="I28" s="12"/>
      <c r="J28" s="12"/>
      <c r="K28" s="12">
        <f>SUM(K5:K25)</f>
        <v>10500</v>
      </c>
      <c r="L28" s="12"/>
      <c r="M28" s="12"/>
      <c r="N28" s="12">
        <f>SUM(N5:N25)</f>
        <v>35720</v>
      </c>
      <c r="O28" s="12"/>
      <c r="P28" s="12"/>
      <c r="Q28" s="12">
        <f>SUM(Q5:Q25)</f>
        <v>53120</v>
      </c>
      <c r="R28" s="12"/>
      <c r="S28" s="1"/>
      <c r="T28" s="12">
        <f>SUM(T5:T25)</f>
        <v>126900</v>
      </c>
      <c r="U28" s="1"/>
      <c r="V28" s="1"/>
      <c r="W28" s="12">
        <f>SUM(W5:W25)</f>
        <v>0</v>
      </c>
      <c r="X28" s="12">
        <f>SUM(X6:X27)</f>
        <v>1917650</v>
      </c>
    </row>
    <row r="30" spans="1:26" ht="13.5" customHeight="1" x14ac:dyDescent="0.15">
      <c r="B30" s="25"/>
      <c r="C30" s="25"/>
      <c r="D30" s="25"/>
      <c r="E30" s="25"/>
      <c r="F30" s="25"/>
      <c r="G30" s="25"/>
      <c r="H30" s="25"/>
      <c r="J30" s="25"/>
      <c r="K30" s="26"/>
      <c r="L30" s="25"/>
      <c r="M30" s="67"/>
      <c r="N30" s="67"/>
      <c r="O30" s="68"/>
      <c r="P30" s="68"/>
      <c r="Q30" s="7"/>
      <c r="R30" s="7"/>
      <c r="S30" s="7"/>
      <c r="T30" s="7"/>
      <c r="U30" s="69">
        <f>X28</f>
        <v>1917650</v>
      </c>
      <c r="V30" s="69"/>
      <c r="W30" s="69"/>
      <c r="X30" s="69"/>
      <c r="Y30" s="22"/>
      <c r="Z30" s="22"/>
    </row>
    <row r="31" spans="1:26" ht="13.5" customHeight="1" x14ac:dyDescent="0.15">
      <c r="B31" s="22"/>
      <c r="C31" s="22"/>
      <c r="D31" s="25"/>
      <c r="E31" s="25"/>
      <c r="F31" s="25"/>
      <c r="G31" s="25"/>
      <c r="H31" s="25"/>
      <c r="J31" s="25"/>
      <c r="K31" s="26"/>
      <c r="L31" s="25"/>
      <c r="M31" s="67"/>
      <c r="N31" s="67"/>
      <c r="O31" s="68"/>
      <c r="P31" s="68"/>
      <c r="Q31" s="8"/>
      <c r="R31" s="8"/>
      <c r="S31" s="8"/>
      <c r="T31" s="8"/>
      <c r="U31" s="69"/>
      <c r="V31" s="69"/>
      <c r="W31" s="69"/>
      <c r="X31" s="69"/>
      <c r="Y31" s="23"/>
      <c r="Z31" s="22"/>
    </row>
    <row r="32" spans="1:26" ht="13.5" customHeight="1" x14ac:dyDescent="0.15">
      <c r="U32" s="69"/>
      <c r="V32" s="69"/>
      <c r="W32" s="69"/>
      <c r="X32" s="69"/>
      <c r="Y32" s="23"/>
      <c r="Z32" s="22"/>
    </row>
    <row r="33" spans="20:26" ht="13.5" customHeight="1" x14ac:dyDescent="0.15">
      <c r="T33" s="22"/>
      <c r="U33" s="22"/>
      <c r="V33" s="23"/>
      <c r="W33" s="23"/>
      <c r="X33" s="23"/>
      <c r="Y33" s="23"/>
      <c r="Z33" s="22"/>
    </row>
    <row r="34" spans="20:26" x14ac:dyDescent="0.15">
      <c r="T34" s="22"/>
      <c r="U34" s="22"/>
      <c r="V34" s="22"/>
      <c r="W34" s="22"/>
      <c r="X34" s="22"/>
      <c r="Y34" s="22"/>
      <c r="Z34" s="22"/>
    </row>
    <row r="35" spans="20:26" x14ac:dyDescent="0.15">
      <c r="T35" s="22"/>
      <c r="U35" s="22"/>
      <c r="V35" s="22"/>
      <c r="W35" s="22" t="s">
        <v>60</v>
      </c>
      <c r="X35" s="41">
        <f>X6+X7+X18+X21</f>
        <v>383660</v>
      </c>
      <c r="Y35" s="22"/>
      <c r="Z35" s="22"/>
    </row>
    <row r="36" spans="20:26" x14ac:dyDescent="0.15">
      <c r="W36" s="22" t="s">
        <v>61</v>
      </c>
      <c r="X36" s="41">
        <f>X8+X11+X13+X14+X17+X19+X20+X22+X15+X23+X26</f>
        <v>949390</v>
      </c>
    </row>
    <row r="37" spans="20:26" x14ac:dyDescent="0.15">
      <c r="W37" s="22" t="s">
        <v>62</v>
      </c>
      <c r="X37" s="41">
        <f>X24</f>
        <v>106900</v>
      </c>
    </row>
    <row r="38" spans="20:26" x14ac:dyDescent="0.15">
      <c r="W38" s="22" t="s">
        <v>63</v>
      </c>
      <c r="X38" s="41">
        <f>X9+X10</f>
        <v>238740</v>
      </c>
    </row>
    <row r="39" spans="20:26" x14ac:dyDescent="0.15">
      <c r="W39" s="22" t="s">
        <v>64</v>
      </c>
      <c r="X39" s="41">
        <f>X12+X25</f>
        <v>238960</v>
      </c>
    </row>
    <row r="40" spans="20:26" x14ac:dyDescent="0.15">
      <c r="X40" s="39">
        <f>SUBTOTAL(9,X35:X39)</f>
        <v>1917650</v>
      </c>
    </row>
  </sheetData>
  <autoFilter ref="A4:Z28"/>
  <mergeCells count="29">
    <mergeCell ref="V5:V6"/>
    <mergeCell ref="W5:W6"/>
    <mergeCell ref="M30:N30"/>
    <mergeCell ref="O30:P30"/>
    <mergeCell ref="U30:X32"/>
    <mergeCell ref="M31:N31"/>
    <mergeCell ref="O31:P31"/>
    <mergeCell ref="M5:M6"/>
    <mergeCell ref="N5:N6"/>
    <mergeCell ref="R5:R6"/>
    <mergeCell ref="S5:S6"/>
    <mergeCell ref="T5:T6"/>
    <mergeCell ref="U5:U6"/>
    <mergeCell ref="U3:W3"/>
    <mergeCell ref="X3:X4"/>
    <mergeCell ref="B5:B6"/>
    <mergeCell ref="D5:D6"/>
    <mergeCell ref="E5:E6"/>
    <mergeCell ref="F5:F6"/>
    <mergeCell ref="I5:I6"/>
    <mergeCell ref="J5:J6"/>
    <mergeCell ref="K5:K6"/>
    <mergeCell ref="L5:L6"/>
    <mergeCell ref="A2:B3"/>
    <mergeCell ref="D3:F3"/>
    <mergeCell ref="I3:K3"/>
    <mergeCell ref="L3:N3"/>
    <mergeCell ref="O3:Q3"/>
    <mergeCell ref="R3:T3"/>
  </mergeCells>
  <phoneticPr fontId="2"/>
  <pageMargins left="0.51181102362204722" right="0" top="0.35433070866141736" bottom="0.35433070866141736" header="0.31496062992125984" footer="0.31496062992125984"/>
  <pageSetup paperSize="9" scale="83" orientation="landscape" r:id="rId1"/>
  <headerFooter>
    <oddFooter>&amp;Rカイト御調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37"/>
  <sheetViews>
    <sheetView workbookViewId="0">
      <selection activeCell="N17" sqref="N17"/>
    </sheetView>
  </sheetViews>
  <sheetFormatPr defaultRowHeight="13.5" x14ac:dyDescent="0.15"/>
  <cols>
    <col min="1" max="1" width="3.25" customWidth="1"/>
    <col min="2" max="3" width="12.625" customWidth="1"/>
    <col min="4" max="4" width="6.625" customWidth="1"/>
    <col min="5" max="5" width="5.125" customWidth="1"/>
    <col min="6" max="6" width="9.25" customWidth="1"/>
    <col min="7" max="7" width="9" hidden="1" customWidth="1"/>
    <col min="8" max="8" width="2" hidden="1" customWidth="1"/>
    <col min="9" max="9" width="5.5" customWidth="1"/>
    <col min="10" max="10" width="5.375" customWidth="1"/>
    <col min="11" max="11" width="7.625" customWidth="1"/>
    <col min="12" max="12" width="5.625" customWidth="1"/>
    <col min="13" max="13" width="5" customWidth="1"/>
    <col min="14" max="14" width="7.625" customWidth="1"/>
    <col min="15" max="15" width="5.625" customWidth="1"/>
    <col min="16" max="16" width="4.875" customWidth="1"/>
    <col min="17" max="17" width="7.625" customWidth="1"/>
    <col min="18" max="18" width="6" customWidth="1"/>
    <col min="19" max="19" width="4.875" customWidth="1"/>
    <col min="20" max="20" width="7.625" customWidth="1"/>
    <col min="21" max="21" width="6.5" customWidth="1"/>
    <col min="22" max="22" width="4.875" customWidth="1"/>
    <col min="23" max="23" width="7.625" customWidth="1"/>
    <col min="24" max="24" width="10.625" customWidth="1"/>
  </cols>
  <sheetData>
    <row r="1" spans="1:24" x14ac:dyDescent="0.15">
      <c r="B1" t="s">
        <v>7</v>
      </c>
    </row>
    <row r="2" spans="1:24" x14ac:dyDescent="0.15">
      <c r="A2" s="59" t="s">
        <v>25</v>
      </c>
      <c r="B2" s="60"/>
      <c r="C2" s="34"/>
    </row>
    <row r="3" spans="1:24" x14ac:dyDescent="0.15">
      <c r="A3" s="61"/>
      <c r="B3" s="62"/>
      <c r="C3" s="36"/>
      <c r="D3" s="44" t="s">
        <v>0</v>
      </c>
      <c r="E3" s="45"/>
      <c r="F3" s="46"/>
      <c r="G3" s="29"/>
      <c r="H3" s="29"/>
      <c r="I3" s="44" t="s">
        <v>1</v>
      </c>
      <c r="J3" s="45"/>
      <c r="K3" s="46"/>
      <c r="L3" s="44" t="s">
        <v>2</v>
      </c>
      <c r="M3" s="45"/>
      <c r="N3" s="46"/>
      <c r="O3" s="44" t="s">
        <v>21</v>
      </c>
      <c r="P3" s="45"/>
      <c r="Q3" s="46"/>
      <c r="R3" s="44" t="s">
        <v>8</v>
      </c>
      <c r="S3" s="45"/>
      <c r="T3" s="46"/>
      <c r="U3" s="44" t="s">
        <v>3</v>
      </c>
      <c r="V3" s="45"/>
      <c r="W3" s="46"/>
      <c r="X3" s="47" t="s">
        <v>6</v>
      </c>
    </row>
    <row r="4" spans="1:24" ht="14.25" thickBot="1" x14ac:dyDescent="0.2">
      <c r="A4" s="2"/>
      <c r="B4" s="9" t="s">
        <v>4</v>
      </c>
      <c r="C4" s="9"/>
      <c r="D4" s="3">
        <v>5890</v>
      </c>
      <c r="E4" s="10" t="s">
        <v>5</v>
      </c>
      <c r="F4" s="3"/>
      <c r="G4" s="3"/>
      <c r="H4" s="3"/>
      <c r="I4" s="3">
        <v>300</v>
      </c>
      <c r="J4" s="10" t="s">
        <v>5</v>
      </c>
      <c r="K4" s="3"/>
      <c r="L4" s="3">
        <v>940</v>
      </c>
      <c r="M4" s="10" t="s">
        <v>5</v>
      </c>
      <c r="N4" s="3"/>
      <c r="O4" s="3">
        <v>350</v>
      </c>
      <c r="P4" s="10" t="s">
        <v>5</v>
      </c>
      <c r="Q4" s="3"/>
      <c r="R4" s="13">
        <v>2800</v>
      </c>
      <c r="S4" s="3" t="s">
        <v>5</v>
      </c>
      <c r="T4" s="3"/>
      <c r="U4" s="13">
        <v>1000</v>
      </c>
      <c r="V4" s="10" t="s">
        <v>5</v>
      </c>
      <c r="W4" s="3"/>
      <c r="X4" s="48"/>
    </row>
    <row r="5" spans="1:24" ht="14.25" customHeight="1" thickTop="1" x14ac:dyDescent="0.15">
      <c r="A5" s="2"/>
      <c r="B5" s="49" t="s">
        <v>9</v>
      </c>
      <c r="C5" s="32"/>
      <c r="D5" s="51">
        <v>5840</v>
      </c>
      <c r="E5" s="53">
        <v>17</v>
      </c>
      <c r="F5" s="55">
        <f>SUM(D5*E5)</f>
        <v>99280</v>
      </c>
      <c r="G5" s="30"/>
      <c r="H5" s="30"/>
      <c r="I5" s="57">
        <v>300</v>
      </c>
      <c r="J5" s="53"/>
      <c r="K5" s="55">
        <f>SUM(I5*J5)</f>
        <v>0</v>
      </c>
      <c r="L5" s="57">
        <v>940</v>
      </c>
      <c r="M5" s="53">
        <v>4</v>
      </c>
      <c r="N5" s="70">
        <f>SUM(L5*M5)</f>
        <v>3760</v>
      </c>
      <c r="O5" s="4"/>
      <c r="P5" s="20"/>
      <c r="Q5" s="21"/>
      <c r="R5" s="72">
        <v>2800</v>
      </c>
      <c r="S5" s="63"/>
      <c r="T5" s="70">
        <f>SUM(R5*S6)</f>
        <v>0</v>
      </c>
      <c r="U5" s="72">
        <v>1000</v>
      </c>
      <c r="V5" s="63"/>
      <c r="W5" s="55">
        <f>SUM(V6*U5)</f>
        <v>0</v>
      </c>
      <c r="X5" s="19"/>
    </row>
    <row r="6" spans="1:24" ht="20.100000000000001" customHeight="1" x14ac:dyDescent="0.15">
      <c r="A6" s="1">
        <v>1</v>
      </c>
      <c r="B6" s="50"/>
      <c r="C6" s="33" t="s">
        <v>52</v>
      </c>
      <c r="D6" s="52"/>
      <c r="E6" s="54"/>
      <c r="F6" s="56"/>
      <c r="G6" s="31">
        <f>E5*5840</f>
        <v>99280</v>
      </c>
      <c r="H6" s="31">
        <f>G6-F5</f>
        <v>0</v>
      </c>
      <c r="I6" s="58"/>
      <c r="J6" s="54"/>
      <c r="K6" s="56"/>
      <c r="L6" s="58"/>
      <c r="M6" s="54"/>
      <c r="N6" s="71"/>
      <c r="O6" s="2">
        <v>290</v>
      </c>
      <c r="P6" s="16">
        <v>15</v>
      </c>
      <c r="Q6" s="18">
        <f>SUM(O6*P6)</f>
        <v>4350</v>
      </c>
      <c r="R6" s="73"/>
      <c r="S6" s="64"/>
      <c r="T6" s="71"/>
      <c r="U6" s="73"/>
      <c r="V6" s="64"/>
      <c r="W6" s="56"/>
      <c r="X6" s="11">
        <f>SUM(F5+K5+N5+T5+W5)</f>
        <v>103040</v>
      </c>
    </row>
    <row r="7" spans="1:24" ht="20.100000000000001" customHeight="1" x14ac:dyDescent="0.15">
      <c r="A7" s="1">
        <v>2</v>
      </c>
      <c r="B7" s="1" t="s">
        <v>10</v>
      </c>
      <c r="C7" s="2" t="s">
        <v>52</v>
      </c>
      <c r="D7" s="35">
        <v>5840</v>
      </c>
      <c r="E7" s="5">
        <v>16</v>
      </c>
      <c r="F7" s="14">
        <f>SUM(D7*E7)</f>
        <v>93440</v>
      </c>
      <c r="G7" s="31">
        <f>E7*5840</f>
        <v>93440</v>
      </c>
      <c r="H7" s="31">
        <f>G7-F7</f>
        <v>0</v>
      </c>
      <c r="I7" s="2">
        <v>300</v>
      </c>
      <c r="J7" s="5"/>
      <c r="K7" s="14">
        <f t="shared" ref="K7" si="0">SUM(I7*J7)</f>
        <v>0</v>
      </c>
      <c r="L7" s="2">
        <v>940</v>
      </c>
      <c r="M7" s="6">
        <v>2</v>
      </c>
      <c r="N7" s="15">
        <f t="shared" ref="N7" si="1">SUM(L7*M7)</f>
        <v>1880</v>
      </c>
      <c r="O7" s="2">
        <v>350</v>
      </c>
      <c r="P7" s="17">
        <v>17</v>
      </c>
      <c r="Q7" s="18">
        <f t="shared" ref="Q7" si="2">SUM(O7*P7)</f>
        <v>5950</v>
      </c>
      <c r="R7" s="11">
        <v>2800</v>
      </c>
      <c r="S7" s="6"/>
      <c r="T7" s="15">
        <f t="shared" ref="T7" si="3">SUM(R7*S7)</f>
        <v>0</v>
      </c>
      <c r="U7" s="12">
        <v>1000</v>
      </c>
      <c r="V7" s="6"/>
      <c r="W7" s="14">
        <f t="shared" ref="W7" si="4">SUM(V7*U7)</f>
        <v>0</v>
      </c>
      <c r="X7" s="11">
        <f t="shared" ref="X7" si="5">SUM(F7+K7+N7+T7+W7)</f>
        <v>95320</v>
      </c>
    </row>
    <row r="8" spans="1:24" ht="20.100000000000001" customHeight="1" x14ac:dyDescent="0.15">
      <c r="A8" s="1">
        <v>3</v>
      </c>
      <c r="B8" s="1" t="s">
        <v>11</v>
      </c>
      <c r="C8" s="2"/>
      <c r="D8" s="11">
        <v>5840</v>
      </c>
      <c r="E8" s="5">
        <v>0</v>
      </c>
      <c r="F8" s="14">
        <f t="shared" ref="F8:F25" si="6">SUM(D8*E8)</f>
        <v>0</v>
      </c>
      <c r="G8" s="31">
        <f>E8*5840</f>
        <v>0</v>
      </c>
      <c r="H8" s="31">
        <f>G8-F8</f>
        <v>0</v>
      </c>
      <c r="I8" s="2">
        <v>300</v>
      </c>
      <c r="J8" s="5"/>
      <c r="K8" s="14">
        <f t="shared" ref="K8:K25" si="7">SUM(I8*J8)</f>
        <v>0</v>
      </c>
      <c r="L8" s="2">
        <v>940</v>
      </c>
      <c r="M8" s="6"/>
      <c r="N8" s="15">
        <f t="shared" ref="N8:N25" si="8">SUM(L8*M8)</f>
        <v>0</v>
      </c>
      <c r="O8" s="2">
        <v>350</v>
      </c>
      <c r="P8" s="17"/>
      <c r="Q8" s="18">
        <f t="shared" ref="Q8:Q25" si="9">SUM(O8*P8)</f>
        <v>0</v>
      </c>
      <c r="R8" s="11">
        <v>2800</v>
      </c>
      <c r="S8" s="6"/>
      <c r="T8" s="15">
        <f t="shared" ref="T8:T25" si="10">SUM(R8*S8)</f>
        <v>0</v>
      </c>
      <c r="U8" s="12">
        <v>1000</v>
      </c>
      <c r="V8" s="6"/>
      <c r="W8" s="14">
        <f t="shared" ref="W8:W25" si="11">SUM(V8*U8)</f>
        <v>0</v>
      </c>
      <c r="X8" s="11">
        <f t="shared" ref="X8:X25" si="12">SUM(F8+K8+N8+T8+W8)</f>
        <v>0</v>
      </c>
    </row>
    <row r="9" spans="1:24" ht="20.100000000000001" customHeight="1" x14ac:dyDescent="0.15">
      <c r="A9" s="1">
        <v>4</v>
      </c>
      <c r="B9" s="1" t="s">
        <v>12</v>
      </c>
      <c r="C9" s="2" t="s">
        <v>53</v>
      </c>
      <c r="D9" s="35">
        <v>5840</v>
      </c>
      <c r="E9" s="5">
        <v>22</v>
      </c>
      <c r="F9" s="14">
        <f t="shared" si="6"/>
        <v>128480</v>
      </c>
      <c r="G9" s="31">
        <f t="shared" ref="G9" si="13">E9*5840</f>
        <v>128480</v>
      </c>
      <c r="H9" s="31">
        <f>G9-F9</f>
        <v>0</v>
      </c>
      <c r="I9" s="2">
        <v>300</v>
      </c>
      <c r="J9" s="5"/>
      <c r="K9" s="14">
        <f t="shared" si="7"/>
        <v>0</v>
      </c>
      <c r="L9" s="2">
        <v>940</v>
      </c>
      <c r="M9" s="6"/>
      <c r="N9" s="15">
        <f t="shared" si="8"/>
        <v>0</v>
      </c>
      <c r="O9" s="2">
        <v>350</v>
      </c>
      <c r="P9" s="17">
        <v>19</v>
      </c>
      <c r="Q9" s="18">
        <f t="shared" si="9"/>
        <v>6650</v>
      </c>
      <c r="R9" s="11">
        <v>2800</v>
      </c>
      <c r="S9" s="6"/>
      <c r="T9" s="15">
        <f t="shared" si="10"/>
        <v>0</v>
      </c>
      <c r="U9" s="12">
        <v>1000</v>
      </c>
      <c r="V9" s="6"/>
      <c r="W9" s="14">
        <f t="shared" si="11"/>
        <v>0</v>
      </c>
      <c r="X9" s="11">
        <f t="shared" si="12"/>
        <v>128480</v>
      </c>
    </row>
    <row r="10" spans="1:24" ht="20.100000000000001" customHeight="1" x14ac:dyDescent="0.15">
      <c r="A10" s="1">
        <v>5</v>
      </c>
      <c r="B10" s="1" t="s">
        <v>13</v>
      </c>
      <c r="C10" s="2" t="s">
        <v>53</v>
      </c>
      <c r="D10" s="35">
        <v>5840</v>
      </c>
      <c r="E10" s="5">
        <v>22</v>
      </c>
      <c r="F10" s="14">
        <f t="shared" si="6"/>
        <v>128480</v>
      </c>
      <c r="G10" s="31">
        <f t="shared" ref="G10" si="14">E9*5840</f>
        <v>128480</v>
      </c>
      <c r="H10" s="31">
        <f t="shared" ref="H10:H11" si="15">G10-F10</f>
        <v>0</v>
      </c>
      <c r="I10" s="2">
        <v>300</v>
      </c>
      <c r="J10" s="5"/>
      <c r="K10" s="14">
        <f t="shared" si="7"/>
        <v>0</v>
      </c>
      <c r="L10" s="2">
        <v>940</v>
      </c>
      <c r="M10" s="6"/>
      <c r="N10" s="15">
        <f t="shared" si="8"/>
        <v>0</v>
      </c>
      <c r="O10" s="2">
        <v>350</v>
      </c>
      <c r="P10" s="17">
        <v>19</v>
      </c>
      <c r="Q10" s="18">
        <f t="shared" si="9"/>
        <v>6650</v>
      </c>
      <c r="R10" s="11">
        <v>2800</v>
      </c>
      <c r="S10" s="6"/>
      <c r="T10" s="15">
        <f t="shared" si="10"/>
        <v>0</v>
      </c>
      <c r="U10" s="12">
        <v>1000</v>
      </c>
      <c r="V10" s="6"/>
      <c r="W10" s="14">
        <f t="shared" si="11"/>
        <v>0</v>
      </c>
      <c r="X10" s="11">
        <f t="shared" si="12"/>
        <v>128480</v>
      </c>
    </row>
    <row r="11" spans="1:24" ht="20.100000000000001" customHeight="1" x14ac:dyDescent="0.15">
      <c r="A11" s="1">
        <v>6</v>
      </c>
      <c r="B11" s="1" t="s">
        <v>14</v>
      </c>
      <c r="C11" s="2"/>
      <c r="D11" s="11">
        <v>5840</v>
      </c>
      <c r="E11" s="5">
        <v>16</v>
      </c>
      <c r="F11" s="14">
        <f t="shared" si="6"/>
        <v>93440</v>
      </c>
      <c r="G11" s="31">
        <f t="shared" ref="G11" si="16">E11*5840</f>
        <v>93440</v>
      </c>
      <c r="H11" s="31">
        <f t="shared" si="15"/>
        <v>0</v>
      </c>
      <c r="I11" s="2">
        <v>300</v>
      </c>
      <c r="J11" s="5"/>
      <c r="K11" s="14">
        <f t="shared" si="7"/>
        <v>0</v>
      </c>
      <c r="L11" s="2">
        <v>940</v>
      </c>
      <c r="M11" s="6">
        <v>1</v>
      </c>
      <c r="N11" s="15">
        <f t="shared" si="8"/>
        <v>940</v>
      </c>
      <c r="O11" s="2">
        <v>350</v>
      </c>
      <c r="P11" s="17"/>
      <c r="Q11" s="18">
        <f t="shared" si="9"/>
        <v>0</v>
      </c>
      <c r="R11" s="11">
        <v>2800</v>
      </c>
      <c r="S11" s="6"/>
      <c r="T11" s="15">
        <f t="shared" si="10"/>
        <v>0</v>
      </c>
      <c r="U11" s="12">
        <v>1000</v>
      </c>
      <c r="V11" s="6"/>
      <c r="W11" s="14">
        <f t="shared" si="11"/>
        <v>0</v>
      </c>
      <c r="X11" s="11">
        <f t="shared" si="12"/>
        <v>94380</v>
      </c>
    </row>
    <row r="12" spans="1:24" ht="20.100000000000001" customHeight="1" x14ac:dyDescent="0.15">
      <c r="A12" s="1">
        <v>7</v>
      </c>
      <c r="B12" s="1" t="s">
        <v>15</v>
      </c>
      <c r="C12" s="2"/>
      <c r="D12" s="11">
        <v>5840</v>
      </c>
      <c r="E12" s="5">
        <v>22</v>
      </c>
      <c r="F12" s="14">
        <f t="shared" si="6"/>
        <v>128480</v>
      </c>
      <c r="G12" s="31">
        <f t="shared" ref="G12" si="17">E11*5840</f>
        <v>93440</v>
      </c>
      <c r="H12" s="31">
        <f t="shared" ref="H12" si="18">G12-F11</f>
        <v>0</v>
      </c>
      <c r="I12" s="2">
        <v>300</v>
      </c>
      <c r="J12" s="5"/>
      <c r="K12" s="14">
        <f t="shared" si="7"/>
        <v>0</v>
      </c>
      <c r="L12" s="2">
        <v>940</v>
      </c>
      <c r="M12" s="6"/>
      <c r="N12" s="15">
        <f t="shared" si="8"/>
        <v>0</v>
      </c>
      <c r="O12" s="2">
        <v>350</v>
      </c>
      <c r="P12" s="17">
        <v>22</v>
      </c>
      <c r="Q12" s="18">
        <f t="shared" si="9"/>
        <v>7700</v>
      </c>
      <c r="R12" s="11">
        <v>2800</v>
      </c>
      <c r="S12" s="6"/>
      <c r="T12" s="15">
        <f t="shared" si="10"/>
        <v>0</v>
      </c>
      <c r="U12" s="12">
        <v>1000</v>
      </c>
      <c r="V12" s="6"/>
      <c r="W12" s="14">
        <f t="shared" si="11"/>
        <v>0</v>
      </c>
      <c r="X12" s="11">
        <f t="shared" si="12"/>
        <v>128480</v>
      </c>
    </row>
    <row r="13" spans="1:24" ht="20.100000000000001" customHeight="1" x14ac:dyDescent="0.15">
      <c r="A13" s="1">
        <v>8</v>
      </c>
      <c r="B13" s="1" t="s">
        <v>16</v>
      </c>
      <c r="C13" s="2"/>
      <c r="D13" s="11">
        <v>5840</v>
      </c>
      <c r="E13" s="5">
        <v>22</v>
      </c>
      <c r="F13" s="14">
        <f t="shared" si="6"/>
        <v>128480</v>
      </c>
      <c r="G13" s="31">
        <f t="shared" ref="G13" si="19">E13*5840</f>
        <v>128480</v>
      </c>
      <c r="H13" s="31">
        <f t="shared" ref="H13:H14" si="20">G13-F13</f>
        <v>0</v>
      </c>
      <c r="I13" s="2">
        <v>300</v>
      </c>
      <c r="J13" s="5"/>
      <c r="K13" s="14">
        <f t="shared" si="7"/>
        <v>0</v>
      </c>
      <c r="L13" s="2">
        <v>940</v>
      </c>
      <c r="M13" s="6"/>
      <c r="N13" s="15">
        <f t="shared" si="8"/>
        <v>0</v>
      </c>
      <c r="O13" s="2">
        <v>350</v>
      </c>
      <c r="P13" s="17">
        <v>9</v>
      </c>
      <c r="Q13" s="18">
        <f t="shared" si="9"/>
        <v>3150</v>
      </c>
      <c r="R13" s="11">
        <v>2800</v>
      </c>
      <c r="S13" s="6"/>
      <c r="T13" s="15">
        <f t="shared" si="10"/>
        <v>0</v>
      </c>
      <c r="U13" s="12">
        <v>1000</v>
      </c>
      <c r="V13" s="6"/>
      <c r="W13" s="14">
        <f t="shared" si="11"/>
        <v>0</v>
      </c>
      <c r="X13" s="11">
        <f t="shared" si="12"/>
        <v>128480</v>
      </c>
    </row>
    <row r="14" spans="1:24" ht="20.100000000000001" customHeight="1" x14ac:dyDescent="0.15">
      <c r="A14" s="1">
        <v>9</v>
      </c>
      <c r="B14" s="2" t="s">
        <v>17</v>
      </c>
      <c r="C14" s="2"/>
      <c r="D14" s="11">
        <v>5840</v>
      </c>
      <c r="E14" s="5">
        <v>18</v>
      </c>
      <c r="F14" s="14">
        <f t="shared" si="6"/>
        <v>105120</v>
      </c>
      <c r="G14" s="31">
        <f>E14*5840</f>
        <v>105120</v>
      </c>
      <c r="H14" s="31">
        <f t="shared" si="20"/>
        <v>0</v>
      </c>
      <c r="I14" s="2">
        <v>300</v>
      </c>
      <c r="J14" s="5"/>
      <c r="K14" s="14">
        <f t="shared" si="7"/>
        <v>0</v>
      </c>
      <c r="L14" s="2">
        <v>940</v>
      </c>
      <c r="M14" s="6">
        <v>4</v>
      </c>
      <c r="N14" s="15">
        <f t="shared" si="8"/>
        <v>3760</v>
      </c>
      <c r="O14" s="2">
        <v>350</v>
      </c>
      <c r="P14" s="17">
        <v>18</v>
      </c>
      <c r="Q14" s="18">
        <f t="shared" si="9"/>
        <v>6300</v>
      </c>
      <c r="R14" s="11">
        <v>2800</v>
      </c>
      <c r="S14" s="6"/>
      <c r="T14" s="15">
        <f t="shared" si="10"/>
        <v>0</v>
      </c>
      <c r="U14" s="12">
        <v>1000</v>
      </c>
      <c r="V14" s="6"/>
      <c r="W14" s="14">
        <f t="shared" si="11"/>
        <v>0</v>
      </c>
      <c r="X14" s="11">
        <f t="shared" si="12"/>
        <v>108880</v>
      </c>
    </row>
    <row r="15" spans="1:24" ht="20.100000000000001" customHeight="1" x14ac:dyDescent="0.15">
      <c r="A15" s="1">
        <v>10</v>
      </c>
      <c r="B15" s="2" t="s">
        <v>18</v>
      </c>
      <c r="C15" s="2"/>
      <c r="D15" s="11">
        <v>5840</v>
      </c>
      <c r="E15" s="5">
        <v>6</v>
      </c>
      <c r="F15" s="14">
        <f t="shared" si="6"/>
        <v>35040</v>
      </c>
      <c r="G15" s="31">
        <f>E15*5840</f>
        <v>35040</v>
      </c>
      <c r="H15" s="31">
        <f>G15-F15</f>
        <v>0</v>
      </c>
      <c r="I15" s="2">
        <v>300</v>
      </c>
      <c r="J15" s="5"/>
      <c r="K15" s="14">
        <f t="shared" si="7"/>
        <v>0</v>
      </c>
      <c r="L15" s="2">
        <v>940</v>
      </c>
      <c r="M15" s="6">
        <v>4</v>
      </c>
      <c r="N15" s="15">
        <f t="shared" si="8"/>
        <v>3760</v>
      </c>
      <c r="O15" s="2">
        <v>350</v>
      </c>
      <c r="P15" s="17">
        <v>10</v>
      </c>
      <c r="Q15" s="18">
        <f t="shared" si="9"/>
        <v>3500</v>
      </c>
      <c r="R15" s="11">
        <v>2800</v>
      </c>
      <c r="S15" s="6"/>
      <c r="T15" s="15">
        <f t="shared" si="10"/>
        <v>0</v>
      </c>
      <c r="U15" s="12">
        <v>1000</v>
      </c>
      <c r="V15" s="6"/>
      <c r="W15" s="14">
        <f t="shared" si="11"/>
        <v>0</v>
      </c>
      <c r="X15" s="11">
        <f t="shared" si="12"/>
        <v>38800</v>
      </c>
    </row>
    <row r="16" spans="1:24" ht="20.100000000000001" customHeight="1" x14ac:dyDescent="0.15">
      <c r="A16" s="1">
        <v>11</v>
      </c>
      <c r="B16" s="1" t="s">
        <v>19</v>
      </c>
      <c r="C16" s="2"/>
      <c r="D16" s="11">
        <v>5840</v>
      </c>
      <c r="E16" s="5">
        <v>0</v>
      </c>
      <c r="F16" s="14">
        <f t="shared" si="6"/>
        <v>0</v>
      </c>
      <c r="G16" s="31">
        <f>E16*5840</f>
        <v>0</v>
      </c>
      <c r="H16" s="31">
        <f t="shared" ref="H16:H17" si="21">G16-F16</f>
        <v>0</v>
      </c>
      <c r="I16" s="2">
        <v>300</v>
      </c>
      <c r="J16" s="5"/>
      <c r="K16" s="14">
        <f t="shared" si="7"/>
        <v>0</v>
      </c>
      <c r="L16" s="2">
        <v>940</v>
      </c>
      <c r="M16" s="6"/>
      <c r="N16" s="15">
        <f t="shared" si="8"/>
        <v>0</v>
      </c>
      <c r="O16" s="2">
        <v>350</v>
      </c>
      <c r="P16" s="17"/>
      <c r="Q16" s="18">
        <f t="shared" si="9"/>
        <v>0</v>
      </c>
      <c r="R16" s="11">
        <v>2800</v>
      </c>
      <c r="S16" s="6"/>
      <c r="T16" s="15">
        <f t="shared" si="10"/>
        <v>0</v>
      </c>
      <c r="U16" s="12">
        <v>1000</v>
      </c>
      <c r="V16" s="6"/>
      <c r="W16" s="14">
        <f t="shared" si="11"/>
        <v>0</v>
      </c>
      <c r="X16" s="11">
        <f t="shared" si="12"/>
        <v>0</v>
      </c>
    </row>
    <row r="17" spans="1:26" ht="20.100000000000001" customHeight="1" x14ac:dyDescent="0.15">
      <c r="A17" s="1">
        <v>12</v>
      </c>
      <c r="B17" s="1" t="s">
        <v>24</v>
      </c>
      <c r="C17" s="2"/>
      <c r="D17" s="11">
        <v>5840</v>
      </c>
      <c r="E17" s="5">
        <v>9</v>
      </c>
      <c r="F17" s="14">
        <f t="shared" si="6"/>
        <v>52560</v>
      </c>
      <c r="G17" s="31">
        <f t="shared" ref="G17:G25" si="22">E17*5840</f>
        <v>52560</v>
      </c>
      <c r="H17" s="31">
        <f t="shared" si="21"/>
        <v>0</v>
      </c>
      <c r="I17" s="2">
        <v>300</v>
      </c>
      <c r="J17" s="5"/>
      <c r="K17" s="14">
        <f t="shared" si="7"/>
        <v>0</v>
      </c>
      <c r="L17" s="2">
        <v>940</v>
      </c>
      <c r="M17" s="6">
        <v>2</v>
      </c>
      <c r="N17" s="15">
        <f t="shared" si="8"/>
        <v>1880</v>
      </c>
      <c r="O17" s="2">
        <v>350</v>
      </c>
      <c r="P17" s="17"/>
      <c r="Q17" s="18">
        <f t="shared" si="9"/>
        <v>0</v>
      </c>
      <c r="R17" s="11">
        <v>2800</v>
      </c>
      <c r="S17" s="6"/>
      <c r="T17" s="15">
        <f t="shared" si="10"/>
        <v>0</v>
      </c>
      <c r="U17" s="12">
        <v>1000</v>
      </c>
      <c r="V17" s="6"/>
      <c r="W17" s="14">
        <f t="shared" si="11"/>
        <v>0</v>
      </c>
      <c r="X17" s="11">
        <f t="shared" si="12"/>
        <v>54440</v>
      </c>
    </row>
    <row r="18" spans="1:26" ht="20.100000000000001" customHeight="1" x14ac:dyDescent="0.15">
      <c r="A18" s="1">
        <v>13</v>
      </c>
      <c r="B18" s="1" t="s">
        <v>26</v>
      </c>
      <c r="C18" s="2" t="s">
        <v>52</v>
      </c>
      <c r="D18" s="35">
        <v>5840</v>
      </c>
      <c r="E18" s="5">
        <v>13</v>
      </c>
      <c r="F18" s="14">
        <f t="shared" si="6"/>
        <v>75920</v>
      </c>
      <c r="G18" s="31">
        <f t="shared" si="22"/>
        <v>75920</v>
      </c>
      <c r="H18" s="31">
        <f t="shared" ref="H18" si="23">G18-F17</f>
        <v>23360</v>
      </c>
      <c r="I18" s="2">
        <v>300</v>
      </c>
      <c r="J18" s="5">
        <v>13</v>
      </c>
      <c r="K18" s="14">
        <f t="shared" si="7"/>
        <v>3900</v>
      </c>
      <c r="L18" s="2">
        <v>940</v>
      </c>
      <c r="M18" s="6">
        <v>3</v>
      </c>
      <c r="N18" s="15">
        <f t="shared" si="8"/>
        <v>2820</v>
      </c>
      <c r="O18" s="2">
        <v>350</v>
      </c>
      <c r="P18" s="17">
        <v>19</v>
      </c>
      <c r="Q18" s="18">
        <f t="shared" si="9"/>
        <v>6650</v>
      </c>
      <c r="R18" s="11">
        <v>2800</v>
      </c>
      <c r="S18" s="6"/>
      <c r="T18" s="15">
        <f t="shared" si="10"/>
        <v>0</v>
      </c>
      <c r="U18" s="12">
        <v>1000</v>
      </c>
      <c r="V18" s="6"/>
      <c r="W18" s="14">
        <f t="shared" si="11"/>
        <v>0</v>
      </c>
      <c r="X18" s="11">
        <f t="shared" si="12"/>
        <v>82640</v>
      </c>
    </row>
    <row r="19" spans="1:26" ht="20.100000000000001" customHeight="1" x14ac:dyDescent="0.15">
      <c r="A19" s="1">
        <v>14</v>
      </c>
      <c r="B19" s="1" t="s">
        <v>30</v>
      </c>
      <c r="C19" s="2"/>
      <c r="D19" s="11">
        <v>5840</v>
      </c>
      <c r="E19" s="5">
        <v>3</v>
      </c>
      <c r="F19" s="14">
        <f t="shared" si="6"/>
        <v>17520</v>
      </c>
      <c r="G19" s="31">
        <f t="shared" si="22"/>
        <v>17520</v>
      </c>
      <c r="H19" s="31">
        <f t="shared" ref="H19:H20" si="24">G19-F19</f>
        <v>0</v>
      </c>
      <c r="I19" s="2">
        <v>300</v>
      </c>
      <c r="J19" s="5">
        <v>3</v>
      </c>
      <c r="K19" s="14">
        <f t="shared" si="7"/>
        <v>900</v>
      </c>
      <c r="L19" s="2">
        <v>940</v>
      </c>
      <c r="M19" s="6"/>
      <c r="N19" s="15">
        <f t="shared" si="8"/>
        <v>0</v>
      </c>
      <c r="O19" s="2">
        <v>350</v>
      </c>
      <c r="P19" s="17"/>
      <c r="Q19" s="18">
        <f t="shared" si="9"/>
        <v>0</v>
      </c>
      <c r="R19" s="11">
        <v>2800</v>
      </c>
      <c r="S19" s="6"/>
      <c r="T19" s="15">
        <f t="shared" si="10"/>
        <v>0</v>
      </c>
      <c r="U19" s="12">
        <v>1000</v>
      </c>
      <c r="V19" s="6"/>
      <c r="W19" s="14">
        <f t="shared" si="11"/>
        <v>0</v>
      </c>
      <c r="X19" s="11">
        <f t="shared" si="12"/>
        <v>18420</v>
      </c>
    </row>
    <row r="20" spans="1:26" ht="20.100000000000001" customHeight="1" x14ac:dyDescent="0.15">
      <c r="A20" s="1">
        <v>15</v>
      </c>
      <c r="B20" s="1" t="s">
        <v>33</v>
      </c>
      <c r="C20" s="2" t="s">
        <v>52</v>
      </c>
      <c r="D20" s="35">
        <v>5840</v>
      </c>
      <c r="E20" s="5"/>
      <c r="F20" s="14">
        <f t="shared" si="6"/>
        <v>0</v>
      </c>
      <c r="G20" s="31">
        <f>E20*5190</f>
        <v>0</v>
      </c>
      <c r="H20" s="31">
        <f t="shared" si="24"/>
        <v>0</v>
      </c>
      <c r="I20" s="2">
        <v>300</v>
      </c>
      <c r="J20" s="5"/>
      <c r="K20" s="14">
        <f t="shared" si="7"/>
        <v>0</v>
      </c>
      <c r="L20" s="2">
        <v>940</v>
      </c>
      <c r="M20" s="6">
        <v>4</v>
      </c>
      <c r="N20" s="15">
        <f t="shared" si="8"/>
        <v>3760</v>
      </c>
      <c r="O20" s="2">
        <v>350</v>
      </c>
      <c r="P20" s="17"/>
      <c r="Q20" s="18">
        <f t="shared" si="9"/>
        <v>0</v>
      </c>
      <c r="R20" s="11">
        <v>2800</v>
      </c>
      <c r="S20" s="6"/>
      <c r="T20" s="15">
        <f t="shared" si="10"/>
        <v>0</v>
      </c>
      <c r="U20" s="12">
        <v>1000</v>
      </c>
      <c r="V20" s="6"/>
      <c r="W20" s="14">
        <f t="shared" si="11"/>
        <v>0</v>
      </c>
      <c r="X20" s="11"/>
    </row>
    <row r="21" spans="1:26" ht="20.100000000000001" customHeight="1" x14ac:dyDescent="0.15">
      <c r="A21" s="1">
        <v>16</v>
      </c>
      <c r="B21" s="1" t="s">
        <v>31</v>
      </c>
      <c r="C21" s="2"/>
      <c r="D21" s="11">
        <v>5890</v>
      </c>
      <c r="E21" s="5">
        <v>7</v>
      </c>
      <c r="F21" s="14">
        <f t="shared" si="6"/>
        <v>41230</v>
      </c>
      <c r="G21" s="31">
        <f>E21*5890</f>
        <v>41230</v>
      </c>
      <c r="H21" s="31">
        <f>G21-F21</f>
        <v>0</v>
      </c>
      <c r="I21" s="2">
        <v>300</v>
      </c>
      <c r="J21" s="5">
        <v>7</v>
      </c>
      <c r="K21" s="14">
        <f t="shared" si="7"/>
        <v>2100</v>
      </c>
      <c r="L21" s="2">
        <v>940</v>
      </c>
      <c r="M21" s="6"/>
      <c r="N21" s="15">
        <f t="shared" si="8"/>
        <v>0</v>
      </c>
      <c r="O21" s="2">
        <v>350</v>
      </c>
      <c r="P21" s="17"/>
      <c r="Q21" s="18">
        <f t="shared" si="9"/>
        <v>0</v>
      </c>
      <c r="R21" s="11">
        <v>2800</v>
      </c>
      <c r="S21" s="6"/>
      <c r="T21" s="15">
        <f t="shared" si="10"/>
        <v>0</v>
      </c>
      <c r="U21" s="12">
        <v>1000</v>
      </c>
      <c r="V21" s="6"/>
      <c r="W21" s="14">
        <f t="shared" si="11"/>
        <v>0</v>
      </c>
      <c r="X21" s="11">
        <f t="shared" si="12"/>
        <v>43330</v>
      </c>
    </row>
    <row r="22" spans="1:26" ht="20.100000000000001" customHeight="1" x14ac:dyDescent="0.15">
      <c r="A22" s="1">
        <v>17</v>
      </c>
      <c r="B22" s="1" t="s">
        <v>20</v>
      </c>
      <c r="C22" s="2"/>
      <c r="D22" s="11">
        <v>5840</v>
      </c>
      <c r="E22" s="5">
        <v>20</v>
      </c>
      <c r="F22" s="14">
        <f t="shared" si="6"/>
        <v>116800</v>
      </c>
      <c r="G22" s="31">
        <f t="shared" si="22"/>
        <v>116800</v>
      </c>
      <c r="H22" s="31">
        <f t="shared" ref="H22:H23" si="25">G22-F22</f>
        <v>0</v>
      </c>
      <c r="I22" s="2">
        <v>300</v>
      </c>
      <c r="J22" s="5">
        <v>15</v>
      </c>
      <c r="K22" s="14">
        <f t="shared" si="7"/>
        <v>4500</v>
      </c>
      <c r="L22" s="2">
        <v>940</v>
      </c>
      <c r="M22" s="6">
        <v>2</v>
      </c>
      <c r="N22" s="15">
        <f t="shared" si="8"/>
        <v>1880</v>
      </c>
      <c r="O22" s="2">
        <v>350</v>
      </c>
      <c r="P22" s="17">
        <v>19</v>
      </c>
      <c r="Q22" s="18">
        <f t="shared" si="9"/>
        <v>6650</v>
      </c>
      <c r="R22" s="11">
        <v>2800</v>
      </c>
      <c r="S22" s="6"/>
      <c r="T22" s="15">
        <f t="shared" si="10"/>
        <v>0</v>
      </c>
      <c r="U22" s="12">
        <v>1000</v>
      </c>
      <c r="V22" s="6"/>
      <c r="W22" s="14">
        <f t="shared" si="11"/>
        <v>0</v>
      </c>
      <c r="X22" s="11">
        <f t="shared" si="12"/>
        <v>123180</v>
      </c>
    </row>
    <row r="23" spans="1:26" ht="20.100000000000001" customHeight="1" x14ac:dyDescent="0.15">
      <c r="A23" s="1">
        <v>18</v>
      </c>
      <c r="B23" s="1" t="s">
        <v>28</v>
      </c>
      <c r="C23" s="2"/>
      <c r="D23" s="11">
        <v>5840</v>
      </c>
      <c r="E23" s="5">
        <v>12</v>
      </c>
      <c r="F23" s="14">
        <f t="shared" si="6"/>
        <v>70080</v>
      </c>
      <c r="G23" s="31">
        <f t="shared" si="22"/>
        <v>70080</v>
      </c>
      <c r="H23" s="31">
        <f t="shared" si="25"/>
        <v>0</v>
      </c>
      <c r="I23" s="2">
        <v>300</v>
      </c>
      <c r="J23" s="5">
        <v>12</v>
      </c>
      <c r="K23" s="14">
        <f t="shared" si="7"/>
        <v>3600</v>
      </c>
      <c r="L23" s="2">
        <v>940</v>
      </c>
      <c r="M23" s="6">
        <v>3</v>
      </c>
      <c r="N23" s="15">
        <f t="shared" si="8"/>
        <v>2820</v>
      </c>
      <c r="O23" s="2">
        <v>350</v>
      </c>
      <c r="P23" s="17"/>
      <c r="Q23" s="18">
        <f t="shared" si="9"/>
        <v>0</v>
      </c>
      <c r="R23" s="11">
        <v>2800</v>
      </c>
      <c r="S23" s="6"/>
      <c r="T23" s="15">
        <f t="shared" si="10"/>
        <v>0</v>
      </c>
      <c r="U23" s="12">
        <v>1000</v>
      </c>
      <c r="V23" s="6"/>
      <c r="W23" s="14">
        <f t="shared" si="11"/>
        <v>0</v>
      </c>
      <c r="X23" s="11">
        <f t="shared" si="12"/>
        <v>76500</v>
      </c>
    </row>
    <row r="24" spans="1:26" ht="20.100000000000001" customHeight="1" x14ac:dyDescent="0.15">
      <c r="A24" s="1">
        <v>19</v>
      </c>
      <c r="B24" s="1" t="s">
        <v>36</v>
      </c>
      <c r="C24" s="2" t="s">
        <v>52</v>
      </c>
      <c r="D24" s="35">
        <v>5840</v>
      </c>
      <c r="E24" s="5">
        <v>4</v>
      </c>
      <c r="F24" s="14">
        <f t="shared" si="6"/>
        <v>23360</v>
      </c>
      <c r="G24" s="31">
        <f t="shared" si="22"/>
        <v>23360</v>
      </c>
      <c r="H24" s="31">
        <f>G24-F24</f>
        <v>0</v>
      </c>
      <c r="I24" s="2">
        <v>300</v>
      </c>
      <c r="J24" s="5">
        <v>4</v>
      </c>
      <c r="K24" s="14">
        <f t="shared" si="7"/>
        <v>1200</v>
      </c>
      <c r="L24" s="2">
        <v>940</v>
      </c>
      <c r="M24" s="6">
        <v>2</v>
      </c>
      <c r="N24" s="15">
        <f t="shared" si="8"/>
        <v>1880</v>
      </c>
      <c r="O24" s="2">
        <v>350</v>
      </c>
      <c r="P24" s="17">
        <v>5</v>
      </c>
      <c r="Q24" s="18">
        <f t="shared" si="9"/>
        <v>1750</v>
      </c>
      <c r="R24" s="11">
        <v>2800</v>
      </c>
      <c r="S24" s="6"/>
      <c r="T24" s="15">
        <f t="shared" si="10"/>
        <v>0</v>
      </c>
      <c r="U24" s="12">
        <v>1000</v>
      </c>
      <c r="V24" s="6"/>
      <c r="W24" s="14">
        <f t="shared" si="11"/>
        <v>0</v>
      </c>
      <c r="X24" s="11">
        <f t="shared" si="12"/>
        <v>26440</v>
      </c>
    </row>
    <row r="25" spans="1:26" ht="20.100000000000001" customHeight="1" x14ac:dyDescent="0.15">
      <c r="A25" s="1">
        <v>21</v>
      </c>
      <c r="B25" s="1" t="s">
        <v>27</v>
      </c>
      <c r="C25" s="2"/>
      <c r="D25" s="11">
        <v>5840</v>
      </c>
      <c r="E25" s="5"/>
      <c r="F25" s="14">
        <f t="shared" si="6"/>
        <v>0</v>
      </c>
      <c r="G25" s="31">
        <f t="shared" si="22"/>
        <v>0</v>
      </c>
      <c r="H25" s="31">
        <f t="shared" ref="H25" si="26">G25-F25</f>
        <v>0</v>
      </c>
      <c r="I25" s="2">
        <v>300</v>
      </c>
      <c r="J25" s="5"/>
      <c r="K25" s="14">
        <f t="shared" si="7"/>
        <v>0</v>
      </c>
      <c r="L25" s="2">
        <v>940</v>
      </c>
      <c r="M25" s="6"/>
      <c r="N25" s="15">
        <f t="shared" si="8"/>
        <v>0</v>
      </c>
      <c r="O25" s="2">
        <v>350</v>
      </c>
      <c r="P25" s="17">
        <v>21</v>
      </c>
      <c r="Q25" s="18">
        <f t="shared" si="9"/>
        <v>7350</v>
      </c>
      <c r="R25" s="11">
        <v>2800</v>
      </c>
      <c r="S25" s="6"/>
      <c r="T25" s="15">
        <f t="shared" si="10"/>
        <v>0</v>
      </c>
      <c r="U25" s="12">
        <v>1000</v>
      </c>
      <c r="V25" s="6"/>
      <c r="W25" s="14">
        <f t="shared" si="11"/>
        <v>0</v>
      </c>
      <c r="X25" s="11">
        <f t="shared" si="12"/>
        <v>0</v>
      </c>
    </row>
    <row r="26" spans="1:26" ht="20.100000000000001" customHeight="1" x14ac:dyDescent="0.15">
      <c r="A26" s="1">
        <v>22</v>
      </c>
      <c r="B26" s="1"/>
      <c r="C26" s="2"/>
      <c r="D26" s="11">
        <v>5840</v>
      </c>
      <c r="E26" s="5"/>
      <c r="F26" s="14">
        <f t="shared" ref="F26" si="27">SUM(D26*E26)</f>
        <v>0</v>
      </c>
      <c r="G26" s="31">
        <f t="shared" ref="G26" si="28">E25*5890</f>
        <v>0</v>
      </c>
      <c r="H26" s="31">
        <f t="shared" ref="H26" si="29">G26-F25</f>
        <v>0</v>
      </c>
      <c r="I26" s="2">
        <v>300</v>
      </c>
      <c r="J26" s="5"/>
      <c r="K26" s="14">
        <f t="shared" ref="K26" si="30">SUM(I26*J26)</f>
        <v>0</v>
      </c>
      <c r="L26" s="2">
        <v>940</v>
      </c>
      <c r="M26" s="6"/>
      <c r="N26" s="15">
        <f t="shared" ref="N26" si="31">SUM(L26*M26)</f>
        <v>0</v>
      </c>
      <c r="O26" s="2">
        <v>350</v>
      </c>
      <c r="P26" s="17"/>
      <c r="Q26" s="18">
        <f t="shared" ref="Q26" si="32">SUM(O26*P26)</f>
        <v>0</v>
      </c>
      <c r="R26" s="11">
        <v>2800</v>
      </c>
      <c r="S26" s="6"/>
      <c r="T26" s="15">
        <f t="shared" ref="T26" si="33">SUM(R26*S26)</f>
        <v>0</v>
      </c>
      <c r="U26" s="12">
        <v>1000</v>
      </c>
      <c r="V26" s="6"/>
      <c r="W26" s="14">
        <f t="shared" ref="W26" si="34">SUM(V26*U26)</f>
        <v>0</v>
      </c>
      <c r="X26" s="11">
        <f t="shared" ref="X26" si="35">SUM(F26+K26+N26+T26+W26)</f>
        <v>0</v>
      </c>
    </row>
    <row r="27" spans="1:26" x14ac:dyDescent="0.15">
      <c r="A27" s="1"/>
      <c r="B27" s="1"/>
      <c r="C27" s="1"/>
      <c r="D27" s="1"/>
      <c r="E27" s="1"/>
      <c r="F27" s="12">
        <f>SUM(F5:F25)</f>
        <v>1337710</v>
      </c>
      <c r="G27" s="12"/>
      <c r="H27" s="12">
        <f>SUM(H6:H26)</f>
        <v>23360</v>
      </c>
      <c r="I27" s="12"/>
      <c r="J27" s="12"/>
      <c r="K27" s="12">
        <f>SUM(K5:K25)</f>
        <v>16200</v>
      </c>
      <c r="L27" s="12"/>
      <c r="M27" s="12"/>
      <c r="N27" s="12">
        <f>SUM(N5:N25)</f>
        <v>29140</v>
      </c>
      <c r="O27" s="12"/>
      <c r="P27" s="12"/>
      <c r="Q27" s="12">
        <f>SUM(Q5:Q25)</f>
        <v>66650</v>
      </c>
      <c r="R27" s="12"/>
      <c r="S27" s="1"/>
      <c r="T27" s="12">
        <f>SUM(T5:T25)</f>
        <v>0</v>
      </c>
      <c r="U27" s="1"/>
      <c r="V27" s="1"/>
      <c r="W27" s="12">
        <f>SUM(W5:W25)</f>
        <v>0</v>
      </c>
      <c r="X27" s="12">
        <f>SUM(X6:X25)</f>
        <v>1379290</v>
      </c>
    </row>
    <row r="28" spans="1:26" x14ac:dyDescent="0.15">
      <c r="A28" s="25"/>
      <c r="B28" s="25"/>
      <c r="C28" s="25"/>
      <c r="D28" s="25"/>
      <c r="E28" s="25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25"/>
      <c r="T28" s="37"/>
      <c r="U28" s="25"/>
      <c r="V28" s="25"/>
      <c r="W28" s="37"/>
      <c r="X28" s="37"/>
    </row>
    <row r="30" spans="1:26" ht="13.5" customHeight="1" x14ac:dyDescent="0.15">
      <c r="B30" s="65" t="s">
        <v>21</v>
      </c>
      <c r="C30" s="65"/>
      <c r="D30" s="65"/>
      <c r="E30" s="65"/>
      <c r="F30" s="65"/>
      <c r="G30" s="34"/>
      <c r="H30" s="34"/>
      <c r="J30" s="66"/>
      <c r="K30" s="66"/>
      <c r="L30" s="66"/>
      <c r="M30" s="66"/>
      <c r="N30" s="66"/>
      <c r="Q30" s="8"/>
      <c r="R30" s="8"/>
      <c r="S30" s="8"/>
      <c r="T30" s="8"/>
      <c r="U30" s="8"/>
      <c r="V30" s="8"/>
      <c r="W30" s="8"/>
      <c r="X30" s="7"/>
      <c r="Y30" s="22"/>
      <c r="Z30" s="22"/>
    </row>
    <row r="31" spans="1:26" ht="13.5" customHeight="1" x14ac:dyDescent="0.15">
      <c r="B31" s="1" t="s">
        <v>23</v>
      </c>
      <c r="C31" s="1"/>
      <c r="D31" s="1">
        <v>350</v>
      </c>
      <c r="E31" s="1">
        <v>1</v>
      </c>
      <c r="F31" s="1">
        <f>SUM(D31*E31)</f>
        <v>350</v>
      </c>
      <c r="G31" s="25"/>
      <c r="H31" s="25"/>
      <c r="J31" s="25"/>
      <c r="K31" s="26"/>
      <c r="L31" s="25"/>
      <c r="M31" s="67"/>
      <c r="N31" s="67"/>
      <c r="O31" s="68"/>
      <c r="P31" s="68"/>
      <c r="Q31" s="7"/>
      <c r="R31" s="7"/>
      <c r="S31" s="7"/>
      <c r="T31" s="7"/>
      <c r="U31" s="69">
        <f>X27</f>
        <v>1379290</v>
      </c>
      <c r="V31" s="69"/>
      <c r="W31" s="69"/>
      <c r="X31" s="69"/>
      <c r="Y31" s="22"/>
      <c r="Z31" s="22"/>
    </row>
    <row r="32" spans="1:26" ht="13.5" customHeight="1" x14ac:dyDescent="0.15">
      <c r="B32" s="24" t="s">
        <v>32</v>
      </c>
      <c r="C32" s="24"/>
      <c r="D32" s="1">
        <v>350</v>
      </c>
      <c r="E32" s="1">
        <v>3</v>
      </c>
      <c r="F32" s="1">
        <f>SUM(D32*E32)</f>
        <v>1050</v>
      </c>
      <c r="G32" s="25"/>
      <c r="H32" s="25"/>
      <c r="J32" s="25"/>
      <c r="K32" s="26"/>
      <c r="L32" s="25"/>
      <c r="M32" s="67"/>
      <c r="N32" s="67"/>
      <c r="O32" s="68"/>
      <c r="P32" s="68"/>
      <c r="Q32" s="8"/>
      <c r="R32" s="8"/>
      <c r="S32" s="8"/>
      <c r="T32" s="8"/>
      <c r="U32" s="69"/>
      <c r="V32" s="69"/>
      <c r="W32" s="69"/>
      <c r="X32" s="69"/>
      <c r="Y32" s="23"/>
      <c r="Z32" s="22"/>
    </row>
    <row r="33" spans="2:26" ht="13.5" customHeight="1" x14ac:dyDescent="0.15">
      <c r="B33" t="s">
        <v>34</v>
      </c>
      <c r="U33" s="69"/>
      <c r="V33" s="69"/>
      <c r="W33" s="69"/>
      <c r="X33" s="69"/>
      <c r="Y33" s="23"/>
      <c r="Z33" s="22"/>
    </row>
    <row r="34" spans="2:26" ht="13.5" customHeight="1" x14ac:dyDescent="0.15">
      <c r="B34" t="s">
        <v>29</v>
      </c>
      <c r="T34" s="22"/>
      <c r="U34" s="22"/>
      <c r="V34" s="23"/>
      <c r="W34" s="23"/>
      <c r="X34" s="23"/>
      <c r="Y34" s="22" t="s">
        <v>65</v>
      </c>
      <c r="Z34" s="22"/>
    </row>
    <row r="35" spans="2:26" x14ac:dyDescent="0.15">
      <c r="B35" t="s">
        <v>35</v>
      </c>
      <c r="T35" s="22"/>
      <c r="U35" s="22"/>
      <c r="V35" s="22"/>
      <c r="W35" s="22" t="s">
        <v>52</v>
      </c>
      <c r="X35" s="42">
        <f>X6+X7+X18+X20+X24</f>
        <v>307440</v>
      </c>
      <c r="Y35" s="38">
        <f>X35-H27.5前!X34</f>
        <v>32500</v>
      </c>
      <c r="Z35" s="22"/>
    </row>
    <row r="36" spans="2:26" x14ac:dyDescent="0.15">
      <c r="T36" s="22"/>
      <c r="U36" s="22"/>
      <c r="V36" s="22"/>
      <c r="W36" s="22" t="s">
        <v>57</v>
      </c>
      <c r="X36" s="42">
        <f>X9+X10</f>
        <v>256960</v>
      </c>
      <c r="Y36" s="38">
        <f>X36-H27.5前!X35</f>
        <v>28600</v>
      </c>
      <c r="Z36" s="22"/>
    </row>
    <row r="37" spans="2:26" x14ac:dyDescent="0.15">
      <c r="Y37" s="39">
        <f>SUBTOTAL(9,Y35:Y36)</f>
        <v>61100</v>
      </c>
    </row>
  </sheetData>
  <autoFilter ref="A4:Z27"/>
  <mergeCells count="31">
    <mergeCell ref="U3:W3"/>
    <mergeCell ref="X3:X4"/>
    <mergeCell ref="A2:B3"/>
    <mergeCell ref="D3:F3"/>
    <mergeCell ref="I3:K3"/>
    <mergeCell ref="L3:N3"/>
    <mergeCell ref="O3:Q3"/>
    <mergeCell ref="R3:T3"/>
    <mergeCell ref="J5:J6"/>
    <mergeCell ref="M5:M6"/>
    <mergeCell ref="N5:N6"/>
    <mergeCell ref="R5:R6"/>
    <mergeCell ref="S5:S6"/>
    <mergeCell ref="V5:V6"/>
    <mergeCell ref="W5:W6"/>
    <mergeCell ref="U31:X33"/>
    <mergeCell ref="L5:L6"/>
    <mergeCell ref="K5:K6"/>
    <mergeCell ref="T5:T6"/>
    <mergeCell ref="U5:U6"/>
    <mergeCell ref="I5:I6"/>
    <mergeCell ref="F5:F6"/>
    <mergeCell ref="E5:E6"/>
    <mergeCell ref="D5:D6"/>
    <mergeCell ref="B5:B6"/>
    <mergeCell ref="B30:F30"/>
    <mergeCell ref="J30:N30"/>
    <mergeCell ref="M31:N31"/>
    <mergeCell ref="M32:N32"/>
    <mergeCell ref="O31:P31"/>
    <mergeCell ref="O32:P32"/>
  </mergeCells>
  <phoneticPr fontId="2"/>
  <pageMargins left="0.51181102362204722" right="0" top="0.35433070866141736" bottom="0.35433070866141736" header="0.31496062992125984" footer="0.31496062992125984"/>
  <pageSetup paperSize="9" scale="87" orientation="landscape" r:id="rId1"/>
  <headerFooter>
    <oddFooter>&amp;Rカイト御調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40"/>
  <sheetViews>
    <sheetView topLeftCell="S1" workbookViewId="0">
      <selection activeCell="X37" sqref="X37"/>
    </sheetView>
  </sheetViews>
  <sheetFormatPr defaultRowHeight="13.5" x14ac:dyDescent="0.15"/>
  <cols>
    <col min="1" max="1" width="3.25" customWidth="1"/>
    <col min="2" max="2" width="12.625" customWidth="1"/>
    <col min="3" max="3" width="6.75" customWidth="1"/>
    <col min="4" max="5" width="7.25" customWidth="1"/>
    <col min="6" max="6" width="8.625" customWidth="1"/>
    <col min="7" max="8" width="7.25" hidden="1" customWidth="1"/>
    <col min="9" max="9" width="7.25" customWidth="1"/>
    <col min="10" max="10" width="5.375" customWidth="1"/>
    <col min="11" max="11" width="6.375" customWidth="1"/>
    <col min="12" max="12" width="5.625" customWidth="1"/>
    <col min="13" max="13" width="5" customWidth="1"/>
    <col min="14" max="14" width="7.625" customWidth="1"/>
    <col min="15" max="15" width="5.625" customWidth="1"/>
    <col min="16" max="16" width="3.875" customWidth="1"/>
    <col min="17" max="17" width="7.625" hidden="1" customWidth="1"/>
    <col min="18" max="18" width="6" customWidth="1"/>
    <col min="19" max="19" width="4.875" customWidth="1"/>
    <col min="20" max="20" width="7.625" customWidth="1"/>
    <col min="21" max="21" width="6.5" customWidth="1"/>
    <col min="22" max="22" width="4.875" customWidth="1"/>
    <col min="23" max="23" width="7.625" customWidth="1"/>
    <col min="24" max="24" width="10.625" customWidth="1"/>
  </cols>
  <sheetData>
    <row r="1" spans="1:24" x14ac:dyDescent="0.15">
      <c r="B1" t="s">
        <v>7</v>
      </c>
    </row>
    <row r="2" spans="1:24" x14ac:dyDescent="0.15">
      <c r="A2" s="59" t="s">
        <v>42</v>
      </c>
      <c r="B2" s="60"/>
      <c r="C2" s="34"/>
    </row>
    <row r="3" spans="1:24" x14ac:dyDescent="0.15">
      <c r="A3" s="61"/>
      <c r="B3" s="62"/>
      <c r="C3" s="36"/>
      <c r="D3" s="44" t="s">
        <v>0</v>
      </c>
      <c r="E3" s="45"/>
      <c r="F3" s="46"/>
      <c r="G3" s="29"/>
      <c r="H3" s="29"/>
      <c r="I3" s="44" t="s">
        <v>1</v>
      </c>
      <c r="J3" s="45"/>
      <c r="K3" s="46"/>
      <c r="L3" s="44" t="s">
        <v>2</v>
      </c>
      <c r="M3" s="45"/>
      <c r="N3" s="46"/>
      <c r="O3" s="44" t="s">
        <v>21</v>
      </c>
      <c r="P3" s="45"/>
      <c r="Q3" s="46"/>
      <c r="R3" s="44" t="s">
        <v>40</v>
      </c>
      <c r="S3" s="45"/>
      <c r="T3" s="46"/>
      <c r="U3" s="44" t="s">
        <v>3</v>
      </c>
      <c r="V3" s="45"/>
      <c r="W3" s="46"/>
      <c r="X3" s="47" t="s">
        <v>6</v>
      </c>
    </row>
    <row r="4" spans="1:24" ht="14.25" thickBot="1" x14ac:dyDescent="0.2">
      <c r="A4" s="2"/>
      <c r="B4" s="9" t="s">
        <v>4</v>
      </c>
      <c r="C4" s="9"/>
      <c r="D4" s="3">
        <v>5890</v>
      </c>
      <c r="E4" s="10" t="s">
        <v>5</v>
      </c>
      <c r="F4" s="3"/>
      <c r="G4" s="3"/>
      <c r="H4" s="3"/>
      <c r="I4" s="3">
        <v>300</v>
      </c>
      <c r="J4" s="10" t="s">
        <v>5</v>
      </c>
      <c r="K4" s="3"/>
      <c r="L4" s="3">
        <v>940</v>
      </c>
      <c r="M4" s="10" t="s">
        <v>5</v>
      </c>
      <c r="N4" s="3"/>
      <c r="O4" s="3">
        <v>350</v>
      </c>
      <c r="P4" s="10" t="s">
        <v>5</v>
      </c>
      <c r="Q4" s="3"/>
      <c r="R4" s="13">
        <v>270</v>
      </c>
      <c r="S4" s="3" t="s">
        <v>5</v>
      </c>
      <c r="T4" s="3"/>
      <c r="U4" s="13">
        <v>1000</v>
      </c>
      <c r="V4" s="10" t="s">
        <v>5</v>
      </c>
      <c r="W4" s="3"/>
      <c r="X4" s="48"/>
    </row>
    <row r="5" spans="1:24" ht="14.25" customHeight="1" thickTop="1" x14ac:dyDescent="0.15">
      <c r="A5" s="2"/>
      <c r="B5" s="49" t="s">
        <v>9</v>
      </c>
      <c r="C5" s="32"/>
      <c r="D5" s="51">
        <v>5840</v>
      </c>
      <c r="E5" s="53">
        <v>11</v>
      </c>
      <c r="F5" s="55">
        <f>SUM(D5*E5)</f>
        <v>64240</v>
      </c>
      <c r="G5" s="30"/>
      <c r="H5" s="30"/>
      <c r="I5" s="57">
        <v>300</v>
      </c>
      <c r="J5" s="53"/>
      <c r="K5" s="55">
        <f>SUM(I5*J5)</f>
        <v>0</v>
      </c>
      <c r="L5" s="57">
        <v>940</v>
      </c>
      <c r="M5" s="53">
        <v>4</v>
      </c>
      <c r="N5" s="70">
        <f>SUM(L5*M5)</f>
        <v>3760</v>
      </c>
      <c r="O5" s="4"/>
      <c r="P5" s="20"/>
      <c r="Q5" s="21"/>
      <c r="R5" s="74">
        <v>270</v>
      </c>
      <c r="S5" s="53">
        <v>22</v>
      </c>
      <c r="T5" s="70">
        <f>SUM(R5*S5)</f>
        <v>5940</v>
      </c>
      <c r="U5" s="76">
        <v>1000</v>
      </c>
      <c r="V5" s="63"/>
      <c r="W5" s="55">
        <f>SUM(V6*U5)</f>
        <v>0</v>
      </c>
      <c r="X5" s="19"/>
    </row>
    <row r="6" spans="1:24" ht="20.100000000000001" customHeight="1" x14ac:dyDescent="0.15">
      <c r="A6" s="1">
        <v>1</v>
      </c>
      <c r="B6" s="50"/>
      <c r="C6" s="33" t="s">
        <v>47</v>
      </c>
      <c r="D6" s="52"/>
      <c r="E6" s="54"/>
      <c r="F6" s="56"/>
      <c r="G6" s="31">
        <f>E5*5890</f>
        <v>64790</v>
      </c>
      <c r="H6" s="31">
        <f>G6-F5</f>
        <v>550</v>
      </c>
      <c r="I6" s="58"/>
      <c r="J6" s="54"/>
      <c r="K6" s="56"/>
      <c r="L6" s="58"/>
      <c r="M6" s="54"/>
      <c r="N6" s="71"/>
      <c r="O6" s="2">
        <v>290</v>
      </c>
      <c r="P6" s="16">
        <v>10</v>
      </c>
      <c r="Q6" s="18">
        <f>SUM(O6*P6)</f>
        <v>2900</v>
      </c>
      <c r="R6" s="75"/>
      <c r="S6" s="54"/>
      <c r="T6" s="71"/>
      <c r="U6" s="77"/>
      <c r="V6" s="64"/>
      <c r="W6" s="56"/>
      <c r="X6" s="35">
        <f>SUM(F5+K5+N5+T5+W5)</f>
        <v>73940</v>
      </c>
    </row>
    <row r="7" spans="1:24" ht="20.100000000000001" customHeight="1" x14ac:dyDescent="0.15">
      <c r="A7" s="1">
        <v>2</v>
      </c>
      <c r="B7" s="1" t="s">
        <v>10</v>
      </c>
      <c r="C7" s="33" t="s">
        <v>47</v>
      </c>
      <c r="D7" s="35">
        <v>5840</v>
      </c>
      <c r="E7" s="5">
        <v>19</v>
      </c>
      <c r="F7" s="14">
        <f>SUM(D7*E7)</f>
        <v>110960</v>
      </c>
      <c r="G7" s="14">
        <f>E7*5890</f>
        <v>111910</v>
      </c>
      <c r="H7" s="31">
        <f>G7-F7</f>
        <v>950</v>
      </c>
      <c r="I7" s="2">
        <v>300</v>
      </c>
      <c r="J7" s="5"/>
      <c r="K7" s="14">
        <f t="shared" ref="K7:K26" si="0">SUM(I7*J7)</f>
        <v>0</v>
      </c>
      <c r="L7" s="2">
        <v>940</v>
      </c>
      <c r="M7" s="6">
        <v>3</v>
      </c>
      <c r="N7" s="15">
        <f t="shared" ref="N7:N26" si="1">SUM(L7*M7)</f>
        <v>2820</v>
      </c>
      <c r="O7" s="2">
        <v>350</v>
      </c>
      <c r="P7" s="17">
        <v>19</v>
      </c>
      <c r="Q7" s="18">
        <f t="shared" ref="Q7:Q26" si="2">SUM(O7*P7)</f>
        <v>6650</v>
      </c>
      <c r="R7" s="27">
        <v>270</v>
      </c>
      <c r="S7" s="6">
        <v>38</v>
      </c>
      <c r="T7" s="15">
        <f t="shared" ref="T7:T26" si="3">SUM(R7*S7)</f>
        <v>10260</v>
      </c>
      <c r="U7" s="12">
        <v>1000</v>
      </c>
      <c r="V7" s="6"/>
      <c r="W7" s="14">
        <f t="shared" ref="W7:W26" si="4">SUM(V7*U7)</f>
        <v>0</v>
      </c>
      <c r="X7" s="35">
        <f t="shared" ref="X7:X26" si="5">SUM(F7+K7+N7+T7+W7)</f>
        <v>124040</v>
      </c>
    </row>
    <row r="8" spans="1:24" ht="20.100000000000001" customHeight="1" x14ac:dyDescent="0.15">
      <c r="A8" s="1">
        <v>3</v>
      </c>
      <c r="B8" s="1" t="s">
        <v>11</v>
      </c>
      <c r="C8" s="2" t="s">
        <v>48</v>
      </c>
      <c r="D8" s="35">
        <v>5840</v>
      </c>
      <c r="E8" s="5">
        <v>6</v>
      </c>
      <c r="F8" s="14">
        <f t="shared" ref="F8:F26" si="6">SUM(D8*E8)</f>
        <v>35040</v>
      </c>
      <c r="G8" s="31">
        <f t="shared" ref="G8" si="7">E7*5890</f>
        <v>111910</v>
      </c>
      <c r="H8" s="31">
        <f t="shared" ref="H8" si="8">G8-F7</f>
        <v>950</v>
      </c>
      <c r="I8" s="2">
        <v>300</v>
      </c>
      <c r="J8" s="5"/>
      <c r="K8" s="14">
        <f t="shared" si="0"/>
        <v>0</v>
      </c>
      <c r="L8" s="2">
        <v>940</v>
      </c>
      <c r="M8" s="6"/>
      <c r="N8" s="15">
        <f t="shared" si="1"/>
        <v>0</v>
      </c>
      <c r="O8" s="2">
        <v>350</v>
      </c>
      <c r="P8" s="17"/>
      <c r="Q8" s="18">
        <f t="shared" si="2"/>
        <v>0</v>
      </c>
      <c r="R8" s="27">
        <v>270</v>
      </c>
      <c r="S8" s="6"/>
      <c r="T8" s="15">
        <f t="shared" si="3"/>
        <v>0</v>
      </c>
      <c r="U8" s="12">
        <v>1000</v>
      </c>
      <c r="V8" s="6"/>
      <c r="W8" s="14">
        <f t="shared" si="4"/>
        <v>0</v>
      </c>
      <c r="X8" s="35">
        <f t="shared" si="5"/>
        <v>35040</v>
      </c>
    </row>
    <row r="9" spans="1:24" ht="20.100000000000001" customHeight="1" x14ac:dyDescent="0.15">
      <c r="A9" s="1">
        <v>4</v>
      </c>
      <c r="B9" s="1" t="s">
        <v>12</v>
      </c>
      <c r="C9" s="2" t="s">
        <v>49</v>
      </c>
      <c r="D9" s="35">
        <v>5840</v>
      </c>
      <c r="E9" s="5">
        <v>22</v>
      </c>
      <c r="F9" s="14">
        <f t="shared" si="6"/>
        <v>128480</v>
      </c>
      <c r="G9" s="14">
        <f t="shared" ref="G9" si="9">E9*5890</f>
        <v>129580</v>
      </c>
      <c r="H9" s="31">
        <f t="shared" ref="H9" si="10">G9-F9</f>
        <v>1100</v>
      </c>
      <c r="I9" s="2">
        <v>300</v>
      </c>
      <c r="J9" s="5"/>
      <c r="K9" s="14">
        <f t="shared" si="0"/>
        <v>0</v>
      </c>
      <c r="L9" s="2">
        <v>940</v>
      </c>
      <c r="M9" s="6"/>
      <c r="N9" s="15">
        <f t="shared" si="1"/>
        <v>0</v>
      </c>
      <c r="O9" s="2">
        <v>350</v>
      </c>
      <c r="P9" s="17">
        <v>5</v>
      </c>
      <c r="Q9" s="18">
        <f t="shared" si="2"/>
        <v>1750</v>
      </c>
      <c r="R9" s="27">
        <v>270</v>
      </c>
      <c r="S9" s="6"/>
      <c r="T9" s="15">
        <f t="shared" si="3"/>
        <v>0</v>
      </c>
      <c r="U9" s="12">
        <v>1000</v>
      </c>
      <c r="V9" s="6"/>
      <c r="W9" s="14">
        <f t="shared" si="4"/>
        <v>0</v>
      </c>
      <c r="X9" s="35">
        <f t="shared" si="5"/>
        <v>128480</v>
      </c>
    </row>
    <row r="10" spans="1:24" ht="20.100000000000001" customHeight="1" x14ac:dyDescent="0.15">
      <c r="A10" s="1">
        <v>5</v>
      </c>
      <c r="B10" s="1" t="s">
        <v>13</v>
      </c>
      <c r="C10" s="2" t="s">
        <v>49</v>
      </c>
      <c r="D10" s="35">
        <v>5840</v>
      </c>
      <c r="E10" s="5">
        <v>22</v>
      </c>
      <c r="F10" s="14">
        <f t="shared" si="6"/>
        <v>128480</v>
      </c>
      <c r="G10" s="31">
        <f t="shared" ref="G10" si="11">E9*5890</f>
        <v>129580</v>
      </c>
      <c r="H10" s="31">
        <f t="shared" ref="H10" si="12">G10-F9</f>
        <v>1100</v>
      </c>
      <c r="I10" s="2">
        <v>300</v>
      </c>
      <c r="J10" s="5"/>
      <c r="K10" s="14">
        <f t="shared" si="0"/>
        <v>0</v>
      </c>
      <c r="L10" s="2">
        <v>940</v>
      </c>
      <c r="M10" s="6"/>
      <c r="N10" s="15">
        <f t="shared" si="1"/>
        <v>0</v>
      </c>
      <c r="O10" s="2">
        <v>350</v>
      </c>
      <c r="P10" s="17">
        <v>5</v>
      </c>
      <c r="Q10" s="18">
        <f t="shared" si="2"/>
        <v>1750</v>
      </c>
      <c r="R10" s="27">
        <v>270</v>
      </c>
      <c r="S10" s="6"/>
      <c r="T10" s="15">
        <f t="shared" si="3"/>
        <v>0</v>
      </c>
      <c r="U10" s="12">
        <v>1000</v>
      </c>
      <c r="V10" s="6"/>
      <c r="W10" s="14">
        <f t="shared" si="4"/>
        <v>0</v>
      </c>
      <c r="X10" s="35">
        <f t="shared" si="5"/>
        <v>128480</v>
      </c>
    </row>
    <row r="11" spans="1:24" ht="20.100000000000001" customHeight="1" x14ac:dyDescent="0.15">
      <c r="A11" s="1">
        <v>6</v>
      </c>
      <c r="B11" s="1" t="s">
        <v>14</v>
      </c>
      <c r="C11" s="2" t="s">
        <v>48</v>
      </c>
      <c r="D11" s="35">
        <v>5840</v>
      </c>
      <c r="E11" s="5">
        <v>12</v>
      </c>
      <c r="F11" s="14">
        <f t="shared" si="6"/>
        <v>70080</v>
      </c>
      <c r="G11" s="14">
        <f t="shared" ref="G11" si="13">E11*5890</f>
        <v>70680</v>
      </c>
      <c r="H11" s="31">
        <f t="shared" ref="H11" si="14">G11-F11</f>
        <v>600</v>
      </c>
      <c r="I11" s="2">
        <v>300</v>
      </c>
      <c r="J11" s="5"/>
      <c r="K11" s="14">
        <f t="shared" si="0"/>
        <v>0</v>
      </c>
      <c r="L11" s="2">
        <v>940</v>
      </c>
      <c r="M11" s="6">
        <v>4</v>
      </c>
      <c r="N11" s="15">
        <f t="shared" si="1"/>
        <v>3760</v>
      </c>
      <c r="O11" s="2">
        <v>350</v>
      </c>
      <c r="P11" s="17"/>
      <c r="Q11" s="18">
        <f t="shared" si="2"/>
        <v>0</v>
      </c>
      <c r="R11" s="27">
        <v>270</v>
      </c>
      <c r="S11" s="6">
        <v>24</v>
      </c>
      <c r="T11" s="15">
        <f t="shared" si="3"/>
        <v>6480</v>
      </c>
      <c r="U11" s="12">
        <v>1000</v>
      </c>
      <c r="V11" s="6"/>
      <c r="W11" s="14">
        <f t="shared" si="4"/>
        <v>0</v>
      </c>
      <c r="X11" s="35">
        <f t="shared" si="5"/>
        <v>80320</v>
      </c>
    </row>
    <row r="12" spans="1:24" ht="20.100000000000001" customHeight="1" x14ac:dyDescent="0.15">
      <c r="A12" s="1">
        <v>7</v>
      </c>
      <c r="B12" s="1" t="s">
        <v>15</v>
      </c>
      <c r="C12" s="2" t="s">
        <v>50</v>
      </c>
      <c r="D12" s="35">
        <v>5840</v>
      </c>
      <c r="E12" s="5">
        <v>22</v>
      </c>
      <c r="F12" s="14">
        <f t="shared" si="6"/>
        <v>128480</v>
      </c>
      <c r="G12" s="31">
        <f t="shared" ref="G12" si="15">E11*5890</f>
        <v>70680</v>
      </c>
      <c r="H12" s="31">
        <f t="shared" ref="H12" si="16">G12-F11</f>
        <v>600</v>
      </c>
      <c r="I12" s="2">
        <v>300</v>
      </c>
      <c r="J12" s="5"/>
      <c r="K12" s="14">
        <f t="shared" si="0"/>
        <v>0</v>
      </c>
      <c r="L12" s="2">
        <v>940</v>
      </c>
      <c r="M12" s="6"/>
      <c r="N12" s="15">
        <f t="shared" si="1"/>
        <v>0</v>
      </c>
      <c r="O12" s="2">
        <v>350</v>
      </c>
      <c r="P12" s="17">
        <v>22</v>
      </c>
      <c r="Q12" s="18">
        <f t="shared" si="2"/>
        <v>7700</v>
      </c>
      <c r="R12" s="27">
        <v>270</v>
      </c>
      <c r="S12" s="6">
        <v>44</v>
      </c>
      <c r="T12" s="15">
        <f t="shared" si="3"/>
        <v>11880</v>
      </c>
      <c r="U12" s="12">
        <v>1000</v>
      </c>
      <c r="V12" s="6"/>
      <c r="W12" s="14">
        <f t="shared" si="4"/>
        <v>0</v>
      </c>
      <c r="X12" s="35">
        <f t="shared" si="5"/>
        <v>140360</v>
      </c>
    </row>
    <row r="13" spans="1:24" ht="20.100000000000001" customHeight="1" x14ac:dyDescent="0.15">
      <c r="A13" s="1">
        <v>8</v>
      </c>
      <c r="B13" s="1" t="s">
        <v>16</v>
      </c>
      <c r="C13" s="2" t="s">
        <v>48</v>
      </c>
      <c r="D13" s="35">
        <v>5840</v>
      </c>
      <c r="E13" s="5">
        <v>21</v>
      </c>
      <c r="F13" s="14">
        <f t="shared" si="6"/>
        <v>122640</v>
      </c>
      <c r="G13" s="14">
        <f t="shared" ref="G13" si="17">E13*5890</f>
        <v>123690</v>
      </c>
      <c r="H13" s="31">
        <f t="shared" ref="H13" si="18">G13-F13</f>
        <v>1050</v>
      </c>
      <c r="I13" s="2">
        <v>300</v>
      </c>
      <c r="J13" s="5"/>
      <c r="K13" s="14">
        <f t="shared" si="0"/>
        <v>0</v>
      </c>
      <c r="L13" s="2">
        <v>940</v>
      </c>
      <c r="M13" s="6">
        <v>1</v>
      </c>
      <c r="N13" s="15">
        <f t="shared" si="1"/>
        <v>940</v>
      </c>
      <c r="O13" s="2">
        <v>350</v>
      </c>
      <c r="P13" s="17">
        <v>8</v>
      </c>
      <c r="Q13" s="18">
        <f t="shared" si="2"/>
        <v>2800</v>
      </c>
      <c r="R13" s="27">
        <v>270</v>
      </c>
      <c r="S13" s="6">
        <v>42</v>
      </c>
      <c r="T13" s="15">
        <f t="shared" si="3"/>
        <v>11340</v>
      </c>
      <c r="U13" s="12">
        <v>1000</v>
      </c>
      <c r="V13" s="6"/>
      <c r="W13" s="14">
        <f t="shared" si="4"/>
        <v>0</v>
      </c>
      <c r="X13" s="35">
        <f t="shared" si="5"/>
        <v>134920</v>
      </c>
    </row>
    <row r="14" spans="1:24" ht="20.100000000000001" customHeight="1" x14ac:dyDescent="0.15">
      <c r="A14" s="1">
        <v>9</v>
      </c>
      <c r="B14" s="2" t="s">
        <v>17</v>
      </c>
      <c r="C14" s="2" t="s">
        <v>48</v>
      </c>
      <c r="D14" s="35">
        <v>5840</v>
      </c>
      <c r="E14" s="5">
        <v>19</v>
      </c>
      <c r="F14" s="14">
        <f t="shared" si="6"/>
        <v>110960</v>
      </c>
      <c r="G14" s="31">
        <f t="shared" ref="G14" si="19">E13*5890</f>
        <v>123690</v>
      </c>
      <c r="H14" s="31">
        <f t="shared" ref="H14" si="20">G14-F13</f>
        <v>1050</v>
      </c>
      <c r="I14" s="2">
        <v>300</v>
      </c>
      <c r="J14" s="5"/>
      <c r="K14" s="14">
        <f t="shared" si="0"/>
        <v>0</v>
      </c>
      <c r="L14" s="2">
        <v>940</v>
      </c>
      <c r="M14" s="6">
        <v>3</v>
      </c>
      <c r="N14" s="15">
        <f t="shared" si="1"/>
        <v>2820</v>
      </c>
      <c r="O14" s="2">
        <v>350</v>
      </c>
      <c r="P14" s="17">
        <v>19</v>
      </c>
      <c r="Q14" s="18">
        <f t="shared" si="2"/>
        <v>6650</v>
      </c>
      <c r="R14" s="27">
        <v>270</v>
      </c>
      <c r="S14" s="6">
        <v>38</v>
      </c>
      <c r="T14" s="15">
        <f t="shared" si="3"/>
        <v>10260</v>
      </c>
      <c r="U14" s="12">
        <v>1000</v>
      </c>
      <c r="V14" s="6"/>
      <c r="W14" s="14">
        <f t="shared" si="4"/>
        <v>0</v>
      </c>
      <c r="X14" s="35">
        <f t="shared" si="5"/>
        <v>124040</v>
      </c>
    </row>
    <row r="15" spans="1:24" ht="20.100000000000001" customHeight="1" x14ac:dyDescent="0.15">
      <c r="A15" s="1">
        <v>10</v>
      </c>
      <c r="B15" s="2" t="s">
        <v>18</v>
      </c>
      <c r="C15" s="2"/>
      <c r="D15" s="35">
        <v>5840</v>
      </c>
      <c r="E15" s="5"/>
      <c r="F15" s="14">
        <f t="shared" si="6"/>
        <v>0</v>
      </c>
      <c r="G15" s="14">
        <f t="shared" ref="G15" si="21">E15*5890</f>
        <v>0</v>
      </c>
      <c r="H15" s="31">
        <f t="shared" ref="H15" si="22">G15-F15</f>
        <v>0</v>
      </c>
      <c r="I15" s="2">
        <v>300</v>
      </c>
      <c r="J15" s="5"/>
      <c r="K15" s="14">
        <f t="shared" si="0"/>
        <v>0</v>
      </c>
      <c r="L15" s="2">
        <v>940</v>
      </c>
      <c r="M15" s="6"/>
      <c r="N15" s="15">
        <f t="shared" si="1"/>
        <v>0</v>
      </c>
      <c r="O15" s="2">
        <v>350</v>
      </c>
      <c r="P15" s="17"/>
      <c r="Q15" s="18">
        <f t="shared" si="2"/>
        <v>0</v>
      </c>
      <c r="R15" s="27">
        <v>270</v>
      </c>
      <c r="S15" s="6"/>
      <c r="T15" s="15">
        <f t="shared" si="3"/>
        <v>0</v>
      </c>
      <c r="U15" s="12">
        <v>1000</v>
      </c>
      <c r="V15" s="6"/>
      <c r="W15" s="14">
        <f t="shared" si="4"/>
        <v>0</v>
      </c>
      <c r="X15" s="11">
        <f t="shared" si="5"/>
        <v>0</v>
      </c>
    </row>
    <row r="16" spans="1:24" ht="20.100000000000001" customHeight="1" x14ac:dyDescent="0.15">
      <c r="A16" s="1">
        <v>11</v>
      </c>
      <c r="B16" s="1" t="s">
        <v>19</v>
      </c>
      <c r="C16" s="2"/>
      <c r="D16" s="35">
        <v>5840</v>
      </c>
      <c r="E16" s="5"/>
      <c r="F16" s="14">
        <f t="shared" si="6"/>
        <v>0</v>
      </c>
      <c r="G16" s="31">
        <f t="shared" ref="G16" si="23">E15*5890</f>
        <v>0</v>
      </c>
      <c r="H16" s="31">
        <f t="shared" ref="H16" si="24">G16-F15</f>
        <v>0</v>
      </c>
      <c r="I16" s="2">
        <v>300</v>
      </c>
      <c r="J16" s="5"/>
      <c r="K16" s="14">
        <f t="shared" si="0"/>
        <v>0</v>
      </c>
      <c r="L16" s="2">
        <v>940</v>
      </c>
      <c r="M16" s="6"/>
      <c r="N16" s="15">
        <f t="shared" si="1"/>
        <v>0</v>
      </c>
      <c r="O16" s="2">
        <v>350</v>
      </c>
      <c r="P16" s="17"/>
      <c r="Q16" s="18">
        <f t="shared" si="2"/>
        <v>0</v>
      </c>
      <c r="R16" s="27">
        <v>270</v>
      </c>
      <c r="S16" s="6"/>
      <c r="T16" s="15">
        <f t="shared" si="3"/>
        <v>0</v>
      </c>
      <c r="U16" s="12">
        <v>1000</v>
      </c>
      <c r="V16" s="6"/>
      <c r="W16" s="14">
        <f t="shared" si="4"/>
        <v>0</v>
      </c>
      <c r="X16" s="11">
        <f t="shared" si="5"/>
        <v>0</v>
      </c>
    </row>
    <row r="17" spans="1:26" ht="20.100000000000001" customHeight="1" x14ac:dyDescent="0.15">
      <c r="A17" s="1">
        <v>12</v>
      </c>
      <c r="B17" s="1" t="s">
        <v>24</v>
      </c>
      <c r="C17" s="2" t="s">
        <v>48</v>
      </c>
      <c r="D17" s="35">
        <v>5840</v>
      </c>
      <c r="E17" s="5">
        <v>11</v>
      </c>
      <c r="F17" s="14">
        <f t="shared" si="6"/>
        <v>64240</v>
      </c>
      <c r="G17" s="14">
        <f t="shared" ref="G17" si="25">E17*5890</f>
        <v>64790</v>
      </c>
      <c r="H17" s="31">
        <f t="shared" ref="H17" si="26">G17-F17</f>
        <v>550</v>
      </c>
      <c r="I17" s="2">
        <v>300</v>
      </c>
      <c r="J17" s="5"/>
      <c r="K17" s="14">
        <f t="shared" si="0"/>
        <v>0</v>
      </c>
      <c r="L17" s="2">
        <v>940</v>
      </c>
      <c r="M17" s="6">
        <v>2</v>
      </c>
      <c r="N17" s="15">
        <f t="shared" si="1"/>
        <v>1880</v>
      </c>
      <c r="O17" s="2">
        <v>350</v>
      </c>
      <c r="P17" s="17"/>
      <c r="Q17" s="18">
        <f t="shared" si="2"/>
        <v>0</v>
      </c>
      <c r="R17" s="27">
        <v>270</v>
      </c>
      <c r="S17" s="6"/>
      <c r="T17" s="15">
        <f t="shared" si="3"/>
        <v>0</v>
      </c>
      <c r="U17" s="12">
        <v>1000</v>
      </c>
      <c r="V17" s="6"/>
      <c r="W17" s="14">
        <f t="shared" si="4"/>
        <v>0</v>
      </c>
      <c r="X17" s="35">
        <f t="shared" si="5"/>
        <v>66120</v>
      </c>
    </row>
    <row r="18" spans="1:26" ht="20.100000000000001" customHeight="1" x14ac:dyDescent="0.15">
      <c r="A18" s="1">
        <v>13</v>
      </c>
      <c r="B18" s="1" t="s">
        <v>26</v>
      </c>
      <c r="C18" s="2" t="s">
        <v>47</v>
      </c>
      <c r="D18" s="35">
        <v>5840</v>
      </c>
      <c r="E18" s="5">
        <v>21</v>
      </c>
      <c r="F18" s="14">
        <f t="shared" si="6"/>
        <v>122640</v>
      </c>
      <c r="G18" s="31">
        <f t="shared" ref="G18" si="27">E17*5890</f>
        <v>64790</v>
      </c>
      <c r="H18" s="31">
        <f t="shared" ref="H18" si="28">G18-F17</f>
        <v>550</v>
      </c>
      <c r="I18" s="2">
        <v>300</v>
      </c>
      <c r="J18" s="5">
        <v>8</v>
      </c>
      <c r="K18" s="14">
        <f t="shared" si="0"/>
        <v>2400</v>
      </c>
      <c r="L18" s="2">
        <v>940</v>
      </c>
      <c r="M18" s="6">
        <v>1</v>
      </c>
      <c r="N18" s="15">
        <f t="shared" si="1"/>
        <v>940</v>
      </c>
      <c r="O18" s="2">
        <v>350</v>
      </c>
      <c r="P18" s="17">
        <v>21</v>
      </c>
      <c r="Q18" s="18">
        <f t="shared" si="2"/>
        <v>7350</v>
      </c>
      <c r="R18" s="27">
        <v>270</v>
      </c>
      <c r="S18" s="6">
        <v>42</v>
      </c>
      <c r="T18" s="15">
        <f t="shared" si="3"/>
        <v>11340</v>
      </c>
      <c r="U18" s="12">
        <v>1000</v>
      </c>
      <c r="V18" s="6"/>
      <c r="W18" s="14">
        <f t="shared" si="4"/>
        <v>0</v>
      </c>
      <c r="X18" s="35">
        <f t="shared" si="5"/>
        <v>137320</v>
      </c>
    </row>
    <row r="19" spans="1:26" ht="20.100000000000001" customHeight="1" x14ac:dyDescent="0.15">
      <c r="A19" s="1">
        <v>14</v>
      </c>
      <c r="B19" s="1" t="s">
        <v>37</v>
      </c>
      <c r="C19" s="2" t="s">
        <v>48</v>
      </c>
      <c r="D19" s="35">
        <v>5840</v>
      </c>
      <c r="E19" s="5">
        <v>20</v>
      </c>
      <c r="F19" s="14">
        <f t="shared" si="6"/>
        <v>116800</v>
      </c>
      <c r="G19" s="14">
        <f t="shared" ref="G19" si="29">E19*5890</f>
        <v>117800</v>
      </c>
      <c r="H19" s="31">
        <f t="shared" ref="H19" si="30">G19-F19</f>
        <v>1000</v>
      </c>
      <c r="I19" s="2">
        <v>300</v>
      </c>
      <c r="J19" s="5"/>
      <c r="K19" s="14">
        <f t="shared" si="0"/>
        <v>0</v>
      </c>
      <c r="L19" s="2">
        <v>940</v>
      </c>
      <c r="M19" s="6">
        <v>2</v>
      </c>
      <c r="N19" s="15">
        <f t="shared" si="1"/>
        <v>1880</v>
      </c>
      <c r="O19" s="2">
        <v>350</v>
      </c>
      <c r="P19" s="17">
        <v>7</v>
      </c>
      <c r="Q19" s="18">
        <f t="shared" si="2"/>
        <v>2450</v>
      </c>
      <c r="R19" s="27">
        <v>270</v>
      </c>
      <c r="S19" s="6">
        <v>40</v>
      </c>
      <c r="T19" s="15">
        <f t="shared" si="3"/>
        <v>10800</v>
      </c>
      <c r="U19" s="12">
        <v>1000</v>
      </c>
      <c r="V19" s="6"/>
      <c r="W19" s="14">
        <f t="shared" si="4"/>
        <v>0</v>
      </c>
      <c r="X19" s="35">
        <f t="shared" si="5"/>
        <v>129480</v>
      </c>
    </row>
    <row r="20" spans="1:26" ht="20.100000000000001" customHeight="1" x14ac:dyDescent="0.15">
      <c r="A20" s="1">
        <v>15</v>
      </c>
      <c r="B20" s="1" t="s">
        <v>28</v>
      </c>
      <c r="C20" s="2" t="s">
        <v>48</v>
      </c>
      <c r="D20" s="35">
        <v>5840</v>
      </c>
      <c r="E20" s="5">
        <v>17</v>
      </c>
      <c r="F20" s="14">
        <f t="shared" si="6"/>
        <v>99280</v>
      </c>
      <c r="G20" s="31">
        <f t="shared" ref="G20" si="31">E19*5890</f>
        <v>117800</v>
      </c>
      <c r="H20" s="31">
        <f t="shared" ref="H20" si="32">G20-F19</f>
        <v>1000</v>
      </c>
      <c r="I20" s="2">
        <v>300</v>
      </c>
      <c r="J20" s="5">
        <v>7</v>
      </c>
      <c r="K20" s="14">
        <f t="shared" si="0"/>
        <v>2100</v>
      </c>
      <c r="L20" s="2">
        <v>940</v>
      </c>
      <c r="M20" s="6">
        <v>4</v>
      </c>
      <c r="N20" s="15">
        <f t="shared" si="1"/>
        <v>3760</v>
      </c>
      <c r="O20" s="2">
        <v>350</v>
      </c>
      <c r="P20" s="17"/>
      <c r="Q20" s="18">
        <f t="shared" si="2"/>
        <v>0</v>
      </c>
      <c r="R20" s="27">
        <v>270</v>
      </c>
      <c r="S20" s="6">
        <v>34</v>
      </c>
      <c r="T20" s="15">
        <f t="shared" si="3"/>
        <v>9180</v>
      </c>
      <c r="U20" s="12">
        <v>1000</v>
      </c>
      <c r="V20" s="6"/>
      <c r="W20" s="14">
        <f t="shared" si="4"/>
        <v>0</v>
      </c>
      <c r="X20" s="35">
        <f t="shared" si="5"/>
        <v>114320</v>
      </c>
    </row>
    <row r="21" spans="1:26" ht="20.100000000000001" customHeight="1" x14ac:dyDescent="0.15">
      <c r="A21" s="1">
        <v>16</v>
      </c>
      <c r="B21" s="1" t="s">
        <v>38</v>
      </c>
      <c r="C21" s="2" t="s">
        <v>47</v>
      </c>
      <c r="D21" s="35">
        <v>5840</v>
      </c>
      <c r="E21" s="5">
        <v>6</v>
      </c>
      <c r="F21" s="14">
        <f t="shared" si="6"/>
        <v>35040</v>
      </c>
      <c r="G21" s="14">
        <f t="shared" ref="G21" si="33">E21*5890</f>
        <v>35340</v>
      </c>
      <c r="H21" s="31">
        <f t="shared" ref="H21" si="34">G21-F21</f>
        <v>300</v>
      </c>
      <c r="I21" s="2">
        <v>300</v>
      </c>
      <c r="J21" s="5">
        <v>4</v>
      </c>
      <c r="K21" s="14">
        <f t="shared" si="0"/>
        <v>1200</v>
      </c>
      <c r="L21" s="2">
        <v>940</v>
      </c>
      <c r="M21" s="6">
        <v>4</v>
      </c>
      <c r="N21" s="15">
        <f t="shared" si="1"/>
        <v>3760</v>
      </c>
      <c r="O21" s="2">
        <v>350</v>
      </c>
      <c r="P21" s="17"/>
      <c r="Q21" s="18">
        <f t="shared" si="2"/>
        <v>0</v>
      </c>
      <c r="R21" s="27">
        <v>270</v>
      </c>
      <c r="S21" s="6">
        <v>12</v>
      </c>
      <c r="T21" s="15">
        <f t="shared" si="3"/>
        <v>3240</v>
      </c>
      <c r="U21" s="12">
        <v>1000</v>
      </c>
      <c r="V21" s="6"/>
      <c r="W21" s="14">
        <f t="shared" si="4"/>
        <v>0</v>
      </c>
      <c r="X21" s="35">
        <f t="shared" si="5"/>
        <v>43240</v>
      </c>
    </row>
    <row r="22" spans="1:26" ht="20.100000000000001" customHeight="1" x14ac:dyDescent="0.15">
      <c r="A22" s="1">
        <v>17</v>
      </c>
      <c r="B22" s="1" t="s">
        <v>22</v>
      </c>
      <c r="C22" s="2" t="s">
        <v>48</v>
      </c>
      <c r="D22" s="35">
        <v>5840</v>
      </c>
      <c r="E22" s="5">
        <v>15</v>
      </c>
      <c r="F22" s="14">
        <f t="shared" si="6"/>
        <v>87600</v>
      </c>
      <c r="G22" s="31">
        <f t="shared" ref="G22" si="35">E21*5890</f>
        <v>35340</v>
      </c>
      <c r="H22" s="31">
        <f t="shared" ref="H22" si="36">G22-F21</f>
        <v>300</v>
      </c>
      <c r="I22" s="2">
        <v>300</v>
      </c>
      <c r="J22" s="5">
        <v>15</v>
      </c>
      <c r="K22" s="14">
        <f t="shared" si="0"/>
        <v>4500</v>
      </c>
      <c r="L22" s="2">
        <v>940</v>
      </c>
      <c r="M22" s="6"/>
      <c r="N22" s="15">
        <f t="shared" si="1"/>
        <v>0</v>
      </c>
      <c r="O22" s="2">
        <v>350</v>
      </c>
      <c r="P22" s="17">
        <v>22</v>
      </c>
      <c r="Q22" s="18">
        <f t="shared" si="2"/>
        <v>7700</v>
      </c>
      <c r="R22" s="27">
        <v>270</v>
      </c>
      <c r="S22" s="6">
        <v>30</v>
      </c>
      <c r="T22" s="15">
        <f t="shared" si="3"/>
        <v>8100</v>
      </c>
      <c r="U22" s="12">
        <v>1000</v>
      </c>
      <c r="V22" s="6"/>
      <c r="W22" s="14">
        <f t="shared" si="4"/>
        <v>0</v>
      </c>
      <c r="X22" s="35">
        <f t="shared" si="5"/>
        <v>100200</v>
      </c>
    </row>
    <row r="23" spans="1:26" ht="20.100000000000001" customHeight="1" x14ac:dyDescent="0.15">
      <c r="A23" s="1">
        <v>18</v>
      </c>
      <c r="B23" s="1" t="s">
        <v>39</v>
      </c>
      <c r="C23" s="2" t="s">
        <v>48</v>
      </c>
      <c r="D23" s="35">
        <v>5840</v>
      </c>
      <c r="E23" s="5">
        <v>5</v>
      </c>
      <c r="F23" s="14">
        <f t="shared" si="6"/>
        <v>29200</v>
      </c>
      <c r="G23" s="14">
        <f t="shared" ref="G23" si="37">E23*5890</f>
        <v>29450</v>
      </c>
      <c r="H23" s="31">
        <f t="shared" ref="H23" si="38">G23-F23</f>
        <v>250</v>
      </c>
      <c r="I23" s="2">
        <v>300</v>
      </c>
      <c r="J23" s="5">
        <v>5</v>
      </c>
      <c r="K23" s="14">
        <f t="shared" si="0"/>
        <v>1500</v>
      </c>
      <c r="L23" s="2">
        <v>940</v>
      </c>
      <c r="M23" s="6">
        <v>2</v>
      </c>
      <c r="N23" s="15">
        <f t="shared" si="1"/>
        <v>1880</v>
      </c>
      <c r="O23" s="2">
        <v>350</v>
      </c>
      <c r="P23" s="17"/>
      <c r="Q23" s="18">
        <f t="shared" si="2"/>
        <v>0</v>
      </c>
      <c r="R23" s="27">
        <v>270</v>
      </c>
      <c r="S23" s="6">
        <v>10</v>
      </c>
      <c r="T23" s="15">
        <f t="shared" si="3"/>
        <v>2700</v>
      </c>
      <c r="U23" s="12">
        <v>1000</v>
      </c>
      <c r="V23" s="6"/>
      <c r="W23" s="14">
        <f t="shared" si="4"/>
        <v>0</v>
      </c>
      <c r="X23" s="35">
        <f t="shared" si="5"/>
        <v>35280</v>
      </c>
    </row>
    <row r="24" spans="1:26" ht="20.100000000000001" customHeight="1" x14ac:dyDescent="0.15">
      <c r="A24" s="1">
        <v>19</v>
      </c>
      <c r="B24" s="1" t="s">
        <v>41</v>
      </c>
      <c r="C24" s="2" t="s">
        <v>51</v>
      </c>
      <c r="D24" s="35">
        <v>5840</v>
      </c>
      <c r="E24" s="5">
        <v>21</v>
      </c>
      <c r="F24" s="14">
        <f t="shared" si="6"/>
        <v>122640</v>
      </c>
      <c r="G24" s="31">
        <f t="shared" ref="G24" si="39">E23*5890</f>
        <v>29450</v>
      </c>
      <c r="H24" s="31">
        <f t="shared" ref="H24" si="40">G24-F23</f>
        <v>250</v>
      </c>
      <c r="I24" s="2">
        <v>300</v>
      </c>
      <c r="J24" s="5">
        <v>21</v>
      </c>
      <c r="K24" s="14">
        <f t="shared" si="0"/>
        <v>6300</v>
      </c>
      <c r="L24" s="2">
        <v>940</v>
      </c>
      <c r="M24" s="6">
        <v>1</v>
      </c>
      <c r="N24" s="15">
        <f t="shared" si="1"/>
        <v>940</v>
      </c>
      <c r="O24" s="2">
        <v>350</v>
      </c>
      <c r="P24" s="17">
        <v>17</v>
      </c>
      <c r="Q24" s="18">
        <f t="shared" si="2"/>
        <v>5950</v>
      </c>
      <c r="R24" s="27">
        <v>270</v>
      </c>
      <c r="S24" s="6">
        <v>41</v>
      </c>
      <c r="T24" s="15">
        <f t="shared" si="3"/>
        <v>11070</v>
      </c>
      <c r="U24" s="12">
        <v>1000</v>
      </c>
      <c r="V24" s="6"/>
      <c r="W24" s="14">
        <f t="shared" si="4"/>
        <v>0</v>
      </c>
      <c r="X24" s="35">
        <f t="shared" si="5"/>
        <v>140950</v>
      </c>
    </row>
    <row r="25" spans="1:26" ht="20.100000000000001" customHeight="1" x14ac:dyDescent="0.15">
      <c r="A25" s="1">
        <v>21</v>
      </c>
      <c r="B25" s="1"/>
      <c r="C25" s="2"/>
      <c r="D25" s="11">
        <v>5190</v>
      </c>
      <c r="E25" s="5"/>
      <c r="F25" s="14">
        <f t="shared" si="6"/>
        <v>0</v>
      </c>
      <c r="G25" s="14"/>
      <c r="H25" s="14"/>
      <c r="I25" s="2">
        <v>300</v>
      </c>
      <c r="J25" s="5"/>
      <c r="K25" s="14">
        <f t="shared" si="0"/>
        <v>0</v>
      </c>
      <c r="L25" s="2">
        <v>940</v>
      </c>
      <c r="M25" s="6"/>
      <c r="N25" s="15">
        <f t="shared" si="1"/>
        <v>0</v>
      </c>
      <c r="O25" s="2">
        <v>350</v>
      </c>
      <c r="P25" s="17"/>
      <c r="Q25" s="18">
        <f t="shared" si="2"/>
        <v>0</v>
      </c>
      <c r="R25" s="27">
        <v>270</v>
      </c>
      <c r="S25" s="6"/>
      <c r="T25" s="15">
        <f t="shared" si="3"/>
        <v>0</v>
      </c>
      <c r="U25" s="12">
        <v>1000</v>
      </c>
      <c r="V25" s="6"/>
      <c r="W25" s="14">
        <f t="shared" si="4"/>
        <v>0</v>
      </c>
      <c r="X25" s="11">
        <f t="shared" si="5"/>
        <v>0</v>
      </c>
    </row>
    <row r="26" spans="1:26" ht="20.100000000000001" customHeight="1" x14ac:dyDescent="0.15">
      <c r="A26" s="1">
        <v>22</v>
      </c>
      <c r="B26" s="1"/>
      <c r="C26" s="2"/>
      <c r="D26" s="11">
        <v>5190</v>
      </c>
      <c r="E26" s="5"/>
      <c r="F26" s="14">
        <f t="shared" si="6"/>
        <v>0</v>
      </c>
      <c r="G26" s="14"/>
      <c r="H26" s="14"/>
      <c r="I26" s="2">
        <v>300</v>
      </c>
      <c r="J26" s="5"/>
      <c r="K26" s="14">
        <f t="shared" si="0"/>
        <v>0</v>
      </c>
      <c r="L26" s="2">
        <v>940</v>
      </c>
      <c r="M26" s="6"/>
      <c r="N26" s="15">
        <f t="shared" si="1"/>
        <v>0</v>
      </c>
      <c r="O26" s="2">
        <v>350</v>
      </c>
      <c r="P26" s="17"/>
      <c r="Q26" s="18">
        <f t="shared" si="2"/>
        <v>0</v>
      </c>
      <c r="R26" s="27">
        <v>270</v>
      </c>
      <c r="S26" s="6"/>
      <c r="T26" s="15">
        <f t="shared" si="3"/>
        <v>0</v>
      </c>
      <c r="U26" s="12">
        <v>1000</v>
      </c>
      <c r="V26" s="6"/>
      <c r="W26" s="14">
        <f t="shared" si="4"/>
        <v>0</v>
      </c>
      <c r="X26" s="11">
        <f t="shared" si="5"/>
        <v>0</v>
      </c>
    </row>
    <row r="27" spans="1:26" x14ac:dyDescent="0.15">
      <c r="A27" s="1"/>
      <c r="B27" s="1"/>
      <c r="C27" s="1"/>
      <c r="D27" s="1"/>
      <c r="E27" s="1"/>
      <c r="F27" s="12">
        <f>SUM(F5:F25)</f>
        <v>1576800</v>
      </c>
      <c r="G27" s="12"/>
      <c r="H27" s="12">
        <f>SUM(H6:H26)</f>
        <v>12150</v>
      </c>
      <c r="I27" s="12"/>
      <c r="J27" s="12"/>
      <c r="K27" s="12">
        <f>SUM(K5:K25)</f>
        <v>18000</v>
      </c>
      <c r="L27" s="12"/>
      <c r="M27" s="12"/>
      <c r="N27" s="12">
        <f>SUM(N5:N25)</f>
        <v>29140</v>
      </c>
      <c r="O27" s="12"/>
      <c r="P27" s="12"/>
      <c r="Q27" s="12">
        <f>SUM(Q5:Q25)</f>
        <v>53650</v>
      </c>
      <c r="R27" s="12"/>
      <c r="S27" s="1"/>
      <c r="T27" s="12">
        <f>SUM(T5:T25)</f>
        <v>112590</v>
      </c>
      <c r="U27" s="1"/>
      <c r="V27" s="1"/>
      <c r="W27" s="12">
        <f>SUM(W5:W25)</f>
        <v>0</v>
      </c>
      <c r="X27" s="12">
        <f>SUM(X6:X25)</f>
        <v>1736530</v>
      </c>
    </row>
    <row r="29" spans="1:26" ht="13.5" customHeight="1" x14ac:dyDescent="0.15">
      <c r="B29" s="65" t="s">
        <v>21</v>
      </c>
      <c r="C29" s="65"/>
      <c r="D29" s="65"/>
      <c r="E29" s="65"/>
      <c r="F29" s="65"/>
      <c r="G29" s="34"/>
      <c r="H29" s="34"/>
      <c r="J29" s="66"/>
      <c r="K29" s="66"/>
      <c r="L29" s="66"/>
      <c r="M29" s="66"/>
      <c r="N29" s="66"/>
      <c r="Q29" s="8"/>
      <c r="R29" s="8"/>
      <c r="S29" s="8"/>
      <c r="T29" s="8"/>
      <c r="U29" s="8"/>
      <c r="V29" s="8"/>
      <c r="W29" s="8"/>
      <c r="X29" s="7"/>
      <c r="Y29" s="22"/>
      <c r="Z29" s="22"/>
    </row>
    <row r="30" spans="1:26" ht="13.5" customHeight="1" x14ac:dyDescent="0.15">
      <c r="B30" s="1"/>
      <c r="C30" s="1"/>
      <c r="D30" s="1"/>
      <c r="E30" s="1"/>
      <c r="F30" s="1"/>
      <c r="G30" s="25"/>
      <c r="H30" s="25"/>
      <c r="J30" s="25"/>
      <c r="K30" s="26"/>
      <c r="L30" s="25"/>
      <c r="M30" s="67"/>
      <c r="N30" s="67"/>
      <c r="O30" s="68"/>
      <c r="P30" s="68"/>
      <c r="Q30" s="7"/>
      <c r="R30" s="7"/>
      <c r="S30" s="7"/>
      <c r="T30" s="7"/>
      <c r="U30" s="69">
        <f>X27</f>
        <v>1736530</v>
      </c>
      <c r="V30" s="69"/>
      <c r="W30" s="69"/>
      <c r="X30" s="69"/>
      <c r="Y30" s="22"/>
      <c r="Z30" s="22"/>
    </row>
    <row r="31" spans="1:26" ht="13.5" customHeight="1" x14ac:dyDescent="0.15">
      <c r="B31" s="24" t="s">
        <v>32</v>
      </c>
      <c r="C31" s="24"/>
      <c r="D31" s="1">
        <v>350</v>
      </c>
      <c r="E31" s="1">
        <v>1</v>
      </c>
      <c r="F31" s="1">
        <f>SUM(D31*E31)</f>
        <v>350</v>
      </c>
      <c r="G31" s="25"/>
      <c r="H31" s="25"/>
      <c r="J31" s="25"/>
      <c r="K31" s="26"/>
      <c r="L31" s="25"/>
      <c r="M31" s="67"/>
      <c r="N31" s="67"/>
      <c r="O31" s="68"/>
      <c r="P31" s="68"/>
      <c r="Q31" s="8"/>
      <c r="R31" s="8"/>
      <c r="S31" s="8"/>
      <c r="T31" s="8"/>
      <c r="U31" s="69"/>
      <c r="V31" s="69"/>
      <c r="W31" s="69"/>
      <c r="X31" s="69"/>
      <c r="Y31" s="23"/>
      <c r="Z31" s="22"/>
    </row>
    <row r="32" spans="1:26" ht="13.5" customHeight="1" x14ac:dyDescent="0.15">
      <c r="U32" s="69"/>
      <c r="V32" s="69"/>
      <c r="W32" s="69"/>
      <c r="X32" s="69"/>
      <c r="Y32" s="23"/>
      <c r="Z32" s="22"/>
    </row>
    <row r="33" spans="20:26" ht="13.5" customHeight="1" x14ac:dyDescent="0.15">
      <c r="T33" s="22"/>
      <c r="U33" s="22"/>
      <c r="V33" s="23"/>
      <c r="W33" s="23"/>
      <c r="X33" s="23"/>
      <c r="Y33" s="23"/>
      <c r="Z33" s="22"/>
    </row>
    <row r="34" spans="20:26" x14ac:dyDescent="0.15">
      <c r="T34" s="22"/>
      <c r="U34" s="22"/>
      <c r="V34" s="22"/>
      <c r="W34" s="22"/>
      <c r="X34" s="22"/>
      <c r="Y34" s="22" t="s">
        <v>65</v>
      </c>
      <c r="Z34" s="22"/>
    </row>
    <row r="35" spans="20:26" x14ac:dyDescent="0.15">
      <c r="T35" s="22"/>
      <c r="U35" s="22"/>
      <c r="V35" s="22"/>
      <c r="W35" s="22" t="s">
        <v>60</v>
      </c>
      <c r="X35" s="42">
        <f>X6+X7+X18+X21</f>
        <v>378540</v>
      </c>
      <c r="Y35" s="38">
        <f>X35-H27.6前!X35</f>
        <v>40290</v>
      </c>
      <c r="Z35" s="22"/>
    </row>
    <row r="36" spans="20:26" x14ac:dyDescent="0.15">
      <c r="W36" s="22" t="s">
        <v>61</v>
      </c>
      <c r="X36" s="42">
        <f>X8+X11+X13+X14+X17+X19+X20+X22+X23</f>
        <v>819720</v>
      </c>
      <c r="Y36" s="38">
        <f>X36-H27.6前!X36</f>
        <v>81900</v>
      </c>
    </row>
    <row r="37" spans="20:26" x14ac:dyDescent="0.15">
      <c r="W37" s="22" t="s">
        <v>62</v>
      </c>
      <c r="X37" s="42">
        <f>X24</f>
        <v>140950</v>
      </c>
      <c r="Y37" s="38">
        <f>X37-H27.6前!X37</f>
        <v>13650</v>
      </c>
    </row>
    <row r="38" spans="20:26" x14ac:dyDescent="0.15">
      <c r="W38" s="22" t="s">
        <v>63</v>
      </c>
      <c r="X38" s="42">
        <f>X9+X10</f>
        <v>256960</v>
      </c>
      <c r="Y38" s="38">
        <f>X38-H27.6前!X38</f>
        <v>28600</v>
      </c>
    </row>
    <row r="39" spans="20:26" x14ac:dyDescent="0.15">
      <c r="W39" s="22" t="s">
        <v>64</v>
      </c>
      <c r="X39" s="42">
        <f>X12</f>
        <v>140360</v>
      </c>
      <c r="Y39" s="38">
        <f>X39-H27.6前!X39</f>
        <v>14300</v>
      </c>
    </row>
    <row r="40" spans="20:26" x14ac:dyDescent="0.15">
      <c r="X40" s="39">
        <f>SUBTOTAL(9,X35:X39)</f>
        <v>1736530</v>
      </c>
      <c r="Y40" s="38">
        <f>X40-H27.6前!X40</f>
        <v>178740</v>
      </c>
    </row>
  </sheetData>
  <autoFilter ref="A4:Z27"/>
  <mergeCells count="31">
    <mergeCell ref="U3:W3"/>
    <mergeCell ref="X3:X4"/>
    <mergeCell ref="B5:B6"/>
    <mergeCell ref="D5:D6"/>
    <mergeCell ref="E5:E6"/>
    <mergeCell ref="F5:F6"/>
    <mergeCell ref="I5:I6"/>
    <mergeCell ref="J5:J6"/>
    <mergeCell ref="K5:K6"/>
    <mergeCell ref="L5:L6"/>
    <mergeCell ref="A2:B3"/>
    <mergeCell ref="D3:F3"/>
    <mergeCell ref="I3:K3"/>
    <mergeCell ref="L3:N3"/>
    <mergeCell ref="O3:Q3"/>
    <mergeCell ref="R3:T3"/>
    <mergeCell ref="V5:V6"/>
    <mergeCell ref="W5:W6"/>
    <mergeCell ref="B29:F29"/>
    <mergeCell ref="J29:N29"/>
    <mergeCell ref="M30:N30"/>
    <mergeCell ref="O30:P30"/>
    <mergeCell ref="U30:X32"/>
    <mergeCell ref="M31:N31"/>
    <mergeCell ref="O31:P31"/>
    <mergeCell ref="M5:M6"/>
    <mergeCell ref="N5:N6"/>
    <mergeCell ref="R5:R6"/>
    <mergeCell ref="S5:S6"/>
    <mergeCell ref="T5:T6"/>
    <mergeCell ref="U5:U6"/>
  </mergeCells>
  <phoneticPr fontId="2"/>
  <pageMargins left="0.51181102362204722" right="0" top="0.35433070866141736" bottom="0.35433070866141736" header="0.31496062992125984" footer="0.31496062992125984"/>
  <pageSetup paperSize="9" scale="87" orientation="landscape" r:id="rId1"/>
  <headerFooter>
    <oddFooter>&amp;Rカイト御調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44"/>
  <sheetViews>
    <sheetView tabSelected="1" topLeftCell="A7" workbookViewId="0">
      <selection activeCell="K11" sqref="K11"/>
    </sheetView>
  </sheetViews>
  <sheetFormatPr defaultRowHeight="13.5" x14ac:dyDescent="0.15"/>
  <cols>
    <col min="1" max="1" width="3.25" customWidth="1"/>
    <col min="2" max="3" width="12.625" customWidth="1"/>
    <col min="4" max="4" width="6.625" customWidth="1"/>
    <col min="5" max="6" width="5.125" customWidth="1"/>
    <col min="7" max="8" width="9" hidden="1" customWidth="1"/>
    <col min="9" max="9" width="5.5" customWidth="1"/>
    <col min="10" max="10" width="5.375" customWidth="1"/>
    <col min="11" max="11" width="7.625" customWidth="1"/>
    <col min="12" max="12" width="5.625" customWidth="1"/>
    <col min="13" max="13" width="5" customWidth="1"/>
    <col min="14" max="14" width="7.625" customWidth="1"/>
    <col min="15" max="15" width="5.625" customWidth="1"/>
    <col min="16" max="16" width="4.875" customWidth="1"/>
    <col min="17" max="17" width="7.625" customWidth="1"/>
    <col min="18" max="18" width="6" customWidth="1"/>
    <col min="19" max="19" width="4.875" customWidth="1"/>
    <col min="20" max="20" width="7.625" customWidth="1"/>
    <col min="21" max="21" width="6.5" customWidth="1"/>
    <col min="22" max="22" width="4.875" customWidth="1"/>
    <col min="23" max="23" width="7.625" customWidth="1"/>
    <col min="24" max="24" width="10.625" customWidth="1"/>
  </cols>
  <sheetData>
    <row r="1" spans="1:24" x14ac:dyDescent="0.15">
      <c r="B1" t="s">
        <v>7</v>
      </c>
    </row>
    <row r="2" spans="1:24" x14ac:dyDescent="0.15">
      <c r="A2" s="59" t="s">
        <v>43</v>
      </c>
      <c r="B2" s="60"/>
      <c r="C2" s="34"/>
    </row>
    <row r="3" spans="1:24" x14ac:dyDescent="0.15">
      <c r="A3" s="61"/>
      <c r="B3" s="62"/>
      <c r="C3" s="36"/>
      <c r="D3" s="44" t="s">
        <v>0</v>
      </c>
      <c r="E3" s="45"/>
      <c r="F3" s="46"/>
      <c r="G3" s="29"/>
      <c r="H3" s="29"/>
      <c r="I3" s="44" t="s">
        <v>1</v>
      </c>
      <c r="J3" s="45"/>
      <c r="K3" s="46"/>
      <c r="L3" s="44" t="s">
        <v>2</v>
      </c>
      <c r="M3" s="45"/>
      <c r="N3" s="46"/>
      <c r="O3" s="44" t="s">
        <v>21</v>
      </c>
      <c r="P3" s="45"/>
      <c r="Q3" s="46"/>
      <c r="R3" s="44" t="s">
        <v>40</v>
      </c>
      <c r="S3" s="45"/>
      <c r="T3" s="46"/>
      <c r="U3" s="44" t="s">
        <v>3</v>
      </c>
      <c r="V3" s="45"/>
      <c r="W3" s="46"/>
      <c r="X3" s="47" t="s">
        <v>6</v>
      </c>
    </row>
    <row r="4" spans="1:24" ht="14.25" thickBot="1" x14ac:dyDescent="0.2">
      <c r="A4" s="2"/>
      <c r="B4" s="9" t="s">
        <v>4</v>
      </c>
      <c r="C4" s="9"/>
      <c r="D4" s="3">
        <v>5890</v>
      </c>
      <c r="E4" s="10" t="s">
        <v>5</v>
      </c>
      <c r="F4" s="3"/>
      <c r="G4" s="3"/>
      <c r="H4" s="3"/>
      <c r="I4" s="3">
        <v>300</v>
      </c>
      <c r="J4" s="10" t="s">
        <v>5</v>
      </c>
      <c r="K4" s="3"/>
      <c r="L4" s="3">
        <v>940</v>
      </c>
      <c r="M4" s="10" t="s">
        <v>5</v>
      </c>
      <c r="N4" s="3"/>
      <c r="O4" s="3">
        <v>350</v>
      </c>
      <c r="P4" s="10" t="s">
        <v>5</v>
      </c>
      <c r="Q4" s="3"/>
      <c r="R4" s="13">
        <v>270</v>
      </c>
      <c r="S4" s="3" t="s">
        <v>5</v>
      </c>
      <c r="T4" s="3"/>
      <c r="U4" s="13">
        <v>1000</v>
      </c>
      <c r="V4" s="10" t="s">
        <v>5</v>
      </c>
      <c r="W4" s="3"/>
      <c r="X4" s="48"/>
    </row>
    <row r="5" spans="1:24" ht="14.25" customHeight="1" thickTop="1" x14ac:dyDescent="0.15">
      <c r="A5" s="2"/>
      <c r="B5" s="49" t="s">
        <v>9</v>
      </c>
      <c r="C5" s="32"/>
      <c r="D5" s="51">
        <v>5840</v>
      </c>
      <c r="E5" s="53">
        <v>17</v>
      </c>
      <c r="F5" s="55">
        <f>SUM(D5*E5)</f>
        <v>99280</v>
      </c>
      <c r="G5" s="30"/>
      <c r="H5" s="30"/>
      <c r="I5" s="57">
        <v>300</v>
      </c>
      <c r="J5" s="53"/>
      <c r="K5" s="55">
        <f>SUM(I5*J5)</f>
        <v>0</v>
      </c>
      <c r="L5" s="57">
        <v>940</v>
      </c>
      <c r="M5" s="53">
        <v>4</v>
      </c>
      <c r="N5" s="70">
        <f>SUM(L5*M5)</f>
        <v>3760</v>
      </c>
      <c r="O5" s="4"/>
      <c r="P5" s="20"/>
      <c r="Q5" s="21"/>
      <c r="R5" s="74">
        <v>270</v>
      </c>
      <c r="S5" s="53">
        <v>34</v>
      </c>
      <c r="T5" s="70">
        <f>SUM(R5*S5)</f>
        <v>9180</v>
      </c>
      <c r="U5" s="76">
        <v>1000</v>
      </c>
      <c r="V5" s="63"/>
      <c r="W5" s="55">
        <f>SUM(V6*U5)</f>
        <v>0</v>
      </c>
      <c r="X5" s="19"/>
    </row>
    <row r="6" spans="1:24" ht="20.100000000000001" customHeight="1" x14ac:dyDescent="0.15">
      <c r="A6" s="1">
        <v>1</v>
      </c>
      <c r="B6" s="50"/>
      <c r="C6" s="33" t="s">
        <v>47</v>
      </c>
      <c r="D6" s="52"/>
      <c r="E6" s="54"/>
      <c r="F6" s="56"/>
      <c r="G6" s="31">
        <f>E5*5890</f>
        <v>100130</v>
      </c>
      <c r="H6" s="31">
        <f>G6-F5</f>
        <v>850</v>
      </c>
      <c r="I6" s="58"/>
      <c r="J6" s="54"/>
      <c r="K6" s="56"/>
      <c r="L6" s="58"/>
      <c r="M6" s="54"/>
      <c r="N6" s="71"/>
      <c r="O6" s="2">
        <v>290</v>
      </c>
      <c r="P6" s="16"/>
      <c r="Q6" s="28">
        <v>5230</v>
      </c>
      <c r="R6" s="75"/>
      <c r="S6" s="54"/>
      <c r="T6" s="71"/>
      <c r="U6" s="77"/>
      <c r="V6" s="64"/>
      <c r="W6" s="56"/>
      <c r="X6" s="35">
        <f>SUM(F5+K5+N5+T5+W5)</f>
        <v>112220</v>
      </c>
    </row>
    <row r="7" spans="1:24" ht="20.100000000000001" customHeight="1" x14ac:dyDescent="0.15">
      <c r="A7" s="1">
        <v>2</v>
      </c>
      <c r="B7" s="1" t="s">
        <v>10</v>
      </c>
      <c r="C7" s="33" t="s">
        <v>47</v>
      </c>
      <c r="D7" s="35">
        <v>5840</v>
      </c>
      <c r="E7" s="5">
        <v>19</v>
      </c>
      <c r="F7" s="14">
        <f>SUM(D7*E7)</f>
        <v>110960</v>
      </c>
      <c r="G7" s="14">
        <f>E7*5890</f>
        <v>111910</v>
      </c>
      <c r="H7" s="31">
        <f>G7-F7</f>
        <v>950</v>
      </c>
      <c r="I7" s="2">
        <v>300</v>
      </c>
      <c r="J7" s="5"/>
      <c r="K7" s="14">
        <f t="shared" ref="K7:K27" si="0">SUM(I7*J7)</f>
        <v>0</v>
      </c>
      <c r="L7" s="2">
        <v>940</v>
      </c>
      <c r="M7" s="6">
        <v>2</v>
      </c>
      <c r="N7" s="15">
        <f t="shared" ref="N7:N27" si="1">SUM(L7*M7)</f>
        <v>1880</v>
      </c>
      <c r="O7" s="2">
        <v>350</v>
      </c>
      <c r="P7" s="17">
        <v>19</v>
      </c>
      <c r="Q7" s="28">
        <f t="shared" ref="Q7:Q26" si="2">SUM(O7*P7)</f>
        <v>6650</v>
      </c>
      <c r="R7" s="27">
        <v>270</v>
      </c>
      <c r="S7" s="6">
        <v>38</v>
      </c>
      <c r="T7" s="15">
        <f t="shared" ref="T7:T27" si="3">SUM(R7*S7)</f>
        <v>10260</v>
      </c>
      <c r="U7" s="12">
        <v>1000</v>
      </c>
      <c r="V7" s="6"/>
      <c r="W7" s="14">
        <f t="shared" ref="W7:W27" si="4">SUM(V7*U7)</f>
        <v>0</v>
      </c>
      <c r="X7" s="35">
        <f>SUM(F7+K7+N7+T7+W7)</f>
        <v>123100</v>
      </c>
    </row>
    <row r="8" spans="1:24" ht="20.100000000000001" customHeight="1" x14ac:dyDescent="0.15">
      <c r="A8" s="1">
        <v>3</v>
      </c>
      <c r="B8" s="1" t="s">
        <v>11</v>
      </c>
      <c r="C8" s="2" t="s">
        <v>48</v>
      </c>
      <c r="D8" s="35">
        <v>5840</v>
      </c>
      <c r="E8" s="5">
        <v>19</v>
      </c>
      <c r="F8" s="14">
        <f t="shared" ref="F8:F27" si="5">SUM(D8*E8)</f>
        <v>110960</v>
      </c>
      <c r="G8" s="31">
        <f t="shared" ref="G8" si="6">E7*5890</f>
        <v>111910</v>
      </c>
      <c r="H8" s="31">
        <f t="shared" ref="H8" si="7">G8-F7</f>
        <v>950</v>
      </c>
      <c r="I8" s="2">
        <v>300</v>
      </c>
      <c r="J8" s="5"/>
      <c r="K8" s="14">
        <f t="shared" si="0"/>
        <v>0</v>
      </c>
      <c r="L8" s="2">
        <v>940</v>
      </c>
      <c r="M8" s="6">
        <v>2</v>
      </c>
      <c r="N8" s="15">
        <f t="shared" si="1"/>
        <v>1880</v>
      </c>
      <c r="O8" s="2">
        <v>350</v>
      </c>
      <c r="P8" s="17"/>
      <c r="Q8" s="28">
        <f t="shared" si="2"/>
        <v>0</v>
      </c>
      <c r="R8" s="27">
        <v>270</v>
      </c>
      <c r="S8" s="6"/>
      <c r="T8" s="15">
        <f t="shared" si="3"/>
        <v>0</v>
      </c>
      <c r="U8" s="12">
        <v>1000</v>
      </c>
      <c r="V8" s="6"/>
      <c r="W8" s="14">
        <f t="shared" si="4"/>
        <v>0</v>
      </c>
      <c r="X8" s="35">
        <f t="shared" ref="X8:X26" si="8">SUM(F8+K8+N8+T8+W8)</f>
        <v>112840</v>
      </c>
    </row>
    <row r="9" spans="1:24" ht="20.100000000000001" customHeight="1" x14ac:dyDescent="0.15">
      <c r="A9" s="1">
        <v>4</v>
      </c>
      <c r="B9" s="1" t="s">
        <v>12</v>
      </c>
      <c r="C9" s="2" t="s">
        <v>49</v>
      </c>
      <c r="D9" s="35">
        <v>5840</v>
      </c>
      <c r="E9" s="5">
        <v>23</v>
      </c>
      <c r="F9" s="14">
        <f t="shared" si="5"/>
        <v>134320</v>
      </c>
      <c r="G9" s="14">
        <f t="shared" ref="G9" si="9">E9*5890</f>
        <v>135470</v>
      </c>
      <c r="H9" s="31">
        <f t="shared" ref="H9" si="10">G9-F9</f>
        <v>1150</v>
      </c>
      <c r="I9" s="2">
        <v>300</v>
      </c>
      <c r="J9" s="5"/>
      <c r="K9" s="14">
        <f t="shared" si="0"/>
        <v>0</v>
      </c>
      <c r="L9" s="2">
        <v>940</v>
      </c>
      <c r="M9" s="6"/>
      <c r="N9" s="15">
        <f t="shared" si="1"/>
        <v>0</v>
      </c>
      <c r="O9" s="2">
        <v>350</v>
      </c>
      <c r="P9" s="17"/>
      <c r="Q9" s="28">
        <f t="shared" si="2"/>
        <v>0</v>
      </c>
      <c r="R9" s="27">
        <v>270</v>
      </c>
      <c r="S9" s="6"/>
      <c r="T9" s="15">
        <f t="shared" si="3"/>
        <v>0</v>
      </c>
      <c r="U9" s="12">
        <v>1000</v>
      </c>
      <c r="V9" s="6"/>
      <c r="W9" s="14">
        <f t="shared" si="4"/>
        <v>0</v>
      </c>
      <c r="X9" s="35">
        <f t="shared" si="8"/>
        <v>134320</v>
      </c>
    </row>
    <row r="10" spans="1:24" ht="20.100000000000001" customHeight="1" x14ac:dyDescent="0.15">
      <c r="A10" s="1">
        <v>5</v>
      </c>
      <c r="B10" s="1" t="s">
        <v>13</v>
      </c>
      <c r="C10" s="2" t="s">
        <v>49</v>
      </c>
      <c r="D10" s="35">
        <v>5840</v>
      </c>
      <c r="E10" s="5">
        <v>23</v>
      </c>
      <c r="F10" s="14">
        <f t="shared" si="5"/>
        <v>134320</v>
      </c>
      <c r="G10" s="31">
        <f t="shared" ref="G10" si="11">E9*5890</f>
        <v>135470</v>
      </c>
      <c r="H10" s="31">
        <f t="shared" ref="H10" si="12">G10-F9</f>
        <v>1150</v>
      </c>
      <c r="I10" s="2">
        <v>300</v>
      </c>
      <c r="J10" s="5"/>
      <c r="K10" s="14">
        <f t="shared" si="0"/>
        <v>0</v>
      </c>
      <c r="L10" s="2">
        <v>940</v>
      </c>
      <c r="M10" s="6"/>
      <c r="N10" s="15">
        <f t="shared" si="1"/>
        <v>0</v>
      </c>
      <c r="O10" s="2">
        <v>350</v>
      </c>
      <c r="P10" s="17"/>
      <c r="Q10" s="28">
        <f t="shared" si="2"/>
        <v>0</v>
      </c>
      <c r="R10" s="27">
        <v>270</v>
      </c>
      <c r="S10" s="6"/>
      <c r="T10" s="15">
        <f t="shared" si="3"/>
        <v>0</v>
      </c>
      <c r="U10" s="12">
        <v>1000</v>
      </c>
      <c r="V10" s="6"/>
      <c r="W10" s="14">
        <f t="shared" si="4"/>
        <v>0</v>
      </c>
      <c r="X10" s="35">
        <f t="shared" si="8"/>
        <v>134320</v>
      </c>
    </row>
    <row r="11" spans="1:24" ht="20.100000000000001" customHeight="1" x14ac:dyDescent="0.15">
      <c r="A11" s="1">
        <v>6</v>
      </c>
      <c r="B11" s="1" t="s">
        <v>14</v>
      </c>
      <c r="C11" s="2" t="s">
        <v>48</v>
      </c>
      <c r="D11" s="35">
        <v>5840</v>
      </c>
      <c r="E11" s="5"/>
      <c r="F11" s="14">
        <f t="shared" si="5"/>
        <v>0</v>
      </c>
      <c r="G11" s="14">
        <f t="shared" ref="G11" si="13">E11*5890</f>
        <v>0</v>
      </c>
      <c r="H11" s="31">
        <f t="shared" ref="H11" si="14">G11-F11</f>
        <v>0</v>
      </c>
      <c r="I11" s="2">
        <v>300</v>
      </c>
      <c r="J11" s="5"/>
      <c r="K11" s="14">
        <f t="shared" si="0"/>
        <v>0</v>
      </c>
      <c r="L11" s="2">
        <v>940</v>
      </c>
      <c r="M11" s="6"/>
      <c r="N11" s="15">
        <f t="shared" si="1"/>
        <v>0</v>
      </c>
      <c r="O11" s="2">
        <v>350</v>
      </c>
      <c r="P11" s="17"/>
      <c r="Q11" s="28">
        <f t="shared" si="2"/>
        <v>0</v>
      </c>
      <c r="R11" s="27">
        <v>270</v>
      </c>
      <c r="S11" s="6"/>
      <c r="T11" s="15">
        <f t="shared" si="3"/>
        <v>0</v>
      </c>
      <c r="U11" s="12">
        <v>1000</v>
      </c>
      <c r="V11" s="6"/>
      <c r="W11" s="14">
        <f t="shared" si="4"/>
        <v>0</v>
      </c>
      <c r="X11" s="11">
        <f t="shared" si="8"/>
        <v>0</v>
      </c>
    </row>
    <row r="12" spans="1:24" ht="20.100000000000001" customHeight="1" x14ac:dyDescent="0.15">
      <c r="A12" s="1">
        <v>7</v>
      </c>
      <c r="B12" s="1" t="s">
        <v>15</v>
      </c>
      <c r="C12" s="2" t="s">
        <v>50</v>
      </c>
      <c r="D12" s="35">
        <v>5840</v>
      </c>
      <c r="E12" s="5">
        <v>19</v>
      </c>
      <c r="F12" s="14">
        <f t="shared" si="5"/>
        <v>110960</v>
      </c>
      <c r="G12" s="31">
        <f t="shared" ref="G12" si="15">E11*5890</f>
        <v>0</v>
      </c>
      <c r="H12" s="31">
        <f t="shared" ref="H12" si="16">G12-F11</f>
        <v>0</v>
      </c>
      <c r="I12" s="2">
        <v>300</v>
      </c>
      <c r="J12" s="5"/>
      <c r="K12" s="14">
        <f t="shared" si="0"/>
        <v>0</v>
      </c>
      <c r="L12" s="2">
        <v>940</v>
      </c>
      <c r="M12" s="6">
        <v>3</v>
      </c>
      <c r="N12" s="15">
        <f t="shared" si="1"/>
        <v>2820</v>
      </c>
      <c r="O12" s="2">
        <v>350</v>
      </c>
      <c r="P12" s="17">
        <v>19</v>
      </c>
      <c r="Q12" s="28">
        <f t="shared" si="2"/>
        <v>6650</v>
      </c>
      <c r="R12" s="27">
        <v>270</v>
      </c>
      <c r="S12" s="6">
        <v>38</v>
      </c>
      <c r="T12" s="15">
        <f t="shared" si="3"/>
        <v>10260</v>
      </c>
      <c r="U12" s="12">
        <v>1000</v>
      </c>
      <c r="V12" s="6"/>
      <c r="W12" s="14">
        <f t="shared" si="4"/>
        <v>0</v>
      </c>
      <c r="X12" s="35">
        <f t="shared" si="8"/>
        <v>124040</v>
      </c>
    </row>
    <row r="13" spans="1:24" ht="20.100000000000001" customHeight="1" x14ac:dyDescent="0.15">
      <c r="A13" s="1">
        <v>8</v>
      </c>
      <c r="B13" s="1" t="s">
        <v>16</v>
      </c>
      <c r="C13" s="2" t="s">
        <v>48</v>
      </c>
      <c r="D13" s="35">
        <v>5840</v>
      </c>
      <c r="E13" s="5">
        <v>13</v>
      </c>
      <c r="F13" s="14">
        <f t="shared" si="5"/>
        <v>75920</v>
      </c>
      <c r="G13" s="14">
        <f t="shared" ref="G13" si="17">E13*5890</f>
        <v>76570</v>
      </c>
      <c r="H13" s="31">
        <f t="shared" ref="H13" si="18">G13-F13</f>
        <v>650</v>
      </c>
      <c r="I13" s="2">
        <v>300</v>
      </c>
      <c r="J13" s="5"/>
      <c r="K13" s="14">
        <f t="shared" si="0"/>
        <v>0</v>
      </c>
      <c r="L13" s="2">
        <v>940</v>
      </c>
      <c r="M13" s="6"/>
      <c r="N13" s="15">
        <f t="shared" si="1"/>
        <v>0</v>
      </c>
      <c r="O13" s="2">
        <v>350</v>
      </c>
      <c r="P13" s="17">
        <v>4</v>
      </c>
      <c r="Q13" s="28">
        <f t="shared" si="2"/>
        <v>1400</v>
      </c>
      <c r="R13" s="27">
        <v>270</v>
      </c>
      <c r="S13" s="6">
        <v>26</v>
      </c>
      <c r="T13" s="15">
        <f t="shared" si="3"/>
        <v>7020</v>
      </c>
      <c r="U13" s="12">
        <v>1000</v>
      </c>
      <c r="V13" s="6"/>
      <c r="W13" s="14">
        <f t="shared" si="4"/>
        <v>0</v>
      </c>
      <c r="X13" s="35">
        <f t="shared" si="8"/>
        <v>82940</v>
      </c>
    </row>
    <row r="14" spans="1:24" ht="20.100000000000001" customHeight="1" x14ac:dyDescent="0.15">
      <c r="A14" s="1">
        <v>9</v>
      </c>
      <c r="B14" s="2" t="s">
        <v>17</v>
      </c>
      <c r="C14" s="2" t="s">
        <v>48</v>
      </c>
      <c r="D14" s="35">
        <v>5840</v>
      </c>
      <c r="E14" s="5">
        <v>17</v>
      </c>
      <c r="F14" s="14">
        <f t="shared" si="5"/>
        <v>99280</v>
      </c>
      <c r="G14" s="31">
        <f t="shared" ref="G14" si="19">E13*5890</f>
        <v>76570</v>
      </c>
      <c r="H14" s="31">
        <f t="shared" ref="H14" si="20">G14-F13</f>
        <v>650</v>
      </c>
      <c r="I14" s="2">
        <v>300</v>
      </c>
      <c r="J14" s="5"/>
      <c r="K14" s="14">
        <f t="shared" si="0"/>
        <v>0</v>
      </c>
      <c r="L14" s="2">
        <v>940</v>
      </c>
      <c r="M14" s="6">
        <v>4</v>
      </c>
      <c r="N14" s="15">
        <f t="shared" si="1"/>
        <v>3760</v>
      </c>
      <c r="O14" s="2">
        <v>350</v>
      </c>
      <c r="P14" s="17">
        <v>17</v>
      </c>
      <c r="Q14" s="28">
        <f t="shared" si="2"/>
        <v>5950</v>
      </c>
      <c r="R14" s="27">
        <v>270</v>
      </c>
      <c r="S14" s="6">
        <v>34</v>
      </c>
      <c r="T14" s="15">
        <f t="shared" si="3"/>
        <v>9180</v>
      </c>
      <c r="U14" s="12">
        <v>1000</v>
      </c>
      <c r="V14" s="6"/>
      <c r="W14" s="14">
        <f t="shared" si="4"/>
        <v>0</v>
      </c>
      <c r="X14" s="35">
        <f t="shared" si="8"/>
        <v>112220</v>
      </c>
    </row>
    <row r="15" spans="1:24" ht="20.100000000000001" customHeight="1" x14ac:dyDescent="0.15">
      <c r="A15" s="1">
        <v>10</v>
      </c>
      <c r="B15" s="2" t="s">
        <v>18</v>
      </c>
      <c r="C15" s="2" t="s">
        <v>48</v>
      </c>
      <c r="D15" s="35">
        <v>5840</v>
      </c>
      <c r="E15" s="5">
        <v>14</v>
      </c>
      <c r="F15" s="14">
        <f t="shared" si="5"/>
        <v>81760</v>
      </c>
      <c r="G15" s="14">
        <f t="shared" ref="G15" si="21">E15*5890</f>
        <v>82460</v>
      </c>
      <c r="H15" s="31">
        <f t="shared" ref="H15" si="22">G15-F15</f>
        <v>700</v>
      </c>
      <c r="I15" s="2">
        <v>300</v>
      </c>
      <c r="J15" s="5"/>
      <c r="K15" s="14">
        <f t="shared" si="0"/>
        <v>0</v>
      </c>
      <c r="L15" s="2">
        <v>940</v>
      </c>
      <c r="M15" s="6"/>
      <c r="N15" s="15">
        <f t="shared" si="1"/>
        <v>0</v>
      </c>
      <c r="O15" s="2">
        <v>350</v>
      </c>
      <c r="P15" s="17">
        <v>14</v>
      </c>
      <c r="Q15" s="28">
        <f t="shared" si="2"/>
        <v>4900</v>
      </c>
      <c r="R15" s="27">
        <v>270</v>
      </c>
      <c r="S15" s="6">
        <v>28</v>
      </c>
      <c r="T15" s="15">
        <f t="shared" si="3"/>
        <v>7560</v>
      </c>
      <c r="U15" s="12">
        <v>1000</v>
      </c>
      <c r="V15" s="6"/>
      <c r="W15" s="14">
        <f t="shared" si="4"/>
        <v>0</v>
      </c>
      <c r="X15" s="35">
        <f t="shared" si="8"/>
        <v>89320</v>
      </c>
    </row>
    <row r="16" spans="1:24" ht="20.100000000000001" customHeight="1" x14ac:dyDescent="0.15">
      <c r="A16" s="1">
        <v>11</v>
      </c>
      <c r="B16" s="1" t="s">
        <v>19</v>
      </c>
      <c r="C16" s="2"/>
      <c r="D16" s="35">
        <v>5840</v>
      </c>
      <c r="E16" s="5"/>
      <c r="F16" s="14">
        <f t="shared" si="5"/>
        <v>0</v>
      </c>
      <c r="G16" s="31">
        <f t="shared" ref="G16" si="23">E15*5890</f>
        <v>82460</v>
      </c>
      <c r="H16" s="31">
        <f t="shared" ref="H16" si="24">G16-F15</f>
        <v>700</v>
      </c>
      <c r="I16" s="2">
        <v>300</v>
      </c>
      <c r="J16" s="5"/>
      <c r="K16" s="14">
        <f t="shared" si="0"/>
        <v>0</v>
      </c>
      <c r="L16" s="2">
        <v>940</v>
      </c>
      <c r="M16" s="6"/>
      <c r="N16" s="15">
        <f t="shared" si="1"/>
        <v>0</v>
      </c>
      <c r="O16" s="2">
        <v>350</v>
      </c>
      <c r="P16" s="17"/>
      <c r="Q16" s="28">
        <f t="shared" si="2"/>
        <v>0</v>
      </c>
      <c r="R16" s="27">
        <v>270</v>
      </c>
      <c r="S16" s="6"/>
      <c r="T16" s="15">
        <f t="shared" si="3"/>
        <v>0</v>
      </c>
      <c r="U16" s="12">
        <v>1000</v>
      </c>
      <c r="V16" s="6"/>
      <c r="W16" s="14">
        <f t="shared" si="4"/>
        <v>0</v>
      </c>
      <c r="X16" s="11">
        <f t="shared" si="8"/>
        <v>0</v>
      </c>
    </row>
    <row r="17" spans="1:26" ht="20.100000000000001" customHeight="1" x14ac:dyDescent="0.15">
      <c r="A17" s="1">
        <v>12</v>
      </c>
      <c r="B17" s="1" t="s">
        <v>24</v>
      </c>
      <c r="C17" s="2" t="s">
        <v>48</v>
      </c>
      <c r="D17" s="35">
        <v>5840</v>
      </c>
      <c r="E17" s="5">
        <v>8</v>
      </c>
      <c r="F17" s="14">
        <f t="shared" si="5"/>
        <v>46720</v>
      </c>
      <c r="G17" s="14">
        <f t="shared" ref="G17" si="25">E17*5890</f>
        <v>47120</v>
      </c>
      <c r="H17" s="31">
        <f t="shared" ref="H17" si="26">G17-F17</f>
        <v>400</v>
      </c>
      <c r="I17" s="2">
        <v>300</v>
      </c>
      <c r="J17" s="5"/>
      <c r="K17" s="14">
        <f t="shared" si="0"/>
        <v>0</v>
      </c>
      <c r="L17" s="2">
        <v>940</v>
      </c>
      <c r="M17" s="6">
        <v>4</v>
      </c>
      <c r="N17" s="15">
        <f t="shared" si="1"/>
        <v>3760</v>
      </c>
      <c r="O17" s="2">
        <v>350</v>
      </c>
      <c r="P17" s="17"/>
      <c r="Q17" s="28">
        <f t="shared" si="2"/>
        <v>0</v>
      </c>
      <c r="R17" s="27">
        <v>270</v>
      </c>
      <c r="S17" s="6"/>
      <c r="T17" s="15">
        <f t="shared" si="3"/>
        <v>0</v>
      </c>
      <c r="U17" s="12">
        <v>1000</v>
      </c>
      <c r="V17" s="6"/>
      <c r="W17" s="14">
        <f t="shared" si="4"/>
        <v>0</v>
      </c>
      <c r="X17" s="35">
        <f t="shared" si="8"/>
        <v>50480</v>
      </c>
    </row>
    <row r="18" spans="1:26" ht="20.100000000000001" customHeight="1" x14ac:dyDescent="0.15">
      <c r="A18" s="1">
        <v>13</v>
      </c>
      <c r="B18" s="1" t="s">
        <v>26</v>
      </c>
      <c r="C18" s="2" t="s">
        <v>47</v>
      </c>
      <c r="D18" s="35">
        <v>5840</v>
      </c>
      <c r="E18" s="5">
        <v>21</v>
      </c>
      <c r="F18" s="14">
        <f t="shared" si="5"/>
        <v>122640</v>
      </c>
      <c r="G18" s="31">
        <f t="shared" ref="G18" si="27">E17*5890</f>
        <v>47120</v>
      </c>
      <c r="H18" s="31">
        <f t="shared" ref="H18" si="28">G18-F17</f>
        <v>400</v>
      </c>
      <c r="I18" s="2">
        <v>300</v>
      </c>
      <c r="J18" s="5"/>
      <c r="K18" s="14">
        <f t="shared" si="0"/>
        <v>0</v>
      </c>
      <c r="L18" s="2">
        <v>940</v>
      </c>
      <c r="M18" s="6">
        <v>1</v>
      </c>
      <c r="N18" s="15">
        <f t="shared" si="1"/>
        <v>940</v>
      </c>
      <c r="O18" s="2">
        <v>350</v>
      </c>
      <c r="P18" s="17">
        <v>21</v>
      </c>
      <c r="Q18" s="28">
        <f t="shared" si="2"/>
        <v>7350</v>
      </c>
      <c r="R18" s="27">
        <v>270</v>
      </c>
      <c r="S18" s="6">
        <v>42</v>
      </c>
      <c r="T18" s="15">
        <f t="shared" si="3"/>
        <v>11340</v>
      </c>
      <c r="U18" s="12">
        <v>1000</v>
      </c>
      <c r="V18" s="6"/>
      <c r="W18" s="14">
        <f t="shared" si="4"/>
        <v>0</v>
      </c>
      <c r="X18" s="35">
        <f t="shared" si="8"/>
        <v>134920</v>
      </c>
    </row>
    <row r="19" spans="1:26" ht="20.100000000000001" customHeight="1" x14ac:dyDescent="0.15">
      <c r="A19" s="1">
        <v>14</v>
      </c>
      <c r="B19" s="1" t="s">
        <v>37</v>
      </c>
      <c r="C19" s="2" t="s">
        <v>48</v>
      </c>
      <c r="D19" s="35">
        <v>5840</v>
      </c>
      <c r="E19" s="5">
        <v>20</v>
      </c>
      <c r="F19" s="14">
        <f t="shared" si="5"/>
        <v>116800</v>
      </c>
      <c r="G19" s="14">
        <f t="shared" ref="G19" si="29">E19*5890</f>
        <v>117800</v>
      </c>
      <c r="H19" s="31">
        <f t="shared" ref="H19" si="30">G19-F19</f>
        <v>1000</v>
      </c>
      <c r="I19" s="2">
        <v>300</v>
      </c>
      <c r="J19" s="5"/>
      <c r="K19" s="14">
        <f t="shared" si="0"/>
        <v>0</v>
      </c>
      <c r="L19" s="2">
        <v>940</v>
      </c>
      <c r="M19" s="6">
        <v>2</v>
      </c>
      <c r="N19" s="15">
        <f t="shared" si="1"/>
        <v>1880</v>
      </c>
      <c r="O19" s="2">
        <v>290</v>
      </c>
      <c r="P19" s="17">
        <v>1</v>
      </c>
      <c r="Q19" s="28">
        <f t="shared" si="2"/>
        <v>290</v>
      </c>
      <c r="R19" s="27">
        <v>270</v>
      </c>
      <c r="S19" s="6">
        <v>40</v>
      </c>
      <c r="T19" s="15">
        <f t="shared" si="3"/>
        <v>10800</v>
      </c>
      <c r="U19" s="12">
        <v>1000</v>
      </c>
      <c r="V19" s="6"/>
      <c r="W19" s="14">
        <f t="shared" si="4"/>
        <v>0</v>
      </c>
      <c r="X19" s="35">
        <f t="shared" si="8"/>
        <v>129480</v>
      </c>
    </row>
    <row r="20" spans="1:26" ht="20.100000000000001" customHeight="1" x14ac:dyDescent="0.15">
      <c r="A20" s="1">
        <v>15</v>
      </c>
      <c r="B20" s="1" t="s">
        <v>28</v>
      </c>
      <c r="C20" s="2" t="s">
        <v>48</v>
      </c>
      <c r="D20" s="35">
        <v>5840</v>
      </c>
      <c r="E20" s="5">
        <v>20</v>
      </c>
      <c r="F20" s="14">
        <f t="shared" si="5"/>
        <v>116800</v>
      </c>
      <c r="G20" s="31">
        <f t="shared" ref="G20" si="31">E19*5890</f>
        <v>117800</v>
      </c>
      <c r="H20" s="31">
        <f t="shared" ref="H20" si="32">G20-F19</f>
        <v>1000</v>
      </c>
      <c r="I20" s="2">
        <v>300</v>
      </c>
      <c r="J20" s="5"/>
      <c r="K20" s="14">
        <f t="shared" si="0"/>
        <v>0</v>
      </c>
      <c r="L20" s="2">
        <v>940</v>
      </c>
      <c r="M20" s="6">
        <v>2</v>
      </c>
      <c r="N20" s="15">
        <f t="shared" si="1"/>
        <v>1880</v>
      </c>
      <c r="O20" s="2">
        <v>350</v>
      </c>
      <c r="P20" s="17"/>
      <c r="Q20" s="28">
        <f t="shared" si="2"/>
        <v>0</v>
      </c>
      <c r="R20" s="27">
        <v>270</v>
      </c>
      <c r="S20" s="6">
        <v>40</v>
      </c>
      <c r="T20" s="15">
        <f t="shared" si="3"/>
        <v>10800</v>
      </c>
      <c r="U20" s="12">
        <v>1000</v>
      </c>
      <c r="V20" s="6"/>
      <c r="W20" s="14">
        <f t="shared" si="4"/>
        <v>0</v>
      </c>
      <c r="X20" s="35">
        <f t="shared" si="8"/>
        <v>129480</v>
      </c>
    </row>
    <row r="21" spans="1:26" ht="20.100000000000001" customHeight="1" x14ac:dyDescent="0.15">
      <c r="A21" s="1">
        <v>16</v>
      </c>
      <c r="B21" s="1" t="s">
        <v>38</v>
      </c>
      <c r="C21" s="2" t="s">
        <v>47</v>
      </c>
      <c r="D21" s="35">
        <v>5840</v>
      </c>
      <c r="E21" s="5">
        <v>9</v>
      </c>
      <c r="F21" s="14">
        <f t="shared" si="5"/>
        <v>52560</v>
      </c>
      <c r="G21" s="14">
        <f t="shared" ref="G21" si="33">E21*5890</f>
        <v>53010</v>
      </c>
      <c r="H21" s="31">
        <f t="shared" ref="H21" si="34">G21-F21</f>
        <v>450</v>
      </c>
      <c r="I21" s="2">
        <v>300</v>
      </c>
      <c r="J21" s="5"/>
      <c r="K21" s="14">
        <f t="shared" si="0"/>
        <v>0</v>
      </c>
      <c r="L21" s="2">
        <v>940</v>
      </c>
      <c r="M21" s="6">
        <v>4</v>
      </c>
      <c r="N21" s="15">
        <f t="shared" si="1"/>
        <v>3760</v>
      </c>
      <c r="O21" s="2">
        <v>350</v>
      </c>
      <c r="P21" s="17"/>
      <c r="Q21" s="28">
        <f t="shared" si="2"/>
        <v>0</v>
      </c>
      <c r="R21" s="27">
        <v>270</v>
      </c>
      <c r="S21" s="6"/>
      <c r="T21" s="15">
        <f t="shared" si="3"/>
        <v>0</v>
      </c>
      <c r="U21" s="12">
        <v>1000</v>
      </c>
      <c r="V21" s="6"/>
      <c r="W21" s="14">
        <f t="shared" si="4"/>
        <v>0</v>
      </c>
      <c r="X21" s="35">
        <f t="shared" si="8"/>
        <v>56320</v>
      </c>
    </row>
    <row r="22" spans="1:26" ht="20.100000000000001" customHeight="1" x14ac:dyDescent="0.15">
      <c r="A22" s="1">
        <v>17</v>
      </c>
      <c r="B22" s="1" t="s">
        <v>22</v>
      </c>
      <c r="C22" s="2" t="s">
        <v>48</v>
      </c>
      <c r="D22" s="35">
        <v>5840</v>
      </c>
      <c r="E22" s="5">
        <v>21</v>
      </c>
      <c r="F22" s="14">
        <f t="shared" si="5"/>
        <v>122640</v>
      </c>
      <c r="G22" s="31">
        <f t="shared" ref="G22" si="35">E21*5890</f>
        <v>53010</v>
      </c>
      <c r="H22" s="31">
        <f t="shared" ref="H22" si="36">G22-F21</f>
        <v>450</v>
      </c>
      <c r="I22" s="2">
        <v>300</v>
      </c>
      <c r="J22" s="5">
        <v>7</v>
      </c>
      <c r="K22" s="14">
        <f t="shared" si="0"/>
        <v>2100</v>
      </c>
      <c r="L22" s="2">
        <v>940</v>
      </c>
      <c r="M22" s="6">
        <v>1</v>
      </c>
      <c r="N22" s="15">
        <f t="shared" si="1"/>
        <v>940</v>
      </c>
      <c r="O22" s="2">
        <v>350</v>
      </c>
      <c r="P22" s="17">
        <v>21</v>
      </c>
      <c r="Q22" s="28">
        <f t="shared" si="2"/>
        <v>7350</v>
      </c>
      <c r="R22" s="27">
        <v>270</v>
      </c>
      <c r="S22" s="6">
        <v>42</v>
      </c>
      <c r="T22" s="15">
        <f t="shared" si="3"/>
        <v>11340</v>
      </c>
      <c r="U22" s="12">
        <v>1000</v>
      </c>
      <c r="V22" s="6"/>
      <c r="W22" s="14">
        <f t="shared" si="4"/>
        <v>0</v>
      </c>
      <c r="X22" s="35">
        <f t="shared" si="8"/>
        <v>137020</v>
      </c>
    </row>
    <row r="23" spans="1:26" ht="20.100000000000001" customHeight="1" x14ac:dyDescent="0.15">
      <c r="A23" s="1">
        <v>18</v>
      </c>
      <c r="B23" s="1" t="s">
        <v>39</v>
      </c>
      <c r="C23" s="2" t="s">
        <v>48</v>
      </c>
      <c r="D23" s="35">
        <v>5840</v>
      </c>
      <c r="E23" s="5">
        <v>15</v>
      </c>
      <c r="F23" s="14">
        <f t="shared" si="5"/>
        <v>87600</v>
      </c>
      <c r="G23" s="14">
        <f t="shared" ref="G23" si="37">E23*5890</f>
        <v>88350</v>
      </c>
      <c r="H23" s="31">
        <f t="shared" ref="H23" si="38">G23-F23</f>
        <v>750</v>
      </c>
      <c r="I23" s="2">
        <v>300</v>
      </c>
      <c r="J23" s="5">
        <v>8</v>
      </c>
      <c r="K23" s="14">
        <f t="shared" si="0"/>
        <v>2400</v>
      </c>
      <c r="L23" s="2">
        <v>940</v>
      </c>
      <c r="M23" s="6">
        <v>4</v>
      </c>
      <c r="N23" s="15">
        <f t="shared" si="1"/>
        <v>3760</v>
      </c>
      <c r="O23" s="2">
        <v>350</v>
      </c>
      <c r="P23" s="17"/>
      <c r="Q23" s="28">
        <f t="shared" si="2"/>
        <v>0</v>
      </c>
      <c r="R23" s="27">
        <v>270</v>
      </c>
      <c r="S23" s="6">
        <v>30</v>
      </c>
      <c r="T23" s="15">
        <f t="shared" si="3"/>
        <v>8100</v>
      </c>
      <c r="U23" s="12">
        <v>1000</v>
      </c>
      <c r="V23" s="6"/>
      <c r="W23" s="14">
        <f t="shared" si="4"/>
        <v>0</v>
      </c>
      <c r="X23" s="35">
        <f t="shared" si="8"/>
        <v>101860</v>
      </c>
    </row>
    <row r="24" spans="1:26" ht="20.100000000000001" customHeight="1" x14ac:dyDescent="0.15">
      <c r="A24" s="1">
        <v>19</v>
      </c>
      <c r="B24" s="1" t="s">
        <v>41</v>
      </c>
      <c r="C24" s="2" t="s">
        <v>51</v>
      </c>
      <c r="D24" s="35">
        <v>5840</v>
      </c>
      <c r="E24" s="5">
        <v>18</v>
      </c>
      <c r="F24" s="14">
        <f t="shared" si="5"/>
        <v>105120</v>
      </c>
      <c r="G24" s="31">
        <f t="shared" ref="G24" si="39">E23*5890</f>
        <v>88350</v>
      </c>
      <c r="H24" s="31">
        <f t="shared" ref="H24" si="40">G24-F23</f>
        <v>750</v>
      </c>
      <c r="I24" s="2">
        <v>300</v>
      </c>
      <c r="J24" s="5"/>
      <c r="K24" s="14">
        <f t="shared" si="0"/>
        <v>0</v>
      </c>
      <c r="L24" s="2">
        <v>940</v>
      </c>
      <c r="M24" s="6">
        <v>4</v>
      </c>
      <c r="N24" s="15">
        <f t="shared" si="1"/>
        <v>3760</v>
      </c>
      <c r="O24" s="2">
        <v>350</v>
      </c>
      <c r="P24" s="17"/>
      <c r="Q24" s="28">
        <f t="shared" si="2"/>
        <v>0</v>
      </c>
      <c r="R24" s="27">
        <v>270</v>
      </c>
      <c r="S24" s="6">
        <v>36</v>
      </c>
      <c r="T24" s="15">
        <f t="shared" si="3"/>
        <v>9720</v>
      </c>
      <c r="U24" s="12">
        <v>1000</v>
      </c>
      <c r="V24" s="6"/>
      <c r="W24" s="14">
        <f t="shared" si="4"/>
        <v>0</v>
      </c>
      <c r="X24" s="35">
        <f t="shared" si="8"/>
        <v>118600</v>
      </c>
    </row>
    <row r="25" spans="1:26" ht="20.100000000000001" customHeight="1" x14ac:dyDescent="0.15">
      <c r="A25" s="1">
        <v>21</v>
      </c>
      <c r="B25" s="1" t="s">
        <v>44</v>
      </c>
      <c r="C25" s="2" t="s">
        <v>54</v>
      </c>
      <c r="D25" s="35">
        <v>5840</v>
      </c>
      <c r="E25" s="5">
        <v>21</v>
      </c>
      <c r="F25" s="14">
        <f t="shared" si="5"/>
        <v>122640</v>
      </c>
      <c r="G25" s="14">
        <f t="shared" ref="G25" si="41">E25*5890</f>
        <v>123690</v>
      </c>
      <c r="H25" s="31">
        <f t="shared" ref="H25" si="42">G25-F25</f>
        <v>1050</v>
      </c>
      <c r="I25" s="2">
        <v>300</v>
      </c>
      <c r="J25" s="5">
        <v>20</v>
      </c>
      <c r="K25" s="14">
        <f t="shared" si="0"/>
        <v>6000</v>
      </c>
      <c r="L25" s="2">
        <v>940</v>
      </c>
      <c r="M25" s="6">
        <v>1</v>
      </c>
      <c r="N25" s="15">
        <f t="shared" si="1"/>
        <v>940</v>
      </c>
      <c r="O25" s="2">
        <v>350</v>
      </c>
      <c r="P25" s="17">
        <v>21</v>
      </c>
      <c r="Q25" s="28">
        <f t="shared" si="2"/>
        <v>7350</v>
      </c>
      <c r="R25" s="27">
        <v>270</v>
      </c>
      <c r="S25" s="6">
        <v>42</v>
      </c>
      <c r="T25" s="15">
        <f t="shared" si="3"/>
        <v>11340</v>
      </c>
      <c r="U25" s="12">
        <v>1000</v>
      </c>
      <c r="V25" s="6"/>
      <c r="W25" s="14">
        <f t="shared" si="4"/>
        <v>0</v>
      </c>
      <c r="X25" s="35">
        <f t="shared" si="8"/>
        <v>140920</v>
      </c>
    </row>
    <row r="26" spans="1:26" ht="20.100000000000001" customHeight="1" x14ac:dyDescent="0.15">
      <c r="A26" s="1">
        <v>22</v>
      </c>
      <c r="B26" s="1" t="s">
        <v>45</v>
      </c>
      <c r="C26" s="2" t="s">
        <v>55</v>
      </c>
      <c r="D26" s="35">
        <v>5840</v>
      </c>
      <c r="E26" s="5">
        <v>16</v>
      </c>
      <c r="F26" s="14">
        <f t="shared" si="5"/>
        <v>93440</v>
      </c>
      <c r="G26" s="31">
        <f t="shared" ref="G26" si="43">E25*5890</f>
        <v>123690</v>
      </c>
      <c r="H26" s="31">
        <f t="shared" ref="H26" si="44">G26-F25</f>
        <v>1050</v>
      </c>
      <c r="I26" s="2">
        <v>300</v>
      </c>
      <c r="J26" s="5">
        <v>16</v>
      </c>
      <c r="K26" s="14">
        <f t="shared" si="0"/>
        <v>4800</v>
      </c>
      <c r="L26" s="2">
        <v>940</v>
      </c>
      <c r="M26" s="6">
        <v>3</v>
      </c>
      <c r="N26" s="15">
        <f t="shared" si="1"/>
        <v>2820</v>
      </c>
      <c r="O26" s="2">
        <v>350</v>
      </c>
      <c r="P26" s="17">
        <v>16</v>
      </c>
      <c r="Q26" s="28">
        <f t="shared" si="2"/>
        <v>5600</v>
      </c>
      <c r="R26" s="27">
        <v>270</v>
      </c>
      <c r="S26" s="6">
        <v>32</v>
      </c>
      <c r="T26" s="15">
        <f t="shared" si="3"/>
        <v>8640</v>
      </c>
      <c r="U26" s="12">
        <v>1000</v>
      </c>
      <c r="V26" s="6"/>
      <c r="W26" s="14">
        <f t="shared" si="4"/>
        <v>0</v>
      </c>
      <c r="X26" s="35">
        <f t="shared" si="8"/>
        <v>109700</v>
      </c>
    </row>
    <row r="27" spans="1:26" ht="20.100000000000001" customHeight="1" x14ac:dyDescent="0.15">
      <c r="A27" s="1">
        <v>23</v>
      </c>
      <c r="B27" s="1" t="s">
        <v>46</v>
      </c>
      <c r="C27" s="2" t="s">
        <v>56</v>
      </c>
      <c r="D27" s="35"/>
      <c r="E27" s="5"/>
      <c r="F27" s="14">
        <f t="shared" si="5"/>
        <v>0</v>
      </c>
      <c r="G27" s="14">
        <f t="shared" ref="G27" si="45">E27*5890</f>
        <v>0</v>
      </c>
      <c r="H27" s="31">
        <f t="shared" ref="H27" si="46">G27-F27</f>
        <v>0</v>
      </c>
      <c r="I27" s="2">
        <v>300</v>
      </c>
      <c r="J27" s="5">
        <v>21</v>
      </c>
      <c r="K27" s="14">
        <f t="shared" si="0"/>
        <v>6300</v>
      </c>
      <c r="L27" s="2">
        <v>940</v>
      </c>
      <c r="M27" s="6">
        <v>1</v>
      </c>
      <c r="N27" s="15">
        <f t="shared" si="1"/>
        <v>940</v>
      </c>
      <c r="O27" s="2">
        <v>350</v>
      </c>
      <c r="P27" s="17"/>
      <c r="Q27" s="28"/>
      <c r="R27" s="27">
        <v>270</v>
      </c>
      <c r="S27" s="6">
        <v>41</v>
      </c>
      <c r="T27" s="15">
        <f t="shared" si="3"/>
        <v>11070</v>
      </c>
      <c r="U27" s="12">
        <v>1000</v>
      </c>
      <c r="V27" s="6"/>
      <c r="W27" s="14">
        <f t="shared" si="4"/>
        <v>0</v>
      </c>
      <c r="X27" s="11"/>
    </row>
    <row r="28" spans="1:26" x14ac:dyDescent="0.15">
      <c r="A28" s="1"/>
      <c r="B28" s="1"/>
      <c r="C28" s="1"/>
      <c r="D28" s="1"/>
      <c r="E28" s="1"/>
      <c r="F28" s="12">
        <f>SUM(F5:F25)</f>
        <v>1851280</v>
      </c>
      <c r="G28" s="12"/>
      <c r="H28" s="12">
        <f>SUM(H6:H27)</f>
        <v>15050</v>
      </c>
      <c r="I28" s="12"/>
      <c r="J28" s="12"/>
      <c r="K28" s="12">
        <f>SUM(K5:K25)</f>
        <v>10500</v>
      </c>
      <c r="L28" s="12"/>
      <c r="M28" s="12"/>
      <c r="N28" s="12">
        <f>SUM(N5:N25)</f>
        <v>35720</v>
      </c>
      <c r="O28" s="12"/>
      <c r="P28" s="12"/>
      <c r="Q28" s="12">
        <f>SUM(Q5:Q25)</f>
        <v>53120</v>
      </c>
      <c r="R28" s="12"/>
      <c r="S28" s="1"/>
      <c r="T28" s="12">
        <f>SUM(T5:T25)</f>
        <v>126900</v>
      </c>
      <c r="U28" s="1"/>
      <c r="V28" s="1"/>
      <c r="W28" s="12">
        <f>SUM(W5:W25)</f>
        <v>0</v>
      </c>
      <c r="X28" s="12">
        <f>SUM(X6:X27)</f>
        <v>2134100</v>
      </c>
    </row>
    <row r="30" spans="1:26" ht="13.5" customHeight="1" x14ac:dyDescent="0.15">
      <c r="B30" s="25"/>
      <c r="C30" s="25"/>
      <c r="D30" s="25"/>
      <c r="E30" s="25"/>
      <c r="F30" s="25"/>
      <c r="G30" s="25"/>
      <c r="H30" s="25"/>
      <c r="J30" s="25"/>
      <c r="K30" s="26"/>
      <c r="L30" s="25"/>
      <c r="M30" s="67"/>
      <c r="N30" s="67"/>
      <c r="O30" s="68"/>
      <c r="P30" s="68"/>
      <c r="Q30" s="7"/>
      <c r="R30" s="7"/>
      <c r="S30" s="7"/>
      <c r="T30" s="7"/>
      <c r="U30" s="69">
        <f>X28</f>
        <v>2134100</v>
      </c>
      <c r="V30" s="69"/>
      <c r="W30" s="69"/>
      <c r="X30" s="69"/>
      <c r="Y30" s="22"/>
      <c r="Z30" s="22"/>
    </row>
    <row r="31" spans="1:26" ht="13.5" customHeight="1" x14ac:dyDescent="0.15">
      <c r="B31" s="22"/>
      <c r="C31" s="22"/>
      <c r="D31" s="25"/>
      <c r="E31" s="25"/>
      <c r="F31" s="25"/>
      <c r="G31" s="25"/>
      <c r="H31" s="25"/>
      <c r="J31" s="25"/>
      <c r="K31" s="26"/>
      <c r="L31" s="25"/>
      <c r="M31" s="67"/>
      <c r="N31" s="67"/>
      <c r="O31" s="68"/>
      <c r="P31" s="68"/>
      <c r="Q31" s="8"/>
      <c r="R31" s="8"/>
      <c r="S31" s="8"/>
      <c r="T31" s="8"/>
      <c r="U31" s="69"/>
      <c r="V31" s="69"/>
      <c r="W31" s="69"/>
      <c r="X31" s="69"/>
      <c r="Y31" s="23"/>
      <c r="Z31" s="22"/>
    </row>
    <row r="32" spans="1:26" ht="13.5" customHeight="1" x14ac:dyDescent="0.15">
      <c r="U32" s="69"/>
      <c r="V32" s="69"/>
      <c r="W32" s="69"/>
      <c r="X32" s="69"/>
      <c r="Y32" s="23"/>
      <c r="Z32" s="22"/>
    </row>
    <row r="33" spans="20:26" ht="13.5" customHeight="1" x14ac:dyDescent="0.15">
      <c r="T33" s="22"/>
      <c r="U33" s="22"/>
      <c r="V33" s="23"/>
      <c r="W33" s="23"/>
      <c r="X33" s="23"/>
      <c r="Y33" s="23"/>
      <c r="Z33" s="22"/>
    </row>
    <row r="34" spans="20:26" x14ac:dyDescent="0.15">
      <c r="T34" s="22"/>
      <c r="U34" s="22"/>
      <c r="V34" s="22"/>
      <c r="W34" s="22"/>
      <c r="X34" s="22"/>
      <c r="Y34" s="22" t="s">
        <v>65</v>
      </c>
      <c r="Z34" s="22"/>
    </row>
    <row r="35" spans="20:26" x14ac:dyDescent="0.15">
      <c r="T35" s="22"/>
      <c r="U35" s="22"/>
      <c r="V35" s="22"/>
      <c r="W35" s="22" t="s">
        <v>60</v>
      </c>
      <c r="X35" s="43">
        <f>X6+X7+X18+X21</f>
        <v>426560</v>
      </c>
      <c r="Y35" s="38">
        <f>X35-H27.7前!X35</f>
        <v>42900</v>
      </c>
      <c r="Z35" s="22"/>
    </row>
    <row r="36" spans="20:26" x14ac:dyDescent="0.15">
      <c r="W36" s="22" t="s">
        <v>61</v>
      </c>
      <c r="X36" s="43">
        <f>X8+X11+X13+X14+X17+X19+X20+X22+X15+X23+X26</f>
        <v>1055340</v>
      </c>
      <c r="Y36" s="38">
        <f>X36-H27.7前!X36</f>
        <v>105950</v>
      </c>
    </row>
    <row r="37" spans="20:26" x14ac:dyDescent="0.15">
      <c r="W37" s="22" t="s">
        <v>62</v>
      </c>
      <c r="X37" s="43">
        <f>X24</f>
        <v>118600</v>
      </c>
      <c r="Y37" s="38">
        <f>X37-H27.7前!X37</f>
        <v>11700</v>
      </c>
    </row>
    <row r="38" spans="20:26" x14ac:dyDescent="0.15">
      <c r="W38" s="22" t="s">
        <v>63</v>
      </c>
      <c r="X38" s="43">
        <f>X9+X10</f>
        <v>268640</v>
      </c>
      <c r="Y38" s="38">
        <f>X38-H27.7前!X38</f>
        <v>29900</v>
      </c>
    </row>
    <row r="39" spans="20:26" x14ac:dyDescent="0.15">
      <c r="W39" s="22" t="s">
        <v>64</v>
      </c>
      <c r="X39" s="43">
        <f>X12+X25</f>
        <v>264960</v>
      </c>
      <c r="Y39" s="38">
        <f>X39-H27.7前!X39</f>
        <v>26000</v>
      </c>
    </row>
    <row r="40" spans="20:26" x14ac:dyDescent="0.15">
      <c r="X40" s="39">
        <f>SUBTOTAL(9,X35:X39)</f>
        <v>2134100</v>
      </c>
      <c r="Y40" s="38">
        <f>X40-H27.7前!X40</f>
        <v>216450</v>
      </c>
    </row>
    <row r="41" spans="20:26" x14ac:dyDescent="0.15">
      <c r="X41" s="39"/>
    </row>
    <row r="44" spans="20:26" x14ac:dyDescent="0.15">
      <c r="X44" s="40"/>
    </row>
  </sheetData>
  <autoFilter ref="A4:Z28"/>
  <mergeCells count="29">
    <mergeCell ref="V5:V6"/>
    <mergeCell ref="W5:W6"/>
    <mergeCell ref="M30:N30"/>
    <mergeCell ref="O30:P30"/>
    <mergeCell ref="U30:X32"/>
    <mergeCell ref="M31:N31"/>
    <mergeCell ref="O31:P31"/>
    <mergeCell ref="M5:M6"/>
    <mergeCell ref="N5:N6"/>
    <mergeCell ref="R5:R6"/>
    <mergeCell ref="S5:S6"/>
    <mergeCell ref="T5:T6"/>
    <mergeCell ref="U5:U6"/>
    <mergeCell ref="U3:W3"/>
    <mergeCell ref="X3:X4"/>
    <mergeCell ref="B5:B6"/>
    <mergeCell ref="D5:D6"/>
    <mergeCell ref="E5:E6"/>
    <mergeCell ref="F5:F6"/>
    <mergeCell ref="I5:I6"/>
    <mergeCell ref="J5:J6"/>
    <mergeCell ref="K5:K6"/>
    <mergeCell ref="L5:L6"/>
    <mergeCell ref="A2:B3"/>
    <mergeCell ref="D3:F3"/>
    <mergeCell ref="I3:K3"/>
    <mergeCell ref="L3:N3"/>
    <mergeCell ref="O3:Q3"/>
    <mergeCell ref="R3:T3"/>
  </mergeCells>
  <phoneticPr fontId="2"/>
  <pageMargins left="0.51181102362204722" right="0" top="0.35433070866141736" bottom="0.35433070866141736" header="0.31496062992125984" footer="0.31496062992125984"/>
  <pageSetup paperSize="9" scale="86" orientation="landscape" r:id="rId1"/>
  <headerFooter>
    <oddFooter>&amp;Rカイト御調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H27.5前</vt:lpstr>
      <vt:lpstr>H27.6前</vt:lpstr>
      <vt:lpstr>H27.7前</vt:lpstr>
      <vt:lpstr>H27.5後</vt:lpstr>
      <vt:lpstr>H27.6後</vt:lpstr>
      <vt:lpstr>H27.7後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2016-02-09T08:57:28Z</cp:lastPrinted>
  <dcterms:created xsi:type="dcterms:W3CDTF">2015-03-10T00:53:59Z</dcterms:created>
  <dcterms:modified xsi:type="dcterms:W3CDTF">2016-02-09T09:57:31Z</dcterms:modified>
</cp:coreProperties>
</file>