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5" windowWidth="18180" windowHeight="12120" firstSheet="2" activeTab="6"/>
  </bookViews>
  <sheets>
    <sheet name="表紙" sheetId="7" r:id="rId1"/>
    <sheet name="平成26年度" sheetId="1" r:id="rId2"/>
    <sheet name="平成27年度" sheetId="2" r:id="rId3"/>
    <sheet name="ＰＬＨ26年度" sheetId="3" r:id="rId4"/>
    <sheet name="ＰＬＨ２７年度" sheetId="4" r:id="rId5"/>
    <sheet name="財産目録" sheetId="5" r:id="rId6"/>
    <sheet name="事業計画書" sheetId="6" r:id="rId7"/>
  </sheets>
  <calcPr calcId="145621"/>
</workbook>
</file>

<file path=xl/calcChain.xml><?xml version="1.0" encoding="utf-8"?>
<calcChain xmlns="http://schemas.openxmlformats.org/spreadsheetml/2006/main">
  <c r="B31" i="4" l="1"/>
  <c r="B28" i="4"/>
  <c r="D32" i="4" s="1"/>
  <c r="B16" i="4"/>
  <c r="B13" i="4"/>
  <c r="C20" i="4" s="1"/>
  <c r="D21" i="4" s="1"/>
  <c r="C8" i="4"/>
  <c r="B8" i="4"/>
  <c r="D36" i="3"/>
  <c r="B31" i="3"/>
  <c r="B28" i="3"/>
  <c r="D32" i="3"/>
  <c r="D37" i="3" s="1"/>
  <c r="B16" i="3"/>
  <c r="B13" i="3"/>
  <c r="C20" i="3"/>
  <c r="C8" i="3"/>
  <c r="B8" i="3"/>
  <c r="D25" i="2"/>
  <c r="D23" i="2"/>
  <c r="D19" i="2"/>
  <c r="E36" i="2" s="1"/>
  <c r="D16" i="2"/>
  <c r="E17" i="2"/>
  <c r="E38" i="2" s="1"/>
  <c r="C35" i="4" s="1"/>
  <c r="D36" i="4" s="1"/>
  <c r="D9" i="2"/>
  <c r="E11" i="2"/>
  <c r="E12" i="2"/>
  <c r="E6" i="2"/>
  <c r="D29" i="1"/>
  <c r="D25" i="1"/>
  <c r="D19" i="1"/>
  <c r="E36" i="1" s="1"/>
  <c r="E38" i="1" s="1"/>
  <c r="D16" i="1"/>
  <c r="E17" i="1"/>
  <c r="D9" i="1"/>
  <c r="E11" i="1" s="1"/>
  <c r="E6" i="1"/>
  <c r="D21" i="3"/>
  <c r="D37" i="4" l="1"/>
</calcChain>
</file>

<file path=xl/sharedStrings.xml><?xml version="1.0" encoding="utf-8"?>
<sst xmlns="http://schemas.openxmlformats.org/spreadsheetml/2006/main" count="287" uniqueCount="165">
  <si>
    <t>平成26年度収支予算書</t>
    <rPh sb="0" eb="2">
      <t>ヘイセイ</t>
    </rPh>
    <rPh sb="4" eb="6">
      <t>ネンド</t>
    </rPh>
    <rPh sb="6" eb="8">
      <t>シュウシ</t>
    </rPh>
    <rPh sb="8" eb="11">
      <t>ヨサンショ</t>
    </rPh>
    <phoneticPr fontId="2"/>
  </si>
  <si>
    <t>科目</t>
    <rPh sb="0" eb="2">
      <t>カモク</t>
    </rPh>
    <phoneticPr fontId="2"/>
  </si>
  <si>
    <t>備考</t>
    <rPh sb="0" eb="2">
      <t>ビコウ</t>
    </rPh>
    <phoneticPr fontId="2"/>
  </si>
  <si>
    <t>就労支援活動による収支</t>
    <rPh sb="0" eb="2">
      <t>シュウロウ</t>
    </rPh>
    <rPh sb="2" eb="4">
      <t>シエン</t>
    </rPh>
    <rPh sb="4" eb="6">
      <t>カツドウ</t>
    </rPh>
    <rPh sb="9" eb="11">
      <t>シュウシ</t>
    </rPh>
    <phoneticPr fontId="2"/>
  </si>
  <si>
    <t>就労継続支援事業収入</t>
    <rPh sb="0" eb="2">
      <t>シュウロウ</t>
    </rPh>
    <rPh sb="2" eb="4">
      <t>ケイゾク</t>
    </rPh>
    <rPh sb="4" eb="6">
      <t>シエン</t>
    </rPh>
    <rPh sb="6" eb="8">
      <t>ジギョウ</t>
    </rPh>
    <rPh sb="8" eb="10">
      <t>シュウニュウ</t>
    </rPh>
    <phoneticPr fontId="2"/>
  </si>
  <si>
    <t>作業収入</t>
    <rPh sb="0" eb="2">
      <t>サギョウ</t>
    </rPh>
    <rPh sb="2" eb="4">
      <t>シュウニュウ</t>
    </rPh>
    <phoneticPr fontId="2"/>
  </si>
  <si>
    <t>収入計</t>
    <rPh sb="0" eb="2">
      <t>シュウニュウ</t>
    </rPh>
    <rPh sb="2" eb="3">
      <t>ケイ</t>
    </rPh>
    <phoneticPr fontId="2"/>
  </si>
  <si>
    <t>就労継続支援事業支出</t>
    <rPh sb="0" eb="2">
      <t>シュウロウ</t>
    </rPh>
    <rPh sb="2" eb="4">
      <t>ケイゾク</t>
    </rPh>
    <rPh sb="4" eb="6">
      <t>シエン</t>
    </rPh>
    <rPh sb="6" eb="8">
      <t>ジギョウ</t>
    </rPh>
    <rPh sb="8" eb="10">
      <t>シシュツ</t>
    </rPh>
    <phoneticPr fontId="2"/>
  </si>
  <si>
    <t>利用者給料</t>
    <rPh sb="0" eb="3">
      <t>リヨウシャ</t>
    </rPh>
    <rPh sb="3" eb="5">
      <t>キュウリョウ</t>
    </rPh>
    <phoneticPr fontId="2"/>
  </si>
  <si>
    <t>利用者１０名×日給1,300円×21日×11か月</t>
    <rPh sb="0" eb="3">
      <t>リヨウシャ</t>
    </rPh>
    <rPh sb="5" eb="6">
      <t>メイ</t>
    </rPh>
    <rPh sb="7" eb="9">
      <t>ニッキュウ</t>
    </rPh>
    <rPh sb="14" eb="15">
      <t>エン</t>
    </rPh>
    <rPh sb="18" eb="19">
      <t>ニチ</t>
    </rPh>
    <rPh sb="23" eb="24">
      <t>ゲツ</t>
    </rPh>
    <phoneticPr fontId="2"/>
  </si>
  <si>
    <t>経費</t>
    <rPh sb="0" eb="2">
      <t>ケイヒ</t>
    </rPh>
    <phoneticPr fontId="2"/>
  </si>
  <si>
    <t>パチンゴ台仕入＠10円　他消耗品</t>
    <rPh sb="4" eb="5">
      <t>ダイ</t>
    </rPh>
    <rPh sb="5" eb="7">
      <t>シイレ</t>
    </rPh>
    <rPh sb="10" eb="11">
      <t>エン</t>
    </rPh>
    <rPh sb="12" eb="13">
      <t>ホカ</t>
    </rPh>
    <rPh sb="13" eb="15">
      <t>ショウモウ</t>
    </rPh>
    <rPh sb="15" eb="16">
      <t>ヒン</t>
    </rPh>
    <phoneticPr fontId="2"/>
  </si>
  <si>
    <t>支出計</t>
    <rPh sb="0" eb="2">
      <t>シシュツ</t>
    </rPh>
    <rPh sb="2" eb="3">
      <t>ケイ</t>
    </rPh>
    <phoneticPr fontId="2"/>
  </si>
  <si>
    <t>収支差額</t>
    <rPh sb="0" eb="2">
      <t>シュウシ</t>
    </rPh>
    <rPh sb="2" eb="4">
      <t>サガク</t>
    </rPh>
    <phoneticPr fontId="2"/>
  </si>
  <si>
    <t>福祉事業活動による収支</t>
    <rPh sb="0" eb="2">
      <t>フクシ</t>
    </rPh>
    <rPh sb="2" eb="4">
      <t>ジギョウ</t>
    </rPh>
    <rPh sb="4" eb="6">
      <t>カツドウ</t>
    </rPh>
    <rPh sb="9" eb="11">
      <t>シュウシ</t>
    </rPh>
    <phoneticPr fontId="2"/>
  </si>
  <si>
    <t>障がい者自立支援法に基づく障害福祉サービス事業費</t>
    <rPh sb="0" eb="1">
      <t>ショウ</t>
    </rPh>
    <rPh sb="3" eb="4">
      <t>シャ</t>
    </rPh>
    <rPh sb="4" eb="6">
      <t>ジリツ</t>
    </rPh>
    <rPh sb="6" eb="8">
      <t>シエン</t>
    </rPh>
    <rPh sb="8" eb="9">
      <t>ホウ</t>
    </rPh>
    <rPh sb="10" eb="11">
      <t>モト</t>
    </rPh>
    <rPh sb="13" eb="15">
      <t>ショウガイ</t>
    </rPh>
    <rPh sb="15" eb="17">
      <t>フクシ</t>
    </rPh>
    <rPh sb="21" eb="23">
      <t>ジギョウ</t>
    </rPh>
    <rPh sb="23" eb="24">
      <t>ヒ</t>
    </rPh>
    <phoneticPr fontId="2"/>
  </si>
  <si>
    <t>訓練等給付費収入</t>
    <rPh sb="0" eb="2">
      <t>クンレン</t>
    </rPh>
    <rPh sb="2" eb="3">
      <t>ナド</t>
    </rPh>
    <rPh sb="3" eb="5">
      <t>キュウフ</t>
    </rPh>
    <rPh sb="5" eb="6">
      <t>ヒ</t>
    </rPh>
    <rPh sb="6" eb="8">
      <t>シュウニュウ</t>
    </rPh>
    <phoneticPr fontId="2"/>
  </si>
  <si>
    <t>10人×5,850円×21日×11か月</t>
    <rPh sb="2" eb="3">
      <t>ニン</t>
    </rPh>
    <rPh sb="9" eb="10">
      <t>エン</t>
    </rPh>
    <rPh sb="13" eb="14">
      <t>ニチ</t>
    </rPh>
    <rPh sb="18" eb="19">
      <t>ゲツ</t>
    </rPh>
    <phoneticPr fontId="2"/>
  </si>
  <si>
    <t>管理費支出</t>
    <rPh sb="0" eb="2">
      <t>カンリ</t>
    </rPh>
    <rPh sb="2" eb="3">
      <t>ヒ</t>
    </rPh>
    <rPh sb="3" eb="5">
      <t>シシュツ</t>
    </rPh>
    <phoneticPr fontId="2"/>
  </si>
  <si>
    <t>人件費</t>
    <rPh sb="0" eb="3">
      <t>ジンケンヒ</t>
    </rPh>
    <phoneticPr fontId="2"/>
  </si>
  <si>
    <t>管理者　16万円/月×11か月</t>
    <rPh sb="0" eb="3">
      <t>カンリシャ</t>
    </rPh>
    <rPh sb="6" eb="8">
      <t>マンエン</t>
    </rPh>
    <rPh sb="9" eb="10">
      <t>ツキ</t>
    </rPh>
    <rPh sb="14" eb="15">
      <t>ゲツ</t>
    </rPh>
    <phoneticPr fontId="2"/>
  </si>
  <si>
    <t>ｻｰﾋﾞｽ管理責任者　15万円/月×11か月</t>
    <rPh sb="5" eb="7">
      <t>カンリ</t>
    </rPh>
    <rPh sb="7" eb="9">
      <t>セキニン</t>
    </rPh>
    <rPh sb="9" eb="10">
      <t>シャ</t>
    </rPh>
    <rPh sb="13" eb="15">
      <t>マンエン</t>
    </rPh>
    <rPh sb="16" eb="17">
      <t>ツキ</t>
    </rPh>
    <rPh sb="21" eb="22">
      <t>ゲツ</t>
    </rPh>
    <phoneticPr fontId="2"/>
  </si>
  <si>
    <t>支援員・アルバイト40万円/月×11か月</t>
    <rPh sb="0" eb="2">
      <t>シエン</t>
    </rPh>
    <rPh sb="2" eb="3">
      <t>イン</t>
    </rPh>
    <rPh sb="11" eb="13">
      <t>マンエン</t>
    </rPh>
    <rPh sb="14" eb="15">
      <t>ツキ</t>
    </rPh>
    <rPh sb="19" eb="20">
      <t>ゲツ</t>
    </rPh>
    <phoneticPr fontId="2"/>
  </si>
  <si>
    <t>事務員20万円×11ヶ月</t>
    <rPh sb="0" eb="3">
      <t>ジムイン</t>
    </rPh>
    <rPh sb="5" eb="7">
      <t>マンエン</t>
    </rPh>
    <rPh sb="11" eb="12">
      <t>ゲツ</t>
    </rPh>
    <phoneticPr fontId="2"/>
  </si>
  <si>
    <t>福利厚生費</t>
    <rPh sb="0" eb="2">
      <t>フクリ</t>
    </rPh>
    <rPh sb="2" eb="5">
      <t>コウセイヒ</t>
    </rPh>
    <phoneticPr fontId="2"/>
  </si>
  <si>
    <t>社会保険・健康診断等4万円/月×11か月</t>
    <rPh sb="0" eb="2">
      <t>シャカイ</t>
    </rPh>
    <rPh sb="2" eb="4">
      <t>ホケン</t>
    </rPh>
    <rPh sb="5" eb="7">
      <t>ケンコウ</t>
    </rPh>
    <rPh sb="7" eb="9">
      <t>シンダン</t>
    </rPh>
    <rPh sb="9" eb="10">
      <t>トウ</t>
    </rPh>
    <rPh sb="11" eb="13">
      <t>マンエン</t>
    </rPh>
    <rPh sb="14" eb="15">
      <t>ツキ</t>
    </rPh>
    <rPh sb="19" eb="20">
      <t>ゲツ</t>
    </rPh>
    <phoneticPr fontId="2"/>
  </si>
  <si>
    <t>保険料</t>
    <rPh sb="0" eb="3">
      <t>ホケンリョウ</t>
    </rPh>
    <phoneticPr fontId="2"/>
  </si>
  <si>
    <t>損害賠償保険（収支により変動）</t>
    <rPh sb="0" eb="2">
      <t>ソンガイ</t>
    </rPh>
    <rPh sb="2" eb="4">
      <t>バイショウ</t>
    </rPh>
    <rPh sb="4" eb="6">
      <t>ホケン</t>
    </rPh>
    <rPh sb="7" eb="9">
      <t>シュウシ</t>
    </rPh>
    <rPh sb="12" eb="14">
      <t>ヘンドウ</t>
    </rPh>
    <phoneticPr fontId="2"/>
  </si>
  <si>
    <t>通信費</t>
    <rPh sb="0" eb="3">
      <t>ツウシンヒ</t>
    </rPh>
    <phoneticPr fontId="2"/>
  </si>
  <si>
    <t>電話・インターネット・携帯電話等）2万円/月×11か月</t>
    <rPh sb="0" eb="2">
      <t>デンワ</t>
    </rPh>
    <rPh sb="11" eb="13">
      <t>ケイタイ</t>
    </rPh>
    <rPh sb="13" eb="15">
      <t>デンワ</t>
    </rPh>
    <rPh sb="15" eb="16">
      <t>トウ</t>
    </rPh>
    <rPh sb="18" eb="20">
      <t>マンエン</t>
    </rPh>
    <rPh sb="21" eb="22">
      <t>ツキ</t>
    </rPh>
    <rPh sb="26" eb="27">
      <t>ゲツ</t>
    </rPh>
    <phoneticPr fontId="2"/>
  </si>
  <si>
    <t>ｼｽﾃﾑ利用料</t>
    <rPh sb="4" eb="6">
      <t>リヨウ</t>
    </rPh>
    <rPh sb="6" eb="7">
      <t>リョウ</t>
    </rPh>
    <phoneticPr fontId="2"/>
  </si>
  <si>
    <t>介護システムＡＳＰ10万円×11か月</t>
    <rPh sb="0" eb="2">
      <t>カイゴ</t>
    </rPh>
    <rPh sb="11" eb="13">
      <t>マンエン</t>
    </rPh>
    <rPh sb="17" eb="18">
      <t>ゲツ</t>
    </rPh>
    <phoneticPr fontId="2"/>
  </si>
  <si>
    <t>賃借料</t>
    <rPh sb="0" eb="3">
      <t>チンシャクリョウ</t>
    </rPh>
    <phoneticPr fontId="2"/>
  </si>
  <si>
    <t>家賃2万円/月×11か月</t>
    <rPh sb="0" eb="2">
      <t>ヤチン</t>
    </rPh>
    <rPh sb="3" eb="5">
      <t>マンエン</t>
    </rPh>
    <rPh sb="6" eb="7">
      <t>ツキ</t>
    </rPh>
    <rPh sb="11" eb="12">
      <t>ゲツ</t>
    </rPh>
    <phoneticPr fontId="2"/>
  </si>
  <si>
    <t>研修費</t>
    <rPh sb="0" eb="3">
      <t>ケンシュウヒ</t>
    </rPh>
    <phoneticPr fontId="2"/>
  </si>
  <si>
    <t>講習会など</t>
    <rPh sb="0" eb="3">
      <t>コウシュウカイ</t>
    </rPh>
    <phoneticPr fontId="2"/>
  </si>
  <si>
    <t>水道光熱費</t>
    <rPh sb="0" eb="2">
      <t>スイドウ</t>
    </rPh>
    <rPh sb="2" eb="5">
      <t>コウネツヒ</t>
    </rPh>
    <phoneticPr fontId="2"/>
  </si>
  <si>
    <t>電気ガス水道3万円/月×11か月</t>
    <rPh sb="0" eb="2">
      <t>デンキ</t>
    </rPh>
    <rPh sb="4" eb="6">
      <t>スイドウ</t>
    </rPh>
    <rPh sb="7" eb="9">
      <t>マンエン</t>
    </rPh>
    <rPh sb="10" eb="11">
      <t>ツキ</t>
    </rPh>
    <rPh sb="15" eb="16">
      <t>ゲツ</t>
    </rPh>
    <phoneticPr fontId="2"/>
  </si>
  <si>
    <t>消耗品費</t>
    <rPh sb="0" eb="2">
      <t>ショウモウ</t>
    </rPh>
    <rPh sb="2" eb="3">
      <t>ヒン</t>
    </rPh>
    <rPh sb="3" eb="4">
      <t>ヒ</t>
    </rPh>
    <phoneticPr fontId="2"/>
  </si>
  <si>
    <t>事務用品等1万円/月×11か月</t>
    <rPh sb="0" eb="2">
      <t>ジム</t>
    </rPh>
    <rPh sb="2" eb="4">
      <t>ヨウヒン</t>
    </rPh>
    <rPh sb="4" eb="5">
      <t>トウ</t>
    </rPh>
    <rPh sb="6" eb="8">
      <t>マンエン</t>
    </rPh>
    <phoneticPr fontId="2"/>
  </si>
  <si>
    <t>車両関連費</t>
    <rPh sb="0" eb="2">
      <t>シャリョウ</t>
    </rPh>
    <rPh sb="2" eb="4">
      <t>カンレン</t>
    </rPh>
    <rPh sb="4" eb="5">
      <t>ヒ</t>
    </rPh>
    <phoneticPr fontId="2"/>
  </si>
  <si>
    <t>燃料等万円２/月×11か月</t>
    <rPh sb="0" eb="2">
      <t>ネンリョウ</t>
    </rPh>
    <rPh sb="2" eb="3">
      <t>トウ</t>
    </rPh>
    <phoneticPr fontId="2"/>
  </si>
  <si>
    <t>修繕費</t>
    <rPh sb="0" eb="3">
      <t>シュウゼンヒ</t>
    </rPh>
    <phoneticPr fontId="2"/>
  </si>
  <si>
    <t>建物修理等２/月×11か月</t>
    <rPh sb="0" eb="2">
      <t>タテモノ</t>
    </rPh>
    <rPh sb="2" eb="4">
      <t>シュウリ</t>
    </rPh>
    <rPh sb="4" eb="5">
      <t>トウ</t>
    </rPh>
    <phoneticPr fontId="2"/>
  </si>
  <si>
    <t>雑費</t>
    <rPh sb="0" eb="2">
      <t>ザッピ</t>
    </rPh>
    <phoneticPr fontId="2"/>
  </si>
  <si>
    <t>1万円/月×11か月</t>
  </si>
  <si>
    <t>予備費</t>
    <rPh sb="0" eb="3">
      <t>ヨビヒ</t>
    </rPh>
    <phoneticPr fontId="2"/>
  </si>
  <si>
    <t>3万円/月×11か月</t>
    <phoneticPr fontId="2"/>
  </si>
  <si>
    <t>当期正味財産増減額</t>
    <rPh sb="0" eb="2">
      <t>トウキ</t>
    </rPh>
    <rPh sb="2" eb="4">
      <t>ショウミ</t>
    </rPh>
    <rPh sb="4" eb="6">
      <t>ザイサン</t>
    </rPh>
    <rPh sb="6" eb="9">
      <t>ゾウゲンガク</t>
    </rPh>
    <phoneticPr fontId="2"/>
  </si>
  <si>
    <t>平成27年度収支予算書</t>
    <rPh sb="0" eb="2">
      <t>ヘイセイ</t>
    </rPh>
    <rPh sb="4" eb="6">
      <t>ネンド</t>
    </rPh>
    <rPh sb="6" eb="8">
      <t>シュウシ</t>
    </rPh>
    <rPh sb="8" eb="11">
      <t>ヨサンショ</t>
    </rPh>
    <phoneticPr fontId="2"/>
  </si>
  <si>
    <t>平成27年４月1日から平成28年3月31日</t>
    <rPh sb="0" eb="2">
      <t>ヘイセイ</t>
    </rPh>
    <rPh sb="4" eb="5">
      <t>ネン</t>
    </rPh>
    <rPh sb="6" eb="7">
      <t>ガツ</t>
    </rPh>
    <rPh sb="8" eb="9">
      <t>ニチ</t>
    </rPh>
    <rPh sb="11" eb="13">
      <t>ヘイセイ</t>
    </rPh>
    <rPh sb="15" eb="16">
      <t>ネン</t>
    </rPh>
    <rPh sb="17" eb="18">
      <t>ガツ</t>
    </rPh>
    <rPh sb="20" eb="21">
      <t>ニチ</t>
    </rPh>
    <phoneticPr fontId="2"/>
  </si>
  <si>
    <t>利用者１８名×日給1,300円×21日×12か月（平均）</t>
    <rPh sb="0" eb="3">
      <t>リヨウシャ</t>
    </rPh>
    <rPh sb="5" eb="6">
      <t>メイ</t>
    </rPh>
    <rPh sb="7" eb="9">
      <t>ニッキュウ</t>
    </rPh>
    <rPh sb="14" eb="15">
      <t>エン</t>
    </rPh>
    <rPh sb="18" eb="19">
      <t>ニチ</t>
    </rPh>
    <rPh sb="25" eb="27">
      <t>ヘイキン</t>
    </rPh>
    <phoneticPr fontId="2"/>
  </si>
  <si>
    <t>10人×5,850円×21日×12か月</t>
    <rPh sb="2" eb="3">
      <t>ニン</t>
    </rPh>
    <rPh sb="9" eb="10">
      <t>エン</t>
    </rPh>
    <rPh sb="13" eb="14">
      <t>ニチ</t>
    </rPh>
    <phoneticPr fontId="2"/>
  </si>
  <si>
    <t>管理者　32万円/月×12か月</t>
    <rPh sb="0" eb="3">
      <t>カンリシャ</t>
    </rPh>
    <rPh sb="6" eb="8">
      <t>マンエン</t>
    </rPh>
    <rPh sb="9" eb="10">
      <t>ツキ</t>
    </rPh>
    <phoneticPr fontId="2"/>
  </si>
  <si>
    <t>ｻｰﾋﾞｽ管理責任者　30万円/月×12か月</t>
    <rPh sb="5" eb="7">
      <t>カンリ</t>
    </rPh>
    <rPh sb="7" eb="9">
      <t>セキニン</t>
    </rPh>
    <rPh sb="9" eb="10">
      <t>シャ</t>
    </rPh>
    <rPh sb="13" eb="15">
      <t>マンエン</t>
    </rPh>
    <rPh sb="16" eb="17">
      <t>ツキ</t>
    </rPh>
    <phoneticPr fontId="2"/>
  </si>
  <si>
    <t>支援員・アルバイト８0万円/月×12か月</t>
    <rPh sb="0" eb="2">
      <t>シエン</t>
    </rPh>
    <rPh sb="2" eb="3">
      <t>イン</t>
    </rPh>
    <rPh sb="11" eb="13">
      <t>マンエン</t>
    </rPh>
    <rPh sb="14" eb="15">
      <t>ツキ</t>
    </rPh>
    <phoneticPr fontId="2"/>
  </si>
  <si>
    <t>事務員20万円×12か月</t>
    <rPh sb="0" eb="3">
      <t>ジムイン</t>
    </rPh>
    <rPh sb="5" eb="7">
      <t>マンエン</t>
    </rPh>
    <phoneticPr fontId="2"/>
  </si>
  <si>
    <t>社会保険・健康診断等８万円/月×12か月</t>
    <rPh sb="0" eb="2">
      <t>シャカイ</t>
    </rPh>
    <rPh sb="2" eb="4">
      <t>ホケン</t>
    </rPh>
    <rPh sb="5" eb="7">
      <t>ケンコウ</t>
    </rPh>
    <rPh sb="7" eb="9">
      <t>シンダン</t>
    </rPh>
    <rPh sb="9" eb="10">
      <t>トウ</t>
    </rPh>
    <rPh sb="11" eb="13">
      <t>マンエン</t>
    </rPh>
    <rPh sb="14" eb="15">
      <t>ツキ</t>
    </rPh>
    <phoneticPr fontId="2"/>
  </si>
  <si>
    <t>電話・インターネット・携帯電話等）３万円/月×12か月</t>
    <rPh sb="0" eb="2">
      <t>デンワ</t>
    </rPh>
    <rPh sb="11" eb="13">
      <t>ケイタイ</t>
    </rPh>
    <rPh sb="13" eb="15">
      <t>デンワ</t>
    </rPh>
    <rPh sb="15" eb="16">
      <t>トウ</t>
    </rPh>
    <rPh sb="18" eb="20">
      <t>マンエン</t>
    </rPh>
    <rPh sb="21" eb="22">
      <t>ツキ</t>
    </rPh>
    <phoneticPr fontId="2"/>
  </si>
  <si>
    <t>介護システムＡＳＰ２0万円×12か月</t>
    <rPh sb="0" eb="2">
      <t>カイゴ</t>
    </rPh>
    <rPh sb="11" eb="13">
      <t>マンエン</t>
    </rPh>
    <phoneticPr fontId="2"/>
  </si>
  <si>
    <t>家賃20万円/月×12か月</t>
    <rPh sb="0" eb="2">
      <t>ヤチン</t>
    </rPh>
    <rPh sb="4" eb="6">
      <t>マンエン</t>
    </rPh>
    <rPh sb="7" eb="8">
      <t>ツキ</t>
    </rPh>
    <phoneticPr fontId="2"/>
  </si>
  <si>
    <t>電気ガス水道3万円/月×12か月</t>
    <rPh sb="0" eb="2">
      <t>デンキ</t>
    </rPh>
    <rPh sb="4" eb="6">
      <t>スイドウ</t>
    </rPh>
    <rPh sb="7" eb="9">
      <t>マンエン</t>
    </rPh>
    <rPh sb="10" eb="11">
      <t>ツキ</t>
    </rPh>
    <phoneticPr fontId="2"/>
  </si>
  <si>
    <t>事務用品等２万円/月×12か月</t>
    <rPh sb="0" eb="2">
      <t>ジム</t>
    </rPh>
    <rPh sb="2" eb="4">
      <t>ヨウヒン</t>
    </rPh>
    <rPh sb="4" eb="5">
      <t>トウ</t>
    </rPh>
    <rPh sb="6" eb="8">
      <t>マンエン</t>
    </rPh>
    <phoneticPr fontId="2"/>
  </si>
  <si>
    <t>燃料等万円３/月×12か月</t>
    <rPh sb="0" eb="2">
      <t>ネンリョウ</t>
    </rPh>
    <rPh sb="2" eb="3">
      <t>トウ</t>
    </rPh>
    <phoneticPr fontId="2"/>
  </si>
  <si>
    <t>建物修理等３/月×12か月</t>
    <rPh sb="0" eb="2">
      <t>タテモノ</t>
    </rPh>
    <rPh sb="2" eb="4">
      <t>シュウリ</t>
    </rPh>
    <rPh sb="4" eb="5">
      <t>トウ</t>
    </rPh>
    <phoneticPr fontId="2"/>
  </si>
  <si>
    <t>2万円/月×12か月</t>
    <phoneticPr fontId="2"/>
  </si>
  <si>
    <t>3万円/月×12か月</t>
  </si>
  <si>
    <t>貸借対照表　予算書</t>
    <rPh sb="0" eb="2">
      <t>タイシャク</t>
    </rPh>
    <rPh sb="2" eb="5">
      <t>タイショウヒョウ</t>
    </rPh>
    <rPh sb="6" eb="9">
      <t>ヨサンショ</t>
    </rPh>
    <phoneticPr fontId="2"/>
  </si>
  <si>
    <t>金額</t>
    <rPh sb="0" eb="2">
      <t>キンガク</t>
    </rPh>
    <phoneticPr fontId="2"/>
  </si>
  <si>
    <t>Ⅰ　資産の部</t>
    <rPh sb="2" eb="4">
      <t>シサン</t>
    </rPh>
    <rPh sb="5" eb="6">
      <t>ブ</t>
    </rPh>
    <phoneticPr fontId="2"/>
  </si>
  <si>
    <t>１．流動資産</t>
    <rPh sb="2" eb="4">
      <t>リュウドウ</t>
    </rPh>
    <rPh sb="4" eb="6">
      <t>シサン</t>
    </rPh>
    <phoneticPr fontId="2"/>
  </si>
  <si>
    <t>現金預金</t>
    <rPh sb="0" eb="2">
      <t>ゲンキン</t>
    </rPh>
    <rPh sb="2" eb="4">
      <t>ヨキン</t>
    </rPh>
    <phoneticPr fontId="2"/>
  </si>
  <si>
    <t>就労継続支援事業預金</t>
    <rPh sb="0" eb="2">
      <t>シュウロウ</t>
    </rPh>
    <rPh sb="2" eb="4">
      <t>ケイゾク</t>
    </rPh>
    <rPh sb="4" eb="6">
      <t>シエン</t>
    </rPh>
    <rPh sb="6" eb="8">
      <t>ジギョウ</t>
    </rPh>
    <rPh sb="8" eb="10">
      <t>ヨキン</t>
    </rPh>
    <phoneticPr fontId="2"/>
  </si>
  <si>
    <t>流動資産合計</t>
    <rPh sb="0" eb="2">
      <t>リュウドウ</t>
    </rPh>
    <rPh sb="2" eb="4">
      <t>シサン</t>
    </rPh>
    <rPh sb="4" eb="6">
      <t>ゴウケイ</t>
    </rPh>
    <phoneticPr fontId="2"/>
  </si>
  <si>
    <t>２．固定資産</t>
    <rPh sb="2" eb="4">
      <t>コテイ</t>
    </rPh>
    <rPh sb="4" eb="6">
      <t>シサン</t>
    </rPh>
    <phoneticPr fontId="2"/>
  </si>
  <si>
    <t>（１）有形固定資産</t>
    <rPh sb="3" eb="5">
      <t>ユウケイ</t>
    </rPh>
    <rPh sb="5" eb="7">
      <t>コテイ</t>
    </rPh>
    <rPh sb="7" eb="9">
      <t>シサン</t>
    </rPh>
    <phoneticPr fontId="2"/>
  </si>
  <si>
    <t>車両運搬具</t>
    <rPh sb="0" eb="2">
      <t>シャリョウ</t>
    </rPh>
    <rPh sb="2" eb="4">
      <t>ウンパン</t>
    </rPh>
    <rPh sb="4" eb="5">
      <t>グ</t>
    </rPh>
    <phoneticPr fontId="2"/>
  </si>
  <si>
    <t>備品等</t>
    <rPh sb="0" eb="2">
      <t>ビヒン</t>
    </rPh>
    <rPh sb="2" eb="3">
      <t>トウ</t>
    </rPh>
    <phoneticPr fontId="2"/>
  </si>
  <si>
    <t>有形固定資産合計</t>
    <rPh sb="6" eb="8">
      <t>ゴウケイ</t>
    </rPh>
    <phoneticPr fontId="2"/>
  </si>
  <si>
    <t>（２）無形固定資産計</t>
    <rPh sb="3" eb="5">
      <t>ムケイ</t>
    </rPh>
    <rPh sb="5" eb="7">
      <t>コテイ</t>
    </rPh>
    <rPh sb="7" eb="9">
      <t>シサン</t>
    </rPh>
    <rPh sb="9" eb="10">
      <t>ケイ</t>
    </rPh>
    <phoneticPr fontId="2"/>
  </si>
  <si>
    <t>ソフトウェア</t>
    <phoneticPr fontId="2"/>
  </si>
  <si>
    <t>無形固定資産合計</t>
    <rPh sb="0" eb="2">
      <t>ムケイ</t>
    </rPh>
    <rPh sb="2" eb="4">
      <t>コテイ</t>
    </rPh>
    <rPh sb="4" eb="6">
      <t>シサン</t>
    </rPh>
    <rPh sb="6" eb="8">
      <t>ゴウケイ</t>
    </rPh>
    <phoneticPr fontId="2"/>
  </si>
  <si>
    <t>（３）投資等その他の資産</t>
    <rPh sb="3" eb="5">
      <t>トウシ</t>
    </rPh>
    <rPh sb="5" eb="6">
      <t>トウ</t>
    </rPh>
    <rPh sb="8" eb="9">
      <t>ホカ</t>
    </rPh>
    <rPh sb="10" eb="12">
      <t>シサン</t>
    </rPh>
    <phoneticPr fontId="2"/>
  </si>
  <si>
    <t>敷金等</t>
    <rPh sb="0" eb="2">
      <t>シキキン</t>
    </rPh>
    <rPh sb="2" eb="3">
      <t>トウ</t>
    </rPh>
    <phoneticPr fontId="2"/>
  </si>
  <si>
    <t>投資等その他の資産計</t>
    <rPh sb="9" eb="10">
      <t>ケイ</t>
    </rPh>
    <phoneticPr fontId="2"/>
  </si>
  <si>
    <t>固定資産合計</t>
    <rPh sb="0" eb="2">
      <t>コテイ</t>
    </rPh>
    <rPh sb="2" eb="4">
      <t>シサン</t>
    </rPh>
    <rPh sb="4" eb="6">
      <t>ゴウケイ</t>
    </rPh>
    <phoneticPr fontId="2"/>
  </si>
  <si>
    <t xml:space="preserve"> 資産合計</t>
    <rPh sb="1" eb="3">
      <t>シサン</t>
    </rPh>
    <rPh sb="3" eb="5">
      <t>ゴウケイ</t>
    </rPh>
    <phoneticPr fontId="2"/>
  </si>
  <si>
    <t>Ⅱ　負債の部</t>
    <rPh sb="2" eb="4">
      <t>フサイ</t>
    </rPh>
    <rPh sb="5" eb="6">
      <t>ブ</t>
    </rPh>
    <phoneticPr fontId="2"/>
  </si>
  <si>
    <t>１．流動負債</t>
    <rPh sb="2" eb="4">
      <t>リュウドウ</t>
    </rPh>
    <rPh sb="4" eb="6">
      <t>フサイ</t>
    </rPh>
    <phoneticPr fontId="2"/>
  </si>
  <si>
    <t>未払金</t>
    <rPh sb="0" eb="2">
      <t>ミハラ</t>
    </rPh>
    <rPh sb="2" eb="3">
      <t>キン</t>
    </rPh>
    <phoneticPr fontId="2"/>
  </si>
  <si>
    <t>前受助成金</t>
    <rPh sb="0" eb="2">
      <t>マエウケ</t>
    </rPh>
    <rPh sb="2" eb="5">
      <t>ジョセイキン</t>
    </rPh>
    <phoneticPr fontId="2"/>
  </si>
  <si>
    <t>預り金</t>
    <rPh sb="0" eb="1">
      <t>アズカ</t>
    </rPh>
    <rPh sb="2" eb="3">
      <t>キン</t>
    </rPh>
    <phoneticPr fontId="2"/>
  </si>
  <si>
    <t>流動負債合計</t>
    <rPh sb="0" eb="2">
      <t>リュウドウ</t>
    </rPh>
    <rPh sb="2" eb="4">
      <t>フサイ</t>
    </rPh>
    <rPh sb="4" eb="6">
      <t>ゴウケイ</t>
    </rPh>
    <phoneticPr fontId="2"/>
  </si>
  <si>
    <t>２．固定負債</t>
    <rPh sb="2" eb="4">
      <t>コテイ</t>
    </rPh>
    <rPh sb="4" eb="6">
      <t>フサイ</t>
    </rPh>
    <phoneticPr fontId="2"/>
  </si>
  <si>
    <t>役員借入金</t>
    <rPh sb="0" eb="2">
      <t>ヤクイン</t>
    </rPh>
    <rPh sb="2" eb="4">
      <t>カリイレ</t>
    </rPh>
    <rPh sb="4" eb="5">
      <t>キン</t>
    </rPh>
    <phoneticPr fontId="2"/>
  </si>
  <si>
    <t>固定負債合計</t>
    <rPh sb="0" eb="2">
      <t>コテイ</t>
    </rPh>
    <rPh sb="2" eb="4">
      <t>フサイ</t>
    </rPh>
    <rPh sb="4" eb="6">
      <t>ゴウケイ</t>
    </rPh>
    <phoneticPr fontId="2"/>
  </si>
  <si>
    <t>　負債合計</t>
    <rPh sb="1" eb="3">
      <t>フサイ</t>
    </rPh>
    <rPh sb="3" eb="5">
      <t>ゴウケイ</t>
    </rPh>
    <phoneticPr fontId="2"/>
  </si>
  <si>
    <t>Ⅲ　正味財産の部</t>
    <rPh sb="2" eb="4">
      <t>ショウミ</t>
    </rPh>
    <rPh sb="4" eb="6">
      <t>ザイサン</t>
    </rPh>
    <rPh sb="7" eb="8">
      <t>ブ</t>
    </rPh>
    <phoneticPr fontId="2"/>
  </si>
  <si>
    <t>　前期繰越正味財産</t>
    <rPh sb="1" eb="3">
      <t>ゼンキ</t>
    </rPh>
    <rPh sb="3" eb="5">
      <t>クリコシ</t>
    </rPh>
    <rPh sb="5" eb="7">
      <t>ショウミ</t>
    </rPh>
    <rPh sb="7" eb="9">
      <t>ザイサン</t>
    </rPh>
    <phoneticPr fontId="2"/>
  </si>
  <si>
    <t>　当期正味財産増減額</t>
    <rPh sb="1" eb="3">
      <t>トウキ</t>
    </rPh>
    <rPh sb="3" eb="5">
      <t>ショウミ</t>
    </rPh>
    <rPh sb="5" eb="7">
      <t>ザイサン</t>
    </rPh>
    <rPh sb="7" eb="10">
      <t>ゾウゲンガク</t>
    </rPh>
    <phoneticPr fontId="2"/>
  </si>
  <si>
    <t>正味財産合計</t>
    <rPh sb="0" eb="2">
      <t>ショウミ</t>
    </rPh>
    <rPh sb="2" eb="4">
      <t>ザイサン</t>
    </rPh>
    <rPh sb="4" eb="6">
      <t>ゴウケイ</t>
    </rPh>
    <phoneticPr fontId="2"/>
  </si>
  <si>
    <t xml:space="preserve"> 負債及び正味財産合計</t>
    <rPh sb="1" eb="3">
      <t>フサイ</t>
    </rPh>
    <rPh sb="3" eb="4">
      <t>オヨ</t>
    </rPh>
    <rPh sb="5" eb="7">
      <t>ショウミ</t>
    </rPh>
    <rPh sb="7" eb="9">
      <t>ザイサン</t>
    </rPh>
    <rPh sb="9" eb="11">
      <t>ゴウケイ</t>
    </rPh>
    <phoneticPr fontId="2"/>
  </si>
  <si>
    <t>ソフトウェア</t>
    <phoneticPr fontId="2"/>
  </si>
  <si>
    <t>(記入例　　２)</t>
    <rPh sb="1" eb="3">
      <t>キニュウ</t>
    </rPh>
    <rPh sb="3" eb="4">
      <t>レイ</t>
    </rPh>
    <phoneticPr fontId="2"/>
  </si>
  <si>
    <t>財　産　目　録</t>
    <rPh sb="0" eb="1">
      <t>ザイ</t>
    </rPh>
    <rPh sb="2" eb="3">
      <t>サン</t>
    </rPh>
    <rPh sb="4" eb="5">
      <t>メ</t>
    </rPh>
    <rPh sb="6" eb="7">
      <t>ロク</t>
    </rPh>
    <phoneticPr fontId="2"/>
  </si>
  <si>
    <t>サービスの種類　　　</t>
    <rPh sb="5" eb="7">
      <t>シュルイ</t>
    </rPh>
    <phoneticPr fontId="2"/>
  </si>
  <si>
    <t>（ 就労継続支援事業Ｂ型</t>
    <rPh sb="2" eb="4">
      <t>シュウロウ</t>
    </rPh>
    <rPh sb="4" eb="6">
      <t>ケイゾク</t>
    </rPh>
    <rPh sb="6" eb="8">
      <t>シエン</t>
    </rPh>
    <rPh sb="8" eb="10">
      <t>ジギョウ</t>
    </rPh>
    <rPh sb="11" eb="12">
      <t>ガタ</t>
    </rPh>
    <phoneticPr fontId="2"/>
  </si>
  <si>
    <t>）</t>
    <phoneticPr fontId="2"/>
  </si>
  <si>
    <t>事業所又は施設名</t>
    <rPh sb="0" eb="3">
      <t>ジギョウショ</t>
    </rPh>
    <rPh sb="3" eb="4">
      <t>マタ</t>
    </rPh>
    <rPh sb="5" eb="7">
      <t>シセツ</t>
    </rPh>
    <rPh sb="7" eb="8">
      <t>メイ</t>
    </rPh>
    <phoneticPr fontId="2"/>
  </si>
  <si>
    <t>（ ひだまり</t>
    <phoneticPr fontId="2"/>
  </si>
  <si>
    <t>円</t>
    <rPh sb="0" eb="1">
      <t>エン</t>
    </rPh>
    <phoneticPr fontId="2"/>
  </si>
  <si>
    <t>１　　基本財産（ 固定性項目 ）</t>
    <rPh sb="3" eb="5">
      <t>キホン</t>
    </rPh>
    <rPh sb="5" eb="7">
      <t>ザイサン</t>
    </rPh>
    <rPh sb="9" eb="11">
      <t>コテイ</t>
    </rPh>
    <rPh sb="11" eb="12">
      <t>セイ</t>
    </rPh>
    <rPh sb="12" eb="14">
      <t>コウモク</t>
    </rPh>
    <phoneticPr fontId="2"/>
  </si>
  <si>
    <t>（ 内　訳 ）</t>
    <rPh sb="2" eb="5">
      <t>ウチワケ</t>
    </rPh>
    <phoneticPr fontId="2"/>
  </si>
  <si>
    <t>（ １ ）</t>
    <phoneticPr fontId="2"/>
  </si>
  <si>
    <t>車両</t>
    <rPh sb="0" eb="2">
      <t>シャリョウ</t>
    </rPh>
    <phoneticPr fontId="2"/>
  </si>
  <si>
    <t>２，１００，０００</t>
    <phoneticPr fontId="2"/>
  </si>
  <si>
    <t>（ ２ ）</t>
    <phoneticPr fontId="2"/>
  </si>
  <si>
    <t>その他</t>
    <rPh sb="0" eb="3">
      <t>ソノタ</t>
    </rPh>
    <phoneticPr fontId="2"/>
  </si>
  <si>
    <t>０</t>
    <phoneticPr fontId="2"/>
  </si>
  <si>
    <t>２　　運用財産（ 流動性項目 ）</t>
    <rPh sb="3" eb="5">
      <t>ウンヨウ</t>
    </rPh>
    <rPh sb="5" eb="7">
      <t>ザイサン</t>
    </rPh>
    <rPh sb="9" eb="11">
      <t>リュウドウ</t>
    </rPh>
    <rPh sb="11" eb="12">
      <t>セイ</t>
    </rPh>
    <rPh sb="12" eb="14">
      <t>コウモク</t>
    </rPh>
    <phoneticPr fontId="2"/>
  </si>
  <si>
    <t>現金・預金</t>
    <rPh sb="0" eb="2">
      <t>ゲンキン</t>
    </rPh>
    <rPh sb="3" eb="5">
      <t>ヨキン</t>
    </rPh>
    <phoneticPr fontId="2"/>
  </si>
  <si>
    <t>有価証券</t>
    <rPh sb="0" eb="2">
      <t>ユウカ</t>
    </rPh>
    <rPh sb="2" eb="4">
      <t>ショウケン</t>
    </rPh>
    <phoneticPr fontId="2"/>
  </si>
  <si>
    <t>（ ３ ）</t>
    <phoneticPr fontId="2"/>
  </si>
  <si>
    <t>借入金等</t>
    <rPh sb="0" eb="3">
      <t>カリイレキン</t>
    </rPh>
    <rPh sb="3" eb="4">
      <t>ナド</t>
    </rPh>
    <phoneticPr fontId="2"/>
  </si>
  <si>
    <t>Ⅲ　差引正味財産</t>
    <rPh sb="2" eb="4">
      <t>サシヒキ</t>
    </rPh>
    <rPh sb="4" eb="6">
      <t>ショウミ</t>
    </rPh>
    <rPh sb="6" eb="8">
      <t>ザイサン</t>
    </rPh>
    <phoneticPr fontId="2"/>
  </si>
  <si>
    <t>（ ※　「Ⅲ　差引正味財産」＝「Ⅰ　資産の部」－「Ⅱ　負債の部」 ）</t>
    <rPh sb="7" eb="9">
      <t>サシヒキ</t>
    </rPh>
    <rPh sb="9" eb="11">
      <t>ショウミ</t>
    </rPh>
    <rPh sb="11" eb="13">
      <t>ザイサン</t>
    </rPh>
    <rPh sb="18" eb="20">
      <t>シサン</t>
    </rPh>
    <rPh sb="21" eb="22">
      <t>ブ</t>
    </rPh>
    <rPh sb="27" eb="29">
      <t>フサイ</t>
    </rPh>
    <rPh sb="30" eb="31">
      <t>ブ</t>
    </rPh>
    <phoneticPr fontId="2"/>
  </si>
  <si>
    <t>）</t>
    <phoneticPr fontId="2"/>
  </si>
  <si>
    <t>（ ひだまり</t>
    <phoneticPr fontId="2"/>
  </si>
  <si>
    <t>事　業　計　画　書</t>
    <rPh sb="0" eb="1">
      <t>コト</t>
    </rPh>
    <rPh sb="2" eb="3">
      <t>ギョウ</t>
    </rPh>
    <rPh sb="4" eb="5">
      <t>ケイ</t>
    </rPh>
    <rPh sb="6" eb="7">
      <t>ガ</t>
    </rPh>
    <rPh sb="8" eb="9">
      <t>ショ</t>
    </rPh>
    <phoneticPr fontId="2"/>
  </si>
  <si>
    <t>（ 就労継続支援事業（Ｂ型）</t>
    <rPh sb="2" eb="4">
      <t>シュウロウ</t>
    </rPh>
    <rPh sb="4" eb="6">
      <t>ケイゾク</t>
    </rPh>
    <rPh sb="6" eb="8">
      <t>シエン</t>
    </rPh>
    <rPh sb="8" eb="10">
      <t>ジギョウ</t>
    </rPh>
    <rPh sb="12" eb="13">
      <t>ガタ</t>
    </rPh>
    <phoneticPr fontId="2"/>
  </si>
  <si>
    <t>）</t>
    <phoneticPr fontId="2"/>
  </si>
  <si>
    <t>（ ひだまり</t>
    <phoneticPr fontId="2"/>
  </si>
  <si>
    <t>項目</t>
    <rPh sb="0" eb="2">
      <t>コウモク</t>
    </rPh>
    <phoneticPr fontId="2"/>
  </si>
  <si>
    <t>内容</t>
    <rPh sb="0" eb="2">
      <t>ナイヨウ</t>
    </rPh>
    <phoneticPr fontId="2"/>
  </si>
  <si>
    <t>1　事業の内容</t>
    <rPh sb="2" eb="4">
      <t>ジギョウ</t>
    </rPh>
    <rPh sb="5" eb="7">
      <t>ナイヨウ</t>
    </rPh>
    <phoneticPr fontId="2"/>
  </si>
  <si>
    <t>下記業務を通じて適切に実施する。</t>
    <rPh sb="0" eb="2">
      <t>カキ</t>
    </rPh>
    <rPh sb="2" eb="4">
      <t>ギョウム</t>
    </rPh>
    <rPh sb="5" eb="6">
      <t>ツウ</t>
    </rPh>
    <rPh sb="8" eb="10">
      <t>テキセツ</t>
    </rPh>
    <rPh sb="11" eb="13">
      <t>ジッシ</t>
    </rPh>
    <phoneticPr fontId="2"/>
  </si>
  <si>
    <t>就労業務としては、パチンコ台解体作業を準備する。
パチンコ台の確保は一般社団法人遊技機リサイクル協会の指定事業者藤鳶工業㈱より、四国地域においては独占的に提供していただける。現在の四国地域においてのパチンコ台回収実績は月2,000台程度。</t>
    <rPh sb="0" eb="2">
      <t>シュウロウ</t>
    </rPh>
    <rPh sb="2" eb="4">
      <t>ギョウム</t>
    </rPh>
    <rPh sb="13" eb="14">
      <t>ダイ</t>
    </rPh>
    <rPh sb="14" eb="16">
      <t>カイタイ</t>
    </rPh>
    <rPh sb="16" eb="18">
      <t>サギョウ</t>
    </rPh>
    <rPh sb="19" eb="21">
      <t>ジュンビ</t>
    </rPh>
    <rPh sb="29" eb="30">
      <t>ダイ</t>
    </rPh>
    <rPh sb="31" eb="33">
      <t>カクホ</t>
    </rPh>
    <rPh sb="34" eb="36">
      <t>イッパン</t>
    </rPh>
    <rPh sb="36" eb="38">
      <t>シャダン</t>
    </rPh>
    <rPh sb="38" eb="40">
      <t>ホウジン</t>
    </rPh>
    <rPh sb="40" eb="43">
      <t>ユウギキ</t>
    </rPh>
    <rPh sb="48" eb="50">
      <t>キョウカイ</t>
    </rPh>
    <rPh sb="51" eb="53">
      <t>シテイ</t>
    </rPh>
    <rPh sb="53" eb="56">
      <t>ジギョウシャ</t>
    </rPh>
    <rPh sb="56" eb="57">
      <t>フジ</t>
    </rPh>
    <rPh sb="57" eb="58">
      <t>トビ</t>
    </rPh>
    <rPh sb="58" eb="60">
      <t>コウギョウ</t>
    </rPh>
    <rPh sb="64" eb="66">
      <t>シコク</t>
    </rPh>
    <rPh sb="66" eb="68">
      <t>チイキ</t>
    </rPh>
    <rPh sb="73" eb="76">
      <t>ドクセンテキ</t>
    </rPh>
    <rPh sb="77" eb="79">
      <t>テイキョウ</t>
    </rPh>
    <rPh sb="87" eb="89">
      <t>ゲンザイ</t>
    </rPh>
    <rPh sb="90" eb="92">
      <t>シコク</t>
    </rPh>
    <rPh sb="92" eb="94">
      <t>チイキ</t>
    </rPh>
    <rPh sb="103" eb="104">
      <t>ダイ</t>
    </rPh>
    <rPh sb="104" eb="106">
      <t>カイシュウ</t>
    </rPh>
    <rPh sb="106" eb="108">
      <t>ジッセキ</t>
    </rPh>
    <rPh sb="109" eb="110">
      <t>ツキ</t>
    </rPh>
    <rPh sb="115" eb="116">
      <t>ダイ</t>
    </rPh>
    <rPh sb="116" eb="118">
      <t>テイド</t>
    </rPh>
    <phoneticPr fontId="2"/>
  </si>
  <si>
    <t>２　事業実施の予定時期</t>
    <rPh sb="2" eb="4">
      <t>ジギョウ</t>
    </rPh>
    <rPh sb="4" eb="6">
      <t>ジッシ</t>
    </rPh>
    <rPh sb="7" eb="9">
      <t>ヨテイ</t>
    </rPh>
    <rPh sb="9" eb="11">
      <t>ジキ</t>
    </rPh>
    <phoneticPr fontId="2"/>
  </si>
  <si>
    <t>３　従業者等の予定人員</t>
    <rPh sb="2" eb="5">
      <t>ジュウギョウシャ</t>
    </rPh>
    <rPh sb="5" eb="6">
      <t>トウ</t>
    </rPh>
    <rPh sb="7" eb="9">
      <t>ヨテイ</t>
    </rPh>
    <rPh sb="9" eb="11">
      <t>ジンイン</t>
    </rPh>
    <phoneticPr fontId="2"/>
  </si>
  <si>
    <t>（１）</t>
    <phoneticPr fontId="2"/>
  </si>
  <si>
    <t xml:space="preserve"> 管理者　1名</t>
    <rPh sb="1" eb="4">
      <t>カンリシャ</t>
    </rPh>
    <rPh sb="6" eb="7">
      <t>メイ</t>
    </rPh>
    <phoneticPr fontId="2"/>
  </si>
  <si>
    <t>（２）</t>
  </si>
  <si>
    <t>（３）</t>
  </si>
  <si>
    <t>（４）</t>
  </si>
  <si>
    <t>４　利用者の推定数及び
　　通常の事業地域内外比率</t>
    <rPh sb="2" eb="5">
      <t>リヨウシャ</t>
    </rPh>
    <rPh sb="6" eb="9">
      <t>スイテイスウ</t>
    </rPh>
    <rPh sb="9" eb="10">
      <t>オヨ</t>
    </rPh>
    <rPh sb="14" eb="16">
      <t>ツウジョウ</t>
    </rPh>
    <rPh sb="17" eb="19">
      <t>ジギョウ</t>
    </rPh>
    <rPh sb="19" eb="22">
      <t>チイキナイ</t>
    </rPh>
    <rPh sb="22" eb="23">
      <t>ガイ</t>
    </rPh>
    <rPh sb="23" eb="25">
      <t>ヒリツ</t>
    </rPh>
    <phoneticPr fontId="2"/>
  </si>
  <si>
    <t xml:space="preserve"> 利用者の推定数</t>
    <rPh sb="1" eb="4">
      <t>リヨウシャ</t>
    </rPh>
    <rPh sb="5" eb="8">
      <t>スイテイスウ</t>
    </rPh>
    <phoneticPr fontId="2"/>
  </si>
  <si>
    <t xml:space="preserve"> 通常の事業の実施地域及び近隣地域からの利用</t>
    <rPh sb="1" eb="3">
      <t>ツウジョウ</t>
    </rPh>
    <rPh sb="4" eb="6">
      <t>ジギョウ</t>
    </rPh>
    <rPh sb="7" eb="9">
      <t>ジッシ</t>
    </rPh>
    <rPh sb="9" eb="11">
      <t>チイキ</t>
    </rPh>
    <rPh sb="11" eb="12">
      <t>オヨ</t>
    </rPh>
    <rPh sb="13" eb="15">
      <t>キンリン</t>
    </rPh>
    <rPh sb="15" eb="17">
      <t>チイキ</t>
    </rPh>
    <rPh sb="20" eb="22">
      <t>リヨウ</t>
    </rPh>
    <phoneticPr fontId="2"/>
  </si>
  <si>
    <t>２０名</t>
    <rPh sb="2" eb="3">
      <t>メイ</t>
    </rPh>
    <phoneticPr fontId="2"/>
  </si>
  <si>
    <t>（２）</t>
    <phoneticPr fontId="2"/>
  </si>
  <si>
    <t xml:space="preserve"> 通常の事業の実施地域内外の利用者比率（見込み）</t>
    <rPh sb="1" eb="3">
      <t>ツウジョウ</t>
    </rPh>
    <rPh sb="4" eb="6">
      <t>ジギョウ</t>
    </rPh>
    <rPh sb="7" eb="9">
      <t>ジッシ</t>
    </rPh>
    <rPh sb="9" eb="11">
      <t>チイキ</t>
    </rPh>
    <rPh sb="11" eb="13">
      <t>ナイガイ</t>
    </rPh>
    <rPh sb="14" eb="17">
      <t>リヨウシャ</t>
    </rPh>
    <rPh sb="17" eb="19">
      <t>ヒリツ</t>
    </rPh>
    <rPh sb="20" eb="22">
      <t>ミコ</t>
    </rPh>
    <phoneticPr fontId="2"/>
  </si>
  <si>
    <t>１００％</t>
    <phoneticPr fontId="2"/>
  </si>
  <si>
    <t>広告収入＠10,000円×</t>
    <rPh sb="0" eb="2">
      <t>コウコク</t>
    </rPh>
    <rPh sb="2" eb="4">
      <t>シュウニュウ</t>
    </rPh>
    <rPh sb="11" eb="12">
      <t>エン</t>
    </rPh>
    <phoneticPr fontId="2"/>
  </si>
  <si>
    <t>平成26年5月1日から平成26年12月31日</t>
    <rPh sb="0" eb="2">
      <t>ヘイセイ</t>
    </rPh>
    <rPh sb="4" eb="5">
      <t>ネン</t>
    </rPh>
    <rPh sb="6" eb="7">
      <t>ガツ</t>
    </rPh>
    <rPh sb="8" eb="9">
      <t>ニチ</t>
    </rPh>
    <rPh sb="11" eb="13">
      <t>ヘイセイ</t>
    </rPh>
    <rPh sb="15" eb="16">
      <t>ネン</t>
    </rPh>
    <rPh sb="18" eb="19">
      <t>ガツ</t>
    </rPh>
    <rPh sb="21" eb="22">
      <t>ニチ</t>
    </rPh>
    <phoneticPr fontId="2"/>
  </si>
  <si>
    <t xml:space="preserve">資産状況
ひだまり
資産状況
</t>
    <rPh sb="0" eb="2">
      <t>シサン</t>
    </rPh>
    <rPh sb="2" eb="4">
      <t>ジョウキョウ</t>
    </rPh>
    <rPh sb="11" eb="13">
      <t>シサン</t>
    </rPh>
    <rPh sb="13" eb="15">
      <t>ジョウキョウ</t>
    </rPh>
    <phoneticPr fontId="2"/>
  </si>
  <si>
    <t>１００，０００</t>
    <phoneticPr fontId="2"/>
  </si>
  <si>
    <t>2，1００，０００</t>
    <phoneticPr fontId="2"/>
  </si>
  <si>
    <t>現金</t>
    <rPh sb="0" eb="2">
      <t>ゲンキン</t>
    </rPh>
    <phoneticPr fontId="2"/>
  </si>
  <si>
    <t xml:space="preserve"> サービス管理責任者　１名</t>
    <rPh sb="5" eb="7">
      <t>カンリ</t>
    </rPh>
    <rPh sb="7" eb="10">
      <t>セキニンシャ</t>
    </rPh>
    <rPh sb="12" eb="13">
      <t>メイ</t>
    </rPh>
    <phoneticPr fontId="2"/>
  </si>
  <si>
    <t xml:space="preserve"> その他　　　0名</t>
    <rPh sb="1" eb="4">
      <t>ソノタ</t>
    </rPh>
    <rPh sb="8" eb="9">
      <t>メイ</t>
    </rPh>
    <phoneticPr fontId="2"/>
  </si>
  <si>
    <t xml:space="preserve"> 従業者　　　４名</t>
    <rPh sb="1" eb="4">
      <t>ジュウギョウシャ</t>
    </rPh>
    <rPh sb="8" eb="9">
      <t>メイ</t>
    </rPh>
    <phoneticPr fontId="2"/>
  </si>
  <si>
    <t xml:space="preserve"> （うち、常勤職員４名）</t>
    <rPh sb="5" eb="7">
      <t>ジョウキン</t>
    </rPh>
    <rPh sb="7" eb="9">
      <t>ショクイン</t>
    </rPh>
    <rPh sb="10" eb="11">
      <t>メイ</t>
    </rPh>
    <phoneticPr fontId="2"/>
  </si>
  <si>
    <t>＜今治市＞</t>
    <rPh sb="1" eb="3">
      <t>イマバリ</t>
    </rPh>
    <rPh sb="3" eb="4">
      <t>シ</t>
    </rPh>
    <phoneticPr fontId="2"/>
  </si>
  <si>
    <t>障害者総合支援法に規定される「就労継続支援Ｂ型」を、</t>
    <rPh sb="0" eb="3">
      <t>ショウガイシャ</t>
    </rPh>
    <rPh sb="3" eb="5">
      <t>ソウゴウ</t>
    </rPh>
    <rPh sb="5" eb="7">
      <t>シエン</t>
    </rPh>
    <rPh sb="7" eb="8">
      <t>ホウ</t>
    </rPh>
    <rPh sb="9" eb="11">
      <t>キテイ</t>
    </rPh>
    <rPh sb="15" eb="17">
      <t>シュウロウ</t>
    </rPh>
    <rPh sb="17" eb="19">
      <t>ケイゾク</t>
    </rPh>
    <rPh sb="19" eb="21">
      <t>シエン</t>
    </rPh>
    <rPh sb="22" eb="23">
      <t>ガタ</t>
    </rPh>
    <phoneticPr fontId="2"/>
  </si>
  <si>
    <t xml:space="preserve">（１）就労継続支援Ｂ型計画の作成
（２）身体等の介護
（３）就労に必要な知識、能力を向上するための訓練
（４）就労の機会の提供及び生産活動
（５）実習先企業等の紹介
（６）求職活動支援
（７）職場定着支援
（８）生活相談
（９）健康管理
（１０）訪問支援
（１１）前各号に掲げる便宜に附帯する便宜
</t>
    <phoneticPr fontId="2"/>
  </si>
  <si>
    <t>平成２６年５月２０日</t>
    <rPh sb="0" eb="2">
      <t>ヘイセイ</t>
    </rPh>
    <rPh sb="4" eb="5">
      <t>ネン</t>
    </rPh>
    <rPh sb="6" eb="7">
      <t>ガツ</t>
    </rPh>
    <rPh sb="9" eb="10">
      <t>ニチ</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</si>
</sst>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name val="ＭＳ Ｐゴシック"/>
      <family val="3"/>
      <charset val="128"/>
    </font>
    <font>
      <sz val="11"/>
      <name val="ＭＳ Ｐゴシック"/>
      <family val="3"/>
      <charset val="128"/>
    </font>
    <font>
      <sz val="6"/>
      <name val="ＭＳ Ｐゴシック"/>
      <family val="3"/>
      <charset val="128"/>
    </font>
    <font>
      <b/>
      <sz val="11"/>
      <name val="ＭＳ Ｐゴシック"/>
      <family val="3"/>
      <charset val="128"/>
    </font>
    <font>
      <sz val="8"/>
      <name val="ＭＳ Ｐゴシック"/>
      <family val="3"/>
      <charset val="128"/>
    </font>
    <font>
      <u/>
      <sz val="11"/>
      <name val="ＭＳ Ｐゴシック"/>
      <family val="3"/>
      <charset val="128"/>
    </font>
    <font>
      <sz val="14"/>
      <name val="ＭＳ Ｐゴシック"/>
      <family val="3"/>
      <charset val="128"/>
    </font>
    <font>
      <sz val="12"/>
      <name val="ＭＳ Ｐゴシック"/>
      <family val="3"/>
      <charset val="128"/>
    </font>
    <font>
      <sz val="48"/>
      <name val="ＭＳ Ｐゴシック"/>
      <family val="3"/>
      <charset val="128"/>
    </font>
  </fonts>
  <fills count="3">
    <fill>
      <patternFill patternType="none"/>
    </fill>
    <fill>
      <patternFill patternType="gray125"/>
    </fill>
    <fill>
      <patternFill patternType="solid">
        <fgColor indexed="2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double">
        <color indexed="64"/>
      </top>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thin">
        <color indexed="64"/>
      </bottom>
      <diagonal/>
    </border>
  </borders>
  <cellStyleXfs count="3">
    <xf numFmtId="0" fontId="0" fillId="0" borderId="0"/>
    <xf numFmtId="38" fontId="1" fillId="0" borderId="0" applyFont="0" applyFill="0" applyBorder="0" applyAlignment="0" applyProtection="0"/>
    <xf numFmtId="0" fontId="1" fillId="0" borderId="0"/>
  </cellStyleXfs>
  <cellXfs count="103">
    <xf numFmtId="0" fontId="0" fillId="0" borderId="0" xfId="0"/>
    <xf numFmtId="0" fontId="0" fillId="0" borderId="1" xfId="0" applyBorder="1"/>
    <xf numFmtId="0" fontId="0" fillId="0" borderId="2" xfId="0" applyBorder="1" applyAlignment="1">
      <alignment horizontal="center"/>
    </xf>
    <xf numFmtId="0" fontId="0" fillId="0" borderId="1" xfId="0" applyBorder="1" applyAlignment="1">
      <alignment horizontal="center"/>
    </xf>
    <xf numFmtId="0" fontId="3" fillId="0" borderId="3" xfId="0" applyFont="1" applyBorder="1"/>
    <xf numFmtId="0" fontId="0" fillId="0" borderId="4" xfId="0" applyBorder="1"/>
    <xf numFmtId="38" fontId="0" fillId="0" borderId="5" xfId="1" applyFont="1" applyBorder="1"/>
    <xf numFmtId="38" fontId="0" fillId="0" borderId="6" xfId="1" applyFont="1" applyBorder="1"/>
    <xf numFmtId="0" fontId="0" fillId="0" borderId="4" xfId="0" applyBorder="1" applyAlignment="1">
      <alignment shrinkToFit="1"/>
    </xf>
    <xf numFmtId="0" fontId="0" fillId="0" borderId="7" xfId="0" applyBorder="1"/>
    <xf numFmtId="0" fontId="0" fillId="0" borderId="8" xfId="0" applyBorder="1" applyAlignment="1">
      <alignment horizontal="left"/>
    </xf>
    <xf numFmtId="38" fontId="0" fillId="0" borderId="0" xfId="1" applyFont="1" applyBorder="1"/>
    <xf numFmtId="38" fontId="0" fillId="0" borderId="9" xfId="1" applyFont="1" applyBorder="1"/>
    <xf numFmtId="0" fontId="0" fillId="0" borderId="8" xfId="0" applyBorder="1" applyAlignment="1">
      <alignment shrinkToFit="1"/>
    </xf>
    <xf numFmtId="38" fontId="0" fillId="0" borderId="9" xfId="0" applyNumberFormat="1" applyBorder="1"/>
    <xf numFmtId="0" fontId="0" fillId="0" borderId="10" xfId="0" applyBorder="1"/>
    <xf numFmtId="0" fontId="0" fillId="0" borderId="11" xfId="0" applyBorder="1"/>
    <xf numFmtId="38" fontId="0" fillId="0" borderId="12" xfId="1" applyFont="1" applyBorder="1"/>
    <xf numFmtId="38" fontId="0" fillId="0" borderId="13" xfId="0" applyNumberFormat="1" applyBorder="1"/>
    <xf numFmtId="0" fontId="3" fillId="0" borderId="7" xfId="0" applyFont="1" applyBorder="1"/>
    <xf numFmtId="0" fontId="0" fillId="0" borderId="6" xfId="0" applyBorder="1"/>
    <xf numFmtId="0" fontId="4" fillId="0" borderId="8" xfId="0" applyFont="1" applyBorder="1" applyAlignment="1">
      <alignment shrinkToFit="1"/>
    </xf>
    <xf numFmtId="0" fontId="0" fillId="0" borderId="8" xfId="0" applyBorder="1" applyAlignment="1">
      <alignment horizontal="right"/>
    </xf>
    <xf numFmtId="38" fontId="0" fillId="0" borderId="14" xfId="1" applyFont="1" applyBorder="1"/>
    <xf numFmtId="0" fontId="4" fillId="0" borderId="11" xfId="0" applyFont="1" applyBorder="1" applyAlignment="1">
      <alignment shrinkToFit="1"/>
    </xf>
    <xf numFmtId="0" fontId="4" fillId="0" borderId="6" xfId="0" applyFont="1" applyBorder="1" applyAlignment="1">
      <alignment shrinkToFit="1"/>
    </xf>
    <xf numFmtId="0" fontId="4" fillId="0" borderId="9" xfId="0" applyFont="1" applyBorder="1" applyAlignment="1">
      <alignment shrinkToFit="1"/>
    </xf>
    <xf numFmtId="0" fontId="3" fillId="0" borderId="7" xfId="0" applyFont="1" applyBorder="1" applyAlignment="1">
      <alignment horizontal="left"/>
    </xf>
    <xf numFmtId="0" fontId="0" fillId="0" borderId="8" xfId="0" applyBorder="1"/>
    <xf numFmtId="0" fontId="0" fillId="0" borderId="9" xfId="0" applyBorder="1"/>
    <xf numFmtId="0" fontId="0" fillId="0" borderId="9" xfId="0" applyBorder="1" applyAlignment="1">
      <alignment shrinkToFit="1"/>
    </xf>
    <xf numFmtId="0" fontId="0" fillId="0" borderId="11" xfId="0" applyBorder="1" applyAlignment="1">
      <alignment horizontal="right"/>
    </xf>
    <xf numFmtId="38" fontId="0" fillId="0" borderId="14" xfId="0" applyNumberFormat="1" applyBorder="1"/>
    <xf numFmtId="0" fontId="0" fillId="0" borderId="14" xfId="0" applyBorder="1" applyAlignment="1">
      <alignment shrinkToFit="1"/>
    </xf>
    <xf numFmtId="0" fontId="0" fillId="0" borderId="0" xfId="0" applyAlignment="1">
      <alignment shrinkToFit="1"/>
    </xf>
    <xf numFmtId="38" fontId="0" fillId="0" borderId="0" xfId="1" applyFont="1"/>
    <xf numFmtId="0" fontId="0" fillId="2" borderId="1" xfId="0" applyFill="1" applyBorder="1" applyAlignment="1">
      <alignment horizontal="center"/>
    </xf>
    <xf numFmtId="0" fontId="0" fillId="0" borderId="9" xfId="0" applyBorder="1" applyAlignment="1">
      <alignment horizontal="left" indent="1"/>
    </xf>
    <xf numFmtId="0" fontId="0" fillId="0" borderId="9" xfId="0" applyBorder="1" applyAlignment="1">
      <alignment horizontal="left" indent="2"/>
    </xf>
    <xf numFmtId="38" fontId="0" fillId="0" borderId="15" xfId="1" applyFont="1" applyBorder="1"/>
    <xf numFmtId="0" fontId="0" fillId="0" borderId="14" xfId="0" applyBorder="1"/>
    <xf numFmtId="49" fontId="0" fillId="0" borderId="0" xfId="0" applyNumberFormat="1"/>
    <xf numFmtId="49" fontId="7" fillId="0" borderId="0" xfId="0" applyNumberFormat="1" applyFont="1" applyAlignment="1">
      <alignment horizontal="center"/>
    </xf>
    <xf numFmtId="0" fontId="0" fillId="0" borderId="3" xfId="0" applyBorder="1"/>
    <xf numFmtId="0" fontId="0" fillId="0" borderId="5" xfId="0" applyBorder="1"/>
    <xf numFmtId="49" fontId="0" fillId="0" borderId="5" xfId="0" applyNumberFormat="1" applyBorder="1"/>
    <xf numFmtId="49" fontId="0" fillId="0" borderId="4" xfId="0" applyNumberFormat="1" applyBorder="1"/>
    <xf numFmtId="49" fontId="0" fillId="0" borderId="0" xfId="0" applyNumberFormat="1" applyBorder="1"/>
    <xf numFmtId="49" fontId="0" fillId="0" borderId="8" xfId="0" applyNumberFormat="1" applyBorder="1"/>
    <xf numFmtId="49" fontId="0" fillId="0" borderId="7" xfId="0" applyNumberFormat="1" applyBorder="1"/>
    <xf numFmtId="0" fontId="0" fillId="0" borderId="0" xfId="0" applyBorder="1"/>
    <xf numFmtId="49" fontId="0" fillId="0" borderId="10" xfId="0" applyNumberFormat="1" applyBorder="1"/>
    <xf numFmtId="49" fontId="0" fillId="0" borderId="12" xfId="0" applyNumberFormat="1" applyBorder="1"/>
    <xf numFmtId="49" fontId="0" fillId="0" borderId="11" xfId="0" applyNumberFormat="1" applyBorder="1"/>
    <xf numFmtId="49" fontId="0" fillId="0" borderId="3" xfId="0" applyNumberFormat="1" applyBorder="1"/>
    <xf numFmtId="0" fontId="0" fillId="0" borderId="0" xfId="0" applyAlignment="1">
      <alignment wrapText="1"/>
    </xf>
    <xf numFmtId="49" fontId="0" fillId="0" borderId="0" xfId="0" applyNumberFormat="1" applyBorder="1" applyAlignment="1">
      <alignment horizontal="left" vertical="top" indent="1"/>
    </xf>
    <xf numFmtId="0" fontId="8" fillId="0" borderId="0" xfId="0" applyFont="1" applyAlignment="1">
      <alignment horizontal="center" wrapText="1"/>
    </xf>
    <xf numFmtId="0" fontId="8" fillId="0" borderId="0" xfId="0" applyFont="1" applyAlignment="1">
      <alignment horizontal="center"/>
    </xf>
    <xf numFmtId="0" fontId="0" fillId="0" borderId="0" xfId="0" applyAlignment="1">
      <alignment horizontal="center"/>
    </xf>
    <xf numFmtId="0" fontId="0" fillId="0" borderId="2" xfId="0" applyBorder="1" applyAlignment="1">
      <alignment horizontal="center"/>
    </xf>
    <xf numFmtId="0" fontId="0" fillId="0" borderId="16" xfId="0" applyBorder="1" applyAlignment="1">
      <alignment horizontal="center"/>
    </xf>
    <xf numFmtId="0" fontId="0" fillId="0" borderId="3" xfId="0" applyBorder="1" applyAlignment="1">
      <alignment horizontal="center" vertical="center" textRotation="255"/>
    </xf>
    <xf numFmtId="0" fontId="0" fillId="0" borderId="7" xfId="0" applyBorder="1" applyAlignment="1">
      <alignment horizontal="center" vertical="center" textRotation="255"/>
    </xf>
    <xf numFmtId="0" fontId="0" fillId="0" borderId="10" xfId="0" applyBorder="1" applyAlignment="1">
      <alignment horizontal="center" vertical="center" textRotation="255"/>
    </xf>
    <xf numFmtId="0" fontId="0" fillId="0" borderId="6" xfId="0" applyBorder="1" applyAlignment="1">
      <alignment horizontal="center" vertical="center" textRotation="255"/>
    </xf>
    <xf numFmtId="0" fontId="0" fillId="0" borderId="9" xfId="0" applyBorder="1" applyAlignment="1">
      <alignment horizontal="center" vertical="center" textRotation="255"/>
    </xf>
    <xf numFmtId="0" fontId="0" fillId="0" borderId="14" xfId="0" applyBorder="1" applyAlignment="1">
      <alignment horizontal="center" vertical="center" textRotation="255"/>
    </xf>
    <xf numFmtId="0" fontId="3" fillId="0" borderId="3" xfId="0" applyFont="1" applyBorder="1" applyAlignment="1">
      <alignment horizontal="left" wrapText="1"/>
    </xf>
    <xf numFmtId="0" fontId="3" fillId="0" borderId="4"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0" fillId="0" borderId="8" xfId="0" applyBorder="1" applyAlignment="1">
      <alignment horizontal="left" vertical="top"/>
    </xf>
    <xf numFmtId="38" fontId="0" fillId="0" borderId="9" xfId="1" applyFont="1" applyBorder="1" applyAlignment="1">
      <alignment horizontal="right" vertical="top"/>
    </xf>
    <xf numFmtId="0" fontId="5" fillId="0" borderId="0" xfId="0" applyFont="1" applyAlignment="1">
      <alignment horizontal="center"/>
    </xf>
    <xf numFmtId="58" fontId="0" fillId="0" borderId="12" xfId="0" applyNumberFormat="1" applyBorder="1" applyAlignment="1">
      <alignment horizontal="center"/>
    </xf>
    <xf numFmtId="0" fontId="0" fillId="0" borderId="12" xfId="0" applyBorder="1" applyAlignment="1">
      <alignment horizontal="center"/>
    </xf>
    <xf numFmtId="38" fontId="0" fillId="2" borderId="16" xfId="1" applyFont="1" applyFill="1" applyBorder="1" applyAlignment="1">
      <alignment horizontal="center"/>
    </xf>
    <xf numFmtId="38" fontId="0" fillId="2" borderId="1" xfId="1" applyFont="1" applyFill="1" applyBorder="1" applyAlignment="1">
      <alignment horizontal="center"/>
    </xf>
    <xf numFmtId="49" fontId="6" fillId="0" borderId="0" xfId="0" applyNumberFormat="1" applyFont="1" applyAlignment="1">
      <alignment horizontal="center"/>
    </xf>
    <xf numFmtId="49" fontId="0" fillId="0" borderId="0" xfId="0" applyNumberFormat="1" applyBorder="1" applyAlignment="1">
      <alignment horizontal="right"/>
    </xf>
    <xf numFmtId="49" fontId="0" fillId="0" borderId="0" xfId="0" applyNumberFormat="1" applyBorder="1" applyAlignment="1">
      <alignment horizontal="left" vertical="top" wrapText="1"/>
    </xf>
    <xf numFmtId="49" fontId="0" fillId="0" borderId="5" xfId="0" applyNumberFormat="1" applyBorder="1" applyAlignment="1">
      <alignment horizontal="center" vertical="center"/>
    </xf>
    <xf numFmtId="49" fontId="0" fillId="0" borderId="12" xfId="0" applyNumberFormat="1" applyBorder="1" applyAlignment="1">
      <alignment horizontal="center" vertical="center"/>
    </xf>
    <xf numFmtId="49" fontId="0" fillId="0" borderId="5" xfId="0" applyNumberFormat="1" applyBorder="1" applyAlignment="1">
      <alignment horizontal="left" vertical="center"/>
    </xf>
    <xf numFmtId="0" fontId="0" fillId="0" borderId="5" xfId="0" applyBorder="1" applyAlignment="1">
      <alignment horizontal="left" vertical="center"/>
    </xf>
    <xf numFmtId="0" fontId="0" fillId="0" borderId="0" xfId="0" applyAlignment="1">
      <alignment horizontal="left" vertical="center"/>
    </xf>
    <xf numFmtId="49" fontId="0" fillId="0" borderId="0" xfId="0" applyNumberFormat="1" applyBorder="1" applyAlignment="1">
      <alignment horizontal="left" vertical="top" wrapText="1" indent="1"/>
    </xf>
    <xf numFmtId="49" fontId="0" fillId="0" borderId="0" xfId="0" applyNumberFormat="1" applyBorder="1" applyAlignment="1">
      <alignment horizontal="left" vertical="top" indent="1"/>
    </xf>
    <xf numFmtId="0" fontId="0" fillId="0" borderId="12" xfId="0" applyBorder="1" applyAlignment="1">
      <alignment horizontal="left" vertical="center"/>
    </xf>
    <xf numFmtId="49" fontId="0" fillId="0" borderId="12" xfId="0" applyNumberFormat="1" applyBorder="1" applyAlignment="1">
      <alignment horizontal="left" vertical="center"/>
    </xf>
    <xf numFmtId="0" fontId="0" fillId="0" borderId="5" xfId="0" applyBorder="1" applyAlignment="1"/>
    <xf numFmtId="0" fontId="0" fillId="0" borderId="4" xfId="0" applyBorder="1" applyAlignment="1"/>
    <xf numFmtId="0" fontId="0" fillId="0" borderId="12" xfId="0" applyBorder="1" applyAlignment="1"/>
    <xf numFmtId="0" fontId="0" fillId="0" borderId="11" xfId="0" applyBorder="1" applyAlignment="1"/>
    <xf numFmtId="0" fontId="0" fillId="0" borderId="0" xfId="0" applyBorder="1" applyAlignment="1">
      <alignment horizontal="left" vertical="center"/>
    </xf>
    <xf numFmtId="49" fontId="0" fillId="0" borderId="5" xfId="0" applyNumberFormat="1" applyBorder="1" applyAlignment="1">
      <alignment horizontal="left" vertical="center" wrapText="1"/>
    </xf>
    <xf numFmtId="0" fontId="0" fillId="0" borderId="5" xfId="0" applyBorder="1"/>
    <xf numFmtId="0" fontId="0" fillId="0" borderId="4" xfId="0" applyBorder="1"/>
    <xf numFmtId="0" fontId="0" fillId="0" borderId="0" xfId="0"/>
    <xf numFmtId="0" fontId="0" fillId="0" borderId="8" xfId="0" applyBorder="1"/>
    <xf numFmtId="49" fontId="0" fillId="0" borderId="0" xfId="0" applyNumberFormat="1" applyBorder="1" applyAlignment="1">
      <alignment horizontal="left" wrapText="1"/>
    </xf>
    <xf numFmtId="49" fontId="0" fillId="0" borderId="8" xfId="0" applyNumberFormat="1" applyBorder="1" applyAlignment="1">
      <alignment horizontal="left" wrapText="1"/>
    </xf>
  </cellXfs>
  <cellStyles count="3">
    <cellStyle name="桁区切り" xfId="1" builtinId="6"/>
    <cellStyle name="標準" xfId="0" builtinId="0"/>
    <cellStyle name="標準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7:I29"/>
  <sheetViews>
    <sheetView zoomScaleNormal="100" workbookViewId="0">
      <selection activeCell="A30" sqref="A30"/>
    </sheetView>
  </sheetViews>
  <sheetFormatPr defaultRowHeight="16.5" customHeight="1"/>
  <cols>
    <col min="6" max="6" width="9" style="34"/>
  </cols>
  <sheetData>
    <row r="7" spans="1:9" ht="16.5" customHeight="1">
      <c r="A7" s="57" t="s">
        <v>153</v>
      </c>
      <c r="B7" s="58"/>
      <c r="C7" s="58"/>
      <c r="D7" s="58"/>
      <c r="E7" s="58"/>
      <c r="F7" s="58"/>
      <c r="G7" s="58"/>
      <c r="H7" s="58"/>
      <c r="I7" s="58"/>
    </row>
    <row r="8" spans="1:9" ht="16.5" customHeight="1">
      <c r="A8" s="58"/>
      <c r="B8" s="58"/>
      <c r="C8" s="58"/>
      <c r="D8" s="58"/>
      <c r="E8" s="58"/>
      <c r="F8" s="58"/>
      <c r="G8" s="58"/>
      <c r="H8" s="58"/>
      <c r="I8" s="58"/>
    </row>
    <row r="9" spans="1:9" ht="16.5" customHeight="1">
      <c r="A9" s="58"/>
      <c r="B9" s="58"/>
      <c r="C9" s="58"/>
      <c r="D9" s="58"/>
      <c r="E9" s="58"/>
      <c r="F9" s="58"/>
      <c r="G9" s="58"/>
      <c r="H9" s="58"/>
      <c r="I9" s="58"/>
    </row>
    <row r="10" spans="1:9" ht="16.5" customHeight="1">
      <c r="A10" s="58"/>
      <c r="B10" s="58"/>
      <c r="C10" s="58"/>
      <c r="D10" s="58"/>
      <c r="E10" s="58"/>
      <c r="F10" s="58"/>
      <c r="G10" s="58"/>
      <c r="H10" s="58"/>
      <c r="I10" s="58"/>
    </row>
    <row r="11" spans="1:9" ht="16.5" customHeight="1">
      <c r="A11" s="58"/>
      <c r="B11" s="58"/>
      <c r="C11" s="58"/>
      <c r="D11" s="58"/>
      <c r="E11" s="58"/>
      <c r="F11" s="58"/>
      <c r="G11" s="58"/>
      <c r="H11" s="58"/>
      <c r="I11" s="58"/>
    </row>
    <row r="12" spans="1:9" ht="16.5" customHeight="1">
      <c r="A12" s="58"/>
      <c r="B12" s="58"/>
      <c r="C12" s="58"/>
      <c r="D12" s="58"/>
      <c r="E12" s="58"/>
      <c r="F12" s="58"/>
      <c r="G12" s="58"/>
      <c r="H12" s="58"/>
      <c r="I12" s="58"/>
    </row>
    <row r="13" spans="1:9" ht="16.5" customHeight="1">
      <c r="A13" s="58"/>
      <c r="B13" s="58"/>
      <c r="C13" s="58"/>
      <c r="D13" s="58"/>
      <c r="E13" s="58"/>
      <c r="F13" s="58"/>
      <c r="G13" s="58"/>
      <c r="H13" s="58"/>
      <c r="I13" s="58"/>
    </row>
    <row r="14" spans="1:9" ht="16.5" customHeight="1">
      <c r="A14" s="58"/>
      <c r="B14" s="58"/>
      <c r="C14" s="58"/>
      <c r="D14" s="58"/>
      <c r="E14" s="58"/>
      <c r="F14" s="58"/>
      <c r="G14" s="58"/>
      <c r="H14" s="58"/>
      <c r="I14" s="58"/>
    </row>
    <row r="15" spans="1:9" ht="16.5" customHeight="1">
      <c r="A15" s="58"/>
      <c r="B15" s="58"/>
      <c r="C15" s="58"/>
      <c r="D15" s="58"/>
      <c r="E15" s="58"/>
      <c r="F15" s="58"/>
      <c r="G15" s="58"/>
      <c r="H15" s="58"/>
      <c r="I15" s="58"/>
    </row>
    <row r="16" spans="1:9" ht="16.5" customHeight="1">
      <c r="A16" s="58"/>
      <c r="B16" s="58"/>
      <c r="C16" s="58"/>
      <c r="D16" s="58"/>
      <c r="E16" s="58"/>
      <c r="F16" s="58"/>
      <c r="G16" s="58"/>
      <c r="H16" s="58"/>
      <c r="I16" s="58"/>
    </row>
    <row r="17" spans="1:9" ht="16.5" customHeight="1">
      <c r="A17" s="58"/>
      <c r="B17" s="58"/>
      <c r="C17" s="58"/>
      <c r="D17" s="58"/>
      <c r="E17" s="58"/>
      <c r="F17" s="58"/>
      <c r="G17" s="58"/>
      <c r="H17" s="58"/>
      <c r="I17" s="58"/>
    </row>
    <row r="18" spans="1:9" ht="16.5" customHeight="1">
      <c r="A18" s="58"/>
      <c r="B18" s="58"/>
      <c r="C18" s="58"/>
      <c r="D18" s="58"/>
      <c r="E18" s="58"/>
      <c r="F18" s="58"/>
      <c r="G18" s="58"/>
      <c r="H18" s="58"/>
      <c r="I18" s="58"/>
    </row>
    <row r="19" spans="1:9" ht="16.5" customHeight="1">
      <c r="A19" s="58"/>
      <c r="B19" s="58"/>
      <c r="C19" s="58"/>
      <c r="D19" s="58"/>
      <c r="E19" s="58"/>
      <c r="F19" s="58"/>
      <c r="G19" s="58"/>
      <c r="H19" s="58"/>
      <c r="I19" s="58"/>
    </row>
    <row r="20" spans="1:9" ht="16.5" customHeight="1">
      <c r="A20" s="58"/>
      <c r="B20" s="58"/>
      <c r="C20" s="58"/>
      <c r="D20" s="58"/>
      <c r="E20" s="58"/>
      <c r="F20" s="58"/>
      <c r="G20" s="58"/>
      <c r="H20" s="58"/>
      <c r="I20" s="58"/>
    </row>
    <row r="21" spans="1:9" ht="16.5" customHeight="1">
      <c r="A21" s="58"/>
      <c r="B21" s="58"/>
      <c r="C21" s="58"/>
      <c r="D21" s="58"/>
      <c r="E21" s="58"/>
      <c r="F21" s="58"/>
      <c r="G21" s="58"/>
      <c r="H21" s="58"/>
      <c r="I21" s="58"/>
    </row>
    <row r="22" spans="1:9" ht="16.5" customHeight="1">
      <c r="A22" s="58"/>
      <c r="B22" s="58"/>
      <c r="C22" s="58"/>
      <c r="D22" s="58"/>
      <c r="E22" s="58"/>
      <c r="F22" s="58"/>
      <c r="G22" s="58"/>
      <c r="H22" s="58"/>
      <c r="I22" s="58"/>
    </row>
    <row r="23" spans="1:9" ht="16.5" customHeight="1">
      <c r="A23" s="58"/>
      <c r="B23" s="58"/>
      <c r="C23" s="58"/>
      <c r="D23" s="58"/>
      <c r="E23" s="58"/>
      <c r="F23" s="58"/>
      <c r="G23" s="58"/>
      <c r="H23" s="58"/>
      <c r="I23" s="58"/>
    </row>
    <row r="24" spans="1:9" ht="16.5" customHeight="1">
      <c r="A24" s="58"/>
      <c r="B24" s="58"/>
      <c r="C24" s="58"/>
      <c r="D24" s="58"/>
      <c r="E24" s="58"/>
      <c r="F24" s="58"/>
      <c r="G24" s="58"/>
      <c r="H24" s="58"/>
      <c r="I24" s="58"/>
    </row>
    <row r="25" spans="1:9" ht="16.5" customHeight="1">
      <c r="A25" s="58"/>
      <c r="B25" s="58"/>
      <c r="C25" s="58"/>
      <c r="D25" s="58"/>
      <c r="E25" s="58"/>
      <c r="F25" s="58"/>
      <c r="G25" s="58"/>
      <c r="H25" s="58"/>
      <c r="I25" s="58"/>
    </row>
    <row r="26" spans="1:9" ht="16.5" customHeight="1">
      <c r="A26" s="58"/>
      <c r="B26" s="58"/>
      <c r="C26" s="58"/>
      <c r="D26" s="58"/>
      <c r="E26" s="58"/>
      <c r="F26" s="58"/>
      <c r="G26" s="58"/>
      <c r="H26" s="58"/>
      <c r="I26" s="58"/>
    </row>
    <row r="27" spans="1:9" ht="16.5" customHeight="1">
      <c r="A27" s="58"/>
      <c r="B27" s="58"/>
      <c r="C27" s="58"/>
      <c r="D27" s="58"/>
      <c r="E27" s="58"/>
      <c r="F27" s="58"/>
      <c r="G27" s="58"/>
      <c r="H27" s="58"/>
      <c r="I27" s="58"/>
    </row>
    <row r="28" spans="1:9" ht="16.5" customHeight="1">
      <c r="A28" s="58"/>
      <c r="B28" s="58"/>
      <c r="C28" s="58"/>
      <c r="D28" s="58"/>
      <c r="E28" s="58"/>
      <c r="F28" s="58"/>
      <c r="G28" s="58"/>
      <c r="H28" s="58"/>
      <c r="I28" s="58"/>
    </row>
    <row r="29" spans="1:9" ht="16.5" customHeight="1">
      <c r="A29" s="58"/>
      <c r="B29" s="58"/>
      <c r="C29" s="58"/>
      <c r="D29" s="58"/>
      <c r="E29" s="58"/>
      <c r="F29" s="58"/>
      <c r="G29" s="58"/>
      <c r="H29" s="58"/>
      <c r="I29" s="58"/>
    </row>
  </sheetData>
  <mergeCells count="1">
    <mergeCell ref="A7:I29"/>
  </mergeCells>
  <phoneticPr fontId="2"/>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
  <sheetViews>
    <sheetView zoomScaleNormal="100" workbookViewId="0">
      <selection activeCell="B2" sqref="B2:F2"/>
    </sheetView>
  </sheetViews>
  <sheetFormatPr defaultRowHeight="16.5" customHeight="1"/>
  <cols>
    <col min="1" max="1" width="4.125" customWidth="1"/>
    <col min="2" max="2" width="3" customWidth="1"/>
    <col min="3" max="3" width="25.375" customWidth="1"/>
    <col min="4" max="5" width="12.125" customWidth="1"/>
    <col min="6" max="6" width="31" style="34" customWidth="1"/>
  </cols>
  <sheetData>
    <row r="1" spans="1:6" ht="16.5" customHeight="1">
      <c r="B1" s="59" t="s">
        <v>0</v>
      </c>
      <c r="C1" s="59"/>
      <c r="D1" s="59"/>
      <c r="E1" s="59"/>
      <c r="F1" s="59"/>
    </row>
    <row r="2" spans="1:6" ht="16.5" customHeight="1">
      <c r="B2" s="59" t="s">
        <v>152</v>
      </c>
      <c r="C2" s="59"/>
      <c r="D2" s="59"/>
      <c r="E2" s="59"/>
      <c r="F2" s="59"/>
    </row>
    <row r="3" spans="1:6" ht="16.5" customHeight="1">
      <c r="A3" s="1"/>
      <c r="B3" s="60" t="s">
        <v>1</v>
      </c>
      <c r="C3" s="61"/>
      <c r="D3" s="2"/>
      <c r="E3" s="3"/>
      <c r="F3" s="3" t="s">
        <v>2</v>
      </c>
    </row>
    <row r="4" spans="1:6" ht="16.5" customHeight="1">
      <c r="A4" s="62" t="s">
        <v>3</v>
      </c>
      <c r="B4" s="4" t="s">
        <v>4</v>
      </c>
      <c r="C4" s="5"/>
      <c r="D4" s="6"/>
      <c r="E4" s="7"/>
      <c r="F4" s="8"/>
    </row>
    <row r="5" spans="1:6" ht="16.5" customHeight="1">
      <c r="A5" s="63"/>
      <c r="B5" s="9"/>
      <c r="C5" s="10" t="s">
        <v>5</v>
      </c>
      <c r="D5" s="11">
        <v>3303000</v>
      </c>
      <c r="E5" s="12"/>
      <c r="F5" s="13" t="s">
        <v>151</v>
      </c>
    </row>
    <row r="6" spans="1:6" ht="16.5" customHeight="1" thickBot="1">
      <c r="A6" s="63"/>
      <c r="B6" s="9"/>
      <c r="C6" s="10" t="s">
        <v>6</v>
      </c>
      <c r="D6" s="11"/>
      <c r="E6" s="14">
        <f>SUM(D5)</f>
        <v>3303000</v>
      </c>
      <c r="F6" s="13"/>
    </row>
    <row r="7" spans="1:6" ht="16.5" customHeight="1" thickTop="1">
      <c r="A7" s="63"/>
      <c r="B7" s="15"/>
      <c r="C7" s="16"/>
      <c r="D7" s="17"/>
      <c r="E7" s="18"/>
      <c r="F7" s="13"/>
    </row>
    <row r="8" spans="1:6" ht="16.5" customHeight="1">
      <c r="A8" s="63"/>
      <c r="B8" s="19" t="s">
        <v>7</v>
      </c>
      <c r="C8" s="20"/>
      <c r="D8" s="6"/>
      <c r="E8" s="7"/>
      <c r="F8" s="13"/>
    </row>
    <row r="9" spans="1:6" ht="16.5" customHeight="1">
      <c r="A9" s="63"/>
      <c r="B9" s="9"/>
      <c r="C9" s="10" t="s">
        <v>8</v>
      </c>
      <c r="D9" s="11">
        <f>10*1300*21*11</f>
        <v>3003000</v>
      </c>
      <c r="E9" s="12"/>
      <c r="F9" s="21" t="s">
        <v>9</v>
      </c>
    </row>
    <row r="10" spans="1:6" ht="16.5" customHeight="1">
      <c r="A10" s="63"/>
      <c r="B10" s="9"/>
      <c r="C10" s="10" t="s">
        <v>10</v>
      </c>
      <c r="D10" s="11">
        <v>300000</v>
      </c>
      <c r="E10" s="12"/>
      <c r="F10" s="21" t="s">
        <v>11</v>
      </c>
    </row>
    <row r="11" spans="1:6" ht="16.5" customHeight="1" thickBot="1">
      <c r="A11" s="63"/>
      <c r="B11" s="9"/>
      <c r="C11" s="10" t="s">
        <v>12</v>
      </c>
      <c r="D11" s="11"/>
      <c r="E11" s="14">
        <f>SUM(D9:D10)</f>
        <v>3303000</v>
      </c>
      <c r="F11" s="21"/>
    </row>
    <row r="12" spans="1:6" ht="16.5" customHeight="1" thickTop="1">
      <c r="A12" s="63"/>
      <c r="B12" s="9"/>
      <c r="C12" s="22" t="s">
        <v>13</v>
      </c>
      <c r="D12" s="11"/>
      <c r="E12" s="18">
        <v>0</v>
      </c>
      <c r="F12" s="21"/>
    </row>
    <row r="13" spans="1:6" ht="16.5" customHeight="1">
      <c r="A13" s="64"/>
      <c r="B13" s="15"/>
      <c r="C13" s="16"/>
      <c r="D13" s="17"/>
      <c r="E13" s="23"/>
      <c r="F13" s="24"/>
    </row>
    <row r="14" spans="1:6" ht="16.5" customHeight="1">
      <c r="A14" s="65" t="s">
        <v>14</v>
      </c>
      <c r="B14" s="68" t="s">
        <v>15</v>
      </c>
      <c r="C14" s="69"/>
      <c r="D14" s="7"/>
      <c r="E14" s="7"/>
      <c r="F14" s="25"/>
    </row>
    <row r="15" spans="1:6" ht="16.5" customHeight="1">
      <c r="A15" s="66"/>
      <c r="B15" s="70"/>
      <c r="C15" s="71"/>
      <c r="D15" s="12"/>
      <c r="E15" s="12"/>
      <c r="F15" s="26"/>
    </row>
    <row r="16" spans="1:6" ht="16.5" customHeight="1">
      <c r="A16" s="66"/>
      <c r="B16" s="9"/>
      <c r="C16" s="10" t="s">
        <v>16</v>
      </c>
      <c r="D16" s="12">
        <f>10*5850*21*11</f>
        <v>13513500</v>
      </c>
      <c r="E16" s="12"/>
      <c r="F16" s="26" t="s">
        <v>17</v>
      </c>
    </row>
    <row r="17" spans="1:6" ht="16.5" customHeight="1" thickBot="1">
      <c r="A17" s="66"/>
      <c r="B17" s="9"/>
      <c r="C17" s="22" t="s">
        <v>6</v>
      </c>
      <c r="D17" s="12"/>
      <c r="E17" s="14">
        <f>SUM(D16)</f>
        <v>13513500</v>
      </c>
      <c r="F17" s="26"/>
    </row>
    <row r="18" spans="1:6" ht="16.5" customHeight="1" thickTop="1">
      <c r="A18" s="66"/>
      <c r="B18" s="27" t="s">
        <v>18</v>
      </c>
      <c r="C18" s="28"/>
      <c r="D18" s="12"/>
      <c r="E18" s="18"/>
      <c r="F18" s="26"/>
    </row>
    <row r="19" spans="1:6" ht="12" customHeight="1">
      <c r="A19" s="66"/>
      <c r="B19" s="9"/>
      <c r="C19" s="72" t="s">
        <v>19</v>
      </c>
      <c r="D19" s="73">
        <f>(160000+150000+400000+200000)*11</f>
        <v>10010000</v>
      </c>
      <c r="E19" s="12"/>
      <c r="F19" s="26" t="s">
        <v>20</v>
      </c>
    </row>
    <row r="20" spans="1:6" ht="12" customHeight="1">
      <c r="A20" s="66"/>
      <c r="B20" s="9"/>
      <c r="C20" s="72"/>
      <c r="D20" s="73"/>
      <c r="E20" s="12"/>
      <c r="F20" s="26" t="s">
        <v>21</v>
      </c>
    </row>
    <row r="21" spans="1:6" ht="12" customHeight="1">
      <c r="A21" s="66"/>
      <c r="B21" s="9"/>
      <c r="C21" s="72"/>
      <c r="D21" s="73"/>
      <c r="E21" s="12"/>
      <c r="F21" s="26" t="s">
        <v>22</v>
      </c>
    </row>
    <row r="22" spans="1:6" ht="12" customHeight="1">
      <c r="A22" s="66"/>
      <c r="B22" s="9"/>
      <c r="C22" s="72"/>
      <c r="D22" s="73"/>
      <c r="E22" s="12"/>
      <c r="F22" s="26" t="s">
        <v>23</v>
      </c>
    </row>
    <row r="23" spans="1:6" ht="16.5" customHeight="1">
      <c r="A23" s="66"/>
      <c r="B23" s="9"/>
      <c r="C23" s="28" t="s">
        <v>24</v>
      </c>
      <c r="D23" s="12">
        <v>440000</v>
      </c>
      <c r="E23" s="12"/>
      <c r="F23" s="26" t="s">
        <v>25</v>
      </c>
    </row>
    <row r="24" spans="1:6" ht="16.5" customHeight="1">
      <c r="A24" s="66"/>
      <c r="B24" s="9"/>
      <c r="C24" s="28" t="s">
        <v>26</v>
      </c>
      <c r="D24" s="12">
        <v>60000</v>
      </c>
      <c r="E24" s="29"/>
      <c r="F24" s="26" t="s">
        <v>27</v>
      </c>
    </row>
    <row r="25" spans="1:6" ht="16.5" customHeight="1">
      <c r="A25" s="66"/>
      <c r="B25" s="9"/>
      <c r="C25" s="28" t="s">
        <v>28</v>
      </c>
      <c r="D25" s="12">
        <f>20000*11</f>
        <v>220000</v>
      </c>
      <c r="E25" s="29"/>
      <c r="F25" s="26" t="s">
        <v>29</v>
      </c>
    </row>
    <row r="26" spans="1:6" ht="16.5" customHeight="1">
      <c r="A26" s="66"/>
      <c r="B26" s="9"/>
      <c r="C26" s="28" t="s">
        <v>30</v>
      </c>
      <c r="D26" s="12">
        <v>1100000</v>
      </c>
      <c r="E26" s="29"/>
      <c r="F26" s="26" t="s">
        <v>31</v>
      </c>
    </row>
    <row r="27" spans="1:6" ht="16.5" customHeight="1">
      <c r="A27" s="66"/>
      <c r="B27" s="9"/>
      <c r="C27" s="28" t="s">
        <v>32</v>
      </c>
      <c r="D27" s="12">
        <v>220000</v>
      </c>
      <c r="E27" s="29"/>
      <c r="F27" s="26" t="s">
        <v>33</v>
      </c>
    </row>
    <row r="28" spans="1:6" ht="16.5" customHeight="1">
      <c r="A28" s="66"/>
      <c r="B28" s="9"/>
      <c r="C28" s="28" t="s">
        <v>34</v>
      </c>
      <c r="D28" s="12">
        <v>30000</v>
      </c>
      <c r="E28" s="29"/>
      <c r="F28" s="26" t="s">
        <v>35</v>
      </c>
    </row>
    <row r="29" spans="1:6" ht="16.5" customHeight="1">
      <c r="A29" s="66"/>
      <c r="B29" s="9"/>
      <c r="C29" s="28" t="s">
        <v>36</v>
      </c>
      <c r="D29" s="12">
        <f>330000</f>
        <v>330000</v>
      </c>
      <c r="E29" s="29"/>
      <c r="F29" s="26" t="s">
        <v>37</v>
      </c>
    </row>
    <row r="30" spans="1:6" ht="16.5" customHeight="1">
      <c r="A30" s="66"/>
      <c r="B30" s="9"/>
      <c r="C30" s="28" t="s">
        <v>38</v>
      </c>
      <c r="D30" s="12">
        <v>110000</v>
      </c>
      <c r="E30" s="29"/>
      <c r="F30" s="26" t="s">
        <v>39</v>
      </c>
    </row>
    <row r="31" spans="1:6" ht="16.5" customHeight="1">
      <c r="A31" s="66"/>
      <c r="B31" s="9"/>
      <c r="C31" s="28" t="s">
        <v>40</v>
      </c>
      <c r="D31" s="12">
        <v>220000</v>
      </c>
      <c r="E31" s="29"/>
      <c r="F31" s="26" t="s">
        <v>41</v>
      </c>
    </row>
    <row r="32" spans="1:6" ht="16.5" customHeight="1">
      <c r="A32" s="66"/>
      <c r="B32" s="9"/>
      <c r="C32" s="28" t="s">
        <v>42</v>
      </c>
      <c r="D32" s="12">
        <v>220000</v>
      </c>
      <c r="E32" s="29"/>
      <c r="F32" s="26" t="s">
        <v>43</v>
      </c>
    </row>
    <row r="33" spans="1:6" ht="16.5" customHeight="1">
      <c r="A33" s="66"/>
      <c r="B33" s="9"/>
      <c r="C33" s="28" t="s">
        <v>44</v>
      </c>
      <c r="D33" s="12">
        <v>110000</v>
      </c>
      <c r="E33" s="29"/>
      <c r="F33" s="30" t="s">
        <v>45</v>
      </c>
    </row>
    <row r="34" spans="1:6" ht="16.5" customHeight="1">
      <c r="A34" s="66"/>
      <c r="B34" s="9"/>
      <c r="C34" s="28" t="s">
        <v>46</v>
      </c>
      <c r="D34" s="12">
        <v>330000</v>
      </c>
      <c r="E34" s="29"/>
      <c r="F34" s="30" t="s">
        <v>47</v>
      </c>
    </row>
    <row r="35" spans="1:6" ht="16.5" customHeight="1">
      <c r="A35" s="66"/>
      <c r="B35" s="9"/>
      <c r="C35" s="28"/>
      <c r="D35" s="12"/>
      <c r="E35" s="29"/>
      <c r="F35" s="30"/>
    </row>
    <row r="36" spans="1:6" ht="16.5" customHeight="1" thickBot="1">
      <c r="A36" s="66"/>
      <c r="B36" s="9"/>
      <c r="C36" s="10" t="s">
        <v>12</v>
      </c>
      <c r="D36" s="12"/>
      <c r="E36" s="14">
        <f>SUM(D19:D34)</f>
        <v>13400000</v>
      </c>
      <c r="F36" s="30"/>
    </row>
    <row r="37" spans="1:6" ht="16.5" customHeight="1" thickTop="1">
      <c r="A37" s="66"/>
      <c r="B37" s="9"/>
      <c r="C37" s="28"/>
      <c r="D37" s="12"/>
      <c r="E37" s="18"/>
      <c r="F37" s="30"/>
    </row>
    <row r="38" spans="1:6" ht="16.5" customHeight="1">
      <c r="A38" s="67"/>
      <c r="B38" s="15"/>
      <c r="C38" s="31" t="s">
        <v>48</v>
      </c>
      <c r="D38" s="23"/>
      <c r="E38" s="32">
        <f>E17-E36</f>
        <v>113500</v>
      </c>
      <c r="F38" s="33"/>
    </row>
  </sheetData>
  <mergeCells count="8">
    <mergeCell ref="B1:F1"/>
    <mergeCell ref="B2:F2"/>
    <mergeCell ref="B3:C3"/>
    <mergeCell ref="A4:A13"/>
    <mergeCell ref="A14:A38"/>
    <mergeCell ref="B14:C15"/>
    <mergeCell ref="C19:C22"/>
    <mergeCell ref="D19:D22"/>
  </mergeCells>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
  <sheetViews>
    <sheetView topLeftCell="A4" zoomScaleNormal="100" workbookViewId="0">
      <selection activeCell="H32" sqref="H32"/>
    </sheetView>
  </sheetViews>
  <sheetFormatPr defaultRowHeight="16.5" customHeight="1"/>
  <cols>
    <col min="1" max="1" width="4.125" customWidth="1"/>
    <col min="2" max="2" width="3" customWidth="1"/>
    <col min="3" max="3" width="25.375" customWidth="1"/>
    <col min="4" max="5" width="12.125" customWidth="1"/>
    <col min="6" max="6" width="31" style="34" customWidth="1"/>
  </cols>
  <sheetData>
    <row r="1" spans="1:6" ht="16.5" customHeight="1">
      <c r="B1" s="59" t="s">
        <v>49</v>
      </c>
      <c r="C1" s="59"/>
      <c r="D1" s="59"/>
      <c r="E1" s="59"/>
      <c r="F1" s="59"/>
    </row>
    <row r="2" spans="1:6" ht="16.5" customHeight="1">
      <c r="B2" s="59" t="s">
        <v>50</v>
      </c>
      <c r="C2" s="59"/>
      <c r="D2" s="59"/>
      <c r="E2" s="59"/>
      <c r="F2" s="59"/>
    </row>
    <row r="3" spans="1:6" ht="16.5" customHeight="1">
      <c r="A3" s="1"/>
      <c r="B3" s="60" t="s">
        <v>1</v>
      </c>
      <c r="C3" s="61"/>
      <c r="D3" s="2"/>
      <c r="E3" s="3"/>
      <c r="F3" s="3" t="s">
        <v>2</v>
      </c>
    </row>
    <row r="4" spans="1:6" ht="16.5" customHeight="1">
      <c r="A4" s="62" t="s">
        <v>3</v>
      </c>
      <c r="B4" s="4" t="s">
        <v>4</v>
      </c>
      <c r="C4" s="5"/>
      <c r="D4" s="6"/>
      <c r="E4" s="7"/>
      <c r="F4" s="8"/>
    </row>
    <row r="5" spans="1:6" ht="16.5" customHeight="1">
      <c r="A5" s="63"/>
      <c r="B5" s="9"/>
      <c r="C5" s="10" t="s">
        <v>5</v>
      </c>
      <c r="D5" s="11">
        <v>6396800</v>
      </c>
      <c r="E5" s="12"/>
      <c r="F5" s="13"/>
    </row>
    <row r="6" spans="1:6" ht="16.5" customHeight="1" thickBot="1">
      <c r="A6" s="63"/>
      <c r="B6" s="9"/>
      <c r="C6" s="10" t="s">
        <v>6</v>
      </c>
      <c r="D6" s="11"/>
      <c r="E6" s="14">
        <f>SUM(D5)</f>
        <v>6396800</v>
      </c>
      <c r="F6" s="13"/>
    </row>
    <row r="7" spans="1:6" ht="16.5" customHeight="1" thickTop="1">
      <c r="A7" s="63"/>
      <c r="B7" s="15"/>
      <c r="C7" s="16"/>
      <c r="D7" s="17"/>
      <c r="E7" s="18"/>
      <c r="F7" s="13"/>
    </row>
    <row r="8" spans="1:6" ht="16.5" customHeight="1">
      <c r="A8" s="63"/>
      <c r="B8" s="19" t="s">
        <v>7</v>
      </c>
      <c r="C8" s="20"/>
      <c r="D8" s="6"/>
      <c r="E8" s="7"/>
      <c r="F8" s="13"/>
    </row>
    <row r="9" spans="1:6" ht="16.5" customHeight="1">
      <c r="A9" s="63"/>
      <c r="B9" s="9"/>
      <c r="C9" s="10" t="s">
        <v>8</v>
      </c>
      <c r="D9" s="11">
        <f>18*1300*21*12</f>
        <v>5896800</v>
      </c>
      <c r="E9" s="12"/>
      <c r="F9" s="21" t="s">
        <v>51</v>
      </c>
    </row>
    <row r="10" spans="1:6" ht="16.5" customHeight="1">
      <c r="A10" s="63"/>
      <c r="B10" s="9"/>
      <c r="C10" s="10" t="s">
        <v>10</v>
      </c>
      <c r="D10" s="11">
        <v>500000</v>
      </c>
      <c r="E10" s="12"/>
      <c r="F10" s="21" t="s">
        <v>11</v>
      </c>
    </row>
    <row r="11" spans="1:6" ht="16.5" customHeight="1" thickBot="1">
      <c r="A11" s="63"/>
      <c r="B11" s="9"/>
      <c r="C11" s="10" t="s">
        <v>12</v>
      </c>
      <c r="D11" s="11"/>
      <c r="E11" s="14">
        <f>SUM(D9:D10)</f>
        <v>6396800</v>
      </c>
      <c r="F11" s="21"/>
    </row>
    <row r="12" spans="1:6" ht="16.5" customHeight="1" thickTop="1">
      <c r="A12" s="63"/>
      <c r="B12" s="9"/>
      <c r="C12" s="22" t="s">
        <v>13</v>
      </c>
      <c r="D12" s="11"/>
      <c r="E12" s="18">
        <f>E6-E11</f>
        <v>0</v>
      </c>
      <c r="F12" s="21"/>
    </row>
    <row r="13" spans="1:6" ht="16.5" customHeight="1">
      <c r="A13" s="64"/>
      <c r="B13" s="15"/>
      <c r="C13" s="16"/>
      <c r="D13" s="17"/>
      <c r="E13" s="23"/>
      <c r="F13" s="24"/>
    </row>
    <row r="14" spans="1:6" ht="16.5" customHeight="1">
      <c r="A14" s="65" t="s">
        <v>14</v>
      </c>
      <c r="B14" s="68" t="s">
        <v>15</v>
      </c>
      <c r="C14" s="69"/>
      <c r="D14" s="7"/>
      <c r="E14" s="7"/>
      <c r="F14" s="25"/>
    </row>
    <row r="15" spans="1:6" ht="16.5" customHeight="1">
      <c r="A15" s="66"/>
      <c r="B15" s="70"/>
      <c r="C15" s="71"/>
      <c r="D15" s="12"/>
      <c r="E15" s="12"/>
      <c r="F15" s="26"/>
    </row>
    <row r="16" spans="1:6" ht="16.5" customHeight="1">
      <c r="A16" s="66"/>
      <c r="B16" s="9"/>
      <c r="C16" s="10" t="s">
        <v>16</v>
      </c>
      <c r="D16" s="12">
        <f>18*5850*21*12</f>
        <v>26535600</v>
      </c>
      <c r="E16" s="12"/>
      <c r="F16" s="26" t="s">
        <v>52</v>
      </c>
    </row>
    <row r="17" spans="1:6" ht="16.5" customHeight="1" thickBot="1">
      <c r="A17" s="66"/>
      <c r="B17" s="9"/>
      <c r="C17" s="22" t="s">
        <v>6</v>
      </c>
      <c r="D17" s="12"/>
      <c r="E17" s="14">
        <f>SUM(D16)</f>
        <v>26535600</v>
      </c>
      <c r="F17" s="26"/>
    </row>
    <row r="18" spans="1:6" ht="16.5" customHeight="1" thickTop="1">
      <c r="A18" s="66"/>
      <c r="B18" s="27" t="s">
        <v>18</v>
      </c>
      <c r="C18" s="28"/>
      <c r="D18" s="12"/>
      <c r="E18" s="18"/>
      <c r="F18" s="26"/>
    </row>
    <row r="19" spans="1:6" ht="12" customHeight="1">
      <c r="A19" s="66"/>
      <c r="B19" s="9"/>
      <c r="C19" s="72" t="s">
        <v>19</v>
      </c>
      <c r="D19" s="73">
        <f>(320000+300000+800000+200000)*11</f>
        <v>17820000</v>
      </c>
      <c r="E19" s="12"/>
      <c r="F19" s="26" t="s">
        <v>53</v>
      </c>
    </row>
    <row r="20" spans="1:6" ht="12" customHeight="1">
      <c r="A20" s="66"/>
      <c r="B20" s="9"/>
      <c r="C20" s="72"/>
      <c r="D20" s="73"/>
      <c r="E20" s="12"/>
      <c r="F20" s="26" t="s">
        <v>54</v>
      </c>
    </row>
    <row r="21" spans="1:6" ht="12" customHeight="1">
      <c r="A21" s="66"/>
      <c r="B21" s="9"/>
      <c r="C21" s="72"/>
      <c r="D21" s="73"/>
      <c r="E21" s="12"/>
      <c r="F21" s="26" t="s">
        <v>55</v>
      </c>
    </row>
    <row r="22" spans="1:6" ht="12" customHeight="1">
      <c r="A22" s="66"/>
      <c r="B22" s="9"/>
      <c r="C22" s="72"/>
      <c r="D22" s="73"/>
      <c r="E22" s="12"/>
      <c r="F22" s="26" t="s">
        <v>56</v>
      </c>
    </row>
    <row r="23" spans="1:6" ht="16.5" customHeight="1">
      <c r="A23" s="66"/>
      <c r="B23" s="9"/>
      <c r="C23" s="28" t="s">
        <v>24</v>
      </c>
      <c r="D23" s="12">
        <f>80000*12</f>
        <v>960000</v>
      </c>
      <c r="E23" s="12"/>
      <c r="F23" s="26" t="s">
        <v>57</v>
      </c>
    </row>
    <row r="24" spans="1:6" ht="16.5" customHeight="1">
      <c r="A24" s="66"/>
      <c r="B24" s="9"/>
      <c r="C24" s="28" t="s">
        <v>26</v>
      </c>
      <c r="D24" s="12">
        <v>120000</v>
      </c>
      <c r="E24" s="29"/>
      <c r="F24" s="26" t="s">
        <v>27</v>
      </c>
    </row>
    <row r="25" spans="1:6" ht="16.5" customHeight="1">
      <c r="A25" s="66"/>
      <c r="B25" s="9"/>
      <c r="C25" s="28" t="s">
        <v>28</v>
      </c>
      <c r="D25" s="12">
        <f>30000*12</f>
        <v>360000</v>
      </c>
      <c r="E25" s="29"/>
      <c r="F25" s="26" t="s">
        <v>58</v>
      </c>
    </row>
    <row r="26" spans="1:6" ht="16.5" customHeight="1">
      <c r="A26" s="66"/>
      <c r="B26" s="9"/>
      <c r="C26" s="28" t="s">
        <v>30</v>
      </c>
      <c r="D26" s="12">
        <v>2400000</v>
      </c>
      <c r="E26" s="29"/>
      <c r="F26" s="26" t="s">
        <v>59</v>
      </c>
    </row>
    <row r="27" spans="1:6" ht="16.5" customHeight="1">
      <c r="A27" s="66"/>
      <c r="B27" s="9"/>
      <c r="C27" s="28" t="s">
        <v>32</v>
      </c>
      <c r="D27" s="12">
        <v>2400000</v>
      </c>
      <c r="E27" s="29"/>
      <c r="F27" s="26" t="s">
        <v>60</v>
      </c>
    </row>
    <row r="28" spans="1:6" ht="16.5" customHeight="1">
      <c r="A28" s="66"/>
      <c r="B28" s="9"/>
      <c r="C28" s="28" t="s">
        <v>34</v>
      </c>
      <c r="D28" s="12">
        <v>300000</v>
      </c>
      <c r="E28" s="29"/>
      <c r="F28" s="26" t="s">
        <v>35</v>
      </c>
    </row>
    <row r="29" spans="1:6" ht="16.5" customHeight="1">
      <c r="A29" s="66"/>
      <c r="B29" s="9"/>
      <c r="C29" s="28" t="s">
        <v>36</v>
      </c>
      <c r="D29" s="12">
        <v>360000</v>
      </c>
      <c r="E29" s="29"/>
      <c r="F29" s="26" t="s">
        <v>61</v>
      </c>
    </row>
    <row r="30" spans="1:6" ht="16.5" customHeight="1">
      <c r="A30" s="66"/>
      <c r="B30" s="9"/>
      <c r="C30" s="28" t="s">
        <v>38</v>
      </c>
      <c r="D30" s="12">
        <v>240000</v>
      </c>
      <c r="E30" s="29"/>
      <c r="F30" s="26" t="s">
        <v>62</v>
      </c>
    </row>
    <row r="31" spans="1:6" ht="16.5" customHeight="1">
      <c r="A31" s="66"/>
      <c r="B31" s="9"/>
      <c r="C31" s="28" t="s">
        <v>40</v>
      </c>
      <c r="D31" s="12">
        <v>360000</v>
      </c>
      <c r="E31" s="29"/>
      <c r="F31" s="26" t="s">
        <v>63</v>
      </c>
    </row>
    <row r="32" spans="1:6" ht="16.5" customHeight="1">
      <c r="A32" s="66"/>
      <c r="B32" s="9"/>
      <c r="C32" s="28" t="s">
        <v>42</v>
      </c>
      <c r="D32" s="12">
        <v>360000</v>
      </c>
      <c r="E32" s="29"/>
      <c r="F32" s="26" t="s">
        <v>64</v>
      </c>
    </row>
    <row r="33" spans="1:6" ht="16.5" customHeight="1">
      <c r="A33" s="66"/>
      <c r="B33" s="9"/>
      <c r="C33" s="28" t="s">
        <v>44</v>
      </c>
      <c r="D33" s="12">
        <v>240000</v>
      </c>
      <c r="E33" s="29"/>
      <c r="F33" s="30" t="s">
        <v>65</v>
      </c>
    </row>
    <row r="34" spans="1:6" ht="16.5" customHeight="1">
      <c r="A34" s="66"/>
      <c r="B34" s="9"/>
      <c r="C34" s="28" t="s">
        <v>46</v>
      </c>
      <c r="D34" s="12">
        <v>360000</v>
      </c>
      <c r="E34" s="29"/>
      <c r="F34" s="30" t="s">
        <v>66</v>
      </c>
    </row>
    <row r="35" spans="1:6" ht="16.5" customHeight="1">
      <c r="A35" s="66"/>
      <c r="B35" s="9"/>
      <c r="C35" s="28"/>
      <c r="D35" s="12"/>
      <c r="E35" s="29"/>
      <c r="F35" s="30"/>
    </row>
    <row r="36" spans="1:6" ht="16.5" customHeight="1" thickBot="1">
      <c r="A36" s="66"/>
      <c r="B36" s="9"/>
      <c r="C36" s="10" t="s">
        <v>12</v>
      </c>
      <c r="D36" s="12"/>
      <c r="E36" s="14">
        <f>SUM(D19:D34)</f>
        <v>26280000</v>
      </c>
      <c r="F36" s="30"/>
    </row>
    <row r="37" spans="1:6" ht="16.5" customHeight="1" thickTop="1">
      <c r="A37" s="66"/>
      <c r="B37" s="9"/>
      <c r="C37" s="28"/>
      <c r="D37" s="12"/>
      <c r="E37" s="18"/>
      <c r="F37" s="30"/>
    </row>
    <row r="38" spans="1:6" ht="16.5" customHeight="1">
      <c r="A38" s="67"/>
      <c r="B38" s="15"/>
      <c r="C38" s="31" t="s">
        <v>13</v>
      </c>
      <c r="D38" s="23"/>
      <c r="E38" s="32">
        <f>E17-E36</f>
        <v>255600</v>
      </c>
      <c r="F38" s="33"/>
    </row>
  </sheetData>
  <mergeCells count="8">
    <mergeCell ref="B1:F1"/>
    <mergeCell ref="B2:F2"/>
    <mergeCell ref="B3:C3"/>
    <mergeCell ref="A4:A13"/>
    <mergeCell ref="A14:A38"/>
    <mergeCell ref="B14:C15"/>
    <mergeCell ref="C19:C22"/>
    <mergeCell ref="D19:D22"/>
  </mergeCells>
  <phoneticPr fontId="2"/>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
  <sheetViews>
    <sheetView workbookViewId="0">
      <selection activeCell="H32" sqref="H32"/>
    </sheetView>
  </sheetViews>
  <sheetFormatPr defaultRowHeight="13.5"/>
  <cols>
    <col min="1" max="1" width="30.125" customWidth="1"/>
    <col min="2" max="4" width="19.125" style="35" customWidth="1"/>
    <col min="5" max="8" width="9" style="35"/>
  </cols>
  <sheetData>
    <row r="1" spans="1:4">
      <c r="A1" s="74" t="s">
        <v>67</v>
      </c>
      <c r="B1" s="74"/>
      <c r="C1" s="74"/>
      <c r="D1" s="74"/>
    </row>
    <row r="2" spans="1:4">
      <c r="A2" s="75">
        <v>42094</v>
      </c>
      <c r="B2" s="76"/>
      <c r="C2" s="76"/>
      <c r="D2" s="76"/>
    </row>
    <row r="3" spans="1:4">
      <c r="A3" s="36" t="s">
        <v>1</v>
      </c>
      <c r="B3" s="77" t="s">
        <v>68</v>
      </c>
      <c r="C3" s="78"/>
      <c r="D3" s="78"/>
    </row>
    <row r="4" spans="1:4">
      <c r="A4" s="29" t="s">
        <v>69</v>
      </c>
      <c r="B4" s="7"/>
      <c r="C4" s="7"/>
      <c r="D4" s="7"/>
    </row>
    <row r="5" spans="1:4">
      <c r="A5" s="37" t="s">
        <v>70</v>
      </c>
      <c r="B5" s="12"/>
      <c r="C5" s="12"/>
      <c r="D5" s="12"/>
    </row>
    <row r="6" spans="1:4">
      <c r="A6" s="38" t="s">
        <v>71</v>
      </c>
      <c r="B6" s="12">
        <v>100000</v>
      </c>
      <c r="C6" s="12"/>
      <c r="D6" s="12"/>
    </row>
    <row r="7" spans="1:4">
      <c r="A7" s="38" t="s">
        <v>72</v>
      </c>
      <c r="B7" s="23">
        <v>300000</v>
      </c>
      <c r="C7" s="12"/>
      <c r="D7" s="12"/>
    </row>
    <row r="8" spans="1:4">
      <c r="A8" s="38" t="s">
        <v>73</v>
      </c>
      <c r="B8" s="12">
        <f>SUM(B6:B7)</f>
        <v>400000</v>
      </c>
      <c r="C8" s="12">
        <f>SUM(B6:B7)</f>
        <v>400000</v>
      </c>
      <c r="D8" s="12"/>
    </row>
    <row r="9" spans="1:4">
      <c r="A9" s="37" t="s">
        <v>74</v>
      </c>
      <c r="B9" s="12"/>
      <c r="C9" s="12"/>
      <c r="D9" s="12"/>
    </row>
    <row r="10" spans="1:4">
      <c r="A10" s="37" t="s">
        <v>75</v>
      </c>
      <c r="B10" s="12"/>
      <c r="C10" s="12"/>
      <c r="D10" s="12"/>
    </row>
    <row r="11" spans="1:4">
      <c r="A11" s="38" t="s">
        <v>76</v>
      </c>
      <c r="B11" s="12">
        <v>2500000</v>
      </c>
      <c r="C11" s="12"/>
      <c r="D11" s="12"/>
    </row>
    <row r="12" spans="1:4">
      <c r="A12" s="38" t="s">
        <v>77</v>
      </c>
      <c r="B12" s="23">
        <v>300000</v>
      </c>
      <c r="C12" s="12"/>
      <c r="D12" s="12"/>
    </row>
    <row r="13" spans="1:4">
      <c r="A13" s="38" t="s">
        <v>78</v>
      </c>
      <c r="B13" s="12">
        <f>SUM(B11:B12)</f>
        <v>2800000</v>
      </c>
      <c r="C13" s="12"/>
      <c r="D13" s="12"/>
    </row>
    <row r="14" spans="1:4">
      <c r="A14" s="37" t="s">
        <v>79</v>
      </c>
      <c r="B14" s="12"/>
      <c r="C14" s="12"/>
      <c r="D14" s="12"/>
    </row>
    <row r="15" spans="1:4">
      <c r="A15" s="38" t="s">
        <v>80</v>
      </c>
      <c r="B15" s="23">
        <v>200000</v>
      </c>
      <c r="C15" s="12"/>
      <c r="D15" s="12"/>
    </row>
    <row r="16" spans="1:4">
      <c r="A16" s="38" t="s">
        <v>81</v>
      </c>
      <c r="B16" s="12">
        <f>SUM(B15)</f>
        <v>200000</v>
      </c>
      <c r="C16" s="12"/>
      <c r="D16" s="12"/>
    </row>
    <row r="17" spans="1:4">
      <c r="A17" s="37" t="s">
        <v>82</v>
      </c>
      <c r="B17" s="12"/>
      <c r="C17" s="12"/>
      <c r="D17" s="12"/>
    </row>
    <row r="18" spans="1:4">
      <c r="A18" s="38" t="s">
        <v>83</v>
      </c>
      <c r="B18" s="23">
        <v>0</v>
      </c>
      <c r="C18" s="12"/>
      <c r="D18" s="12"/>
    </row>
    <row r="19" spans="1:4">
      <c r="A19" s="38" t="s">
        <v>84</v>
      </c>
      <c r="B19" s="12">
        <v>0</v>
      </c>
      <c r="C19" s="12"/>
      <c r="D19" s="12"/>
    </row>
    <row r="20" spans="1:4">
      <c r="A20" s="37" t="s">
        <v>85</v>
      </c>
      <c r="B20" s="12"/>
      <c r="C20" s="23">
        <f>B13+B16</f>
        <v>3000000</v>
      </c>
      <c r="D20" s="12"/>
    </row>
    <row r="21" spans="1:4" ht="14.25" thickBot="1">
      <c r="A21" s="29" t="s">
        <v>86</v>
      </c>
      <c r="B21" s="12"/>
      <c r="C21" s="12"/>
      <c r="D21" s="39">
        <f>C8+C20</f>
        <v>3400000</v>
      </c>
    </row>
    <row r="22" spans="1:4" ht="14.25" thickTop="1">
      <c r="A22" s="29"/>
      <c r="B22" s="12"/>
      <c r="C22" s="12"/>
      <c r="D22" s="12"/>
    </row>
    <row r="23" spans="1:4">
      <c r="A23" s="29" t="s">
        <v>87</v>
      </c>
      <c r="B23" s="12"/>
      <c r="C23" s="12"/>
      <c r="D23" s="12"/>
    </row>
    <row r="24" spans="1:4">
      <c r="A24" s="37" t="s">
        <v>88</v>
      </c>
      <c r="B24" s="12"/>
      <c r="C24" s="12"/>
      <c r="D24" s="12"/>
    </row>
    <row r="25" spans="1:4">
      <c r="A25" s="38" t="s">
        <v>89</v>
      </c>
      <c r="B25" s="12">
        <v>0</v>
      </c>
      <c r="C25" s="12"/>
      <c r="D25" s="12"/>
    </row>
    <row r="26" spans="1:4">
      <c r="A26" s="38" t="s">
        <v>90</v>
      </c>
      <c r="B26" s="12">
        <v>0</v>
      </c>
      <c r="C26" s="12"/>
      <c r="D26" s="12"/>
    </row>
    <row r="27" spans="1:4">
      <c r="A27" s="38" t="s">
        <v>91</v>
      </c>
      <c r="B27" s="23">
        <v>50000</v>
      </c>
      <c r="C27" s="12"/>
      <c r="D27" s="12"/>
    </row>
    <row r="28" spans="1:4">
      <c r="A28" s="38" t="s">
        <v>92</v>
      </c>
      <c r="B28" s="12">
        <f>SUM(B25:B27)</f>
        <v>50000</v>
      </c>
      <c r="C28" s="12"/>
      <c r="D28" s="12"/>
    </row>
    <row r="29" spans="1:4">
      <c r="A29" s="37" t="s">
        <v>93</v>
      </c>
      <c r="B29" s="12"/>
      <c r="C29" s="12"/>
      <c r="D29" s="12"/>
    </row>
    <row r="30" spans="1:4">
      <c r="A30" s="38" t="s">
        <v>94</v>
      </c>
      <c r="B30" s="23">
        <v>3236500</v>
      </c>
      <c r="C30" s="12"/>
      <c r="D30" s="12"/>
    </row>
    <row r="31" spans="1:4">
      <c r="A31" s="38" t="s">
        <v>95</v>
      </c>
      <c r="B31" s="12">
        <f>SUM(B30)</f>
        <v>3236500</v>
      </c>
      <c r="C31" s="12"/>
      <c r="D31" s="12"/>
    </row>
    <row r="32" spans="1:4">
      <c r="A32" s="29" t="s">
        <v>96</v>
      </c>
      <c r="B32" s="12"/>
      <c r="C32" s="12"/>
      <c r="D32" s="12">
        <f>B28+B31</f>
        <v>3286500</v>
      </c>
    </row>
    <row r="33" spans="1:4">
      <c r="A33" s="29" t="s">
        <v>97</v>
      </c>
      <c r="B33" s="12"/>
      <c r="C33" s="12"/>
      <c r="D33" s="12"/>
    </row>
    <row r="34" spans="1:4">
      <c r="A34" s="37" t="s">
        <v>98</v>
      </c>
      <c r="B34" s="12"/>
      <c r="C34" s="12">
        <v>0</v>
      </c>
      <c r="D34" s="12"/>
    </row>
    <row r="35" spans="1:4">
      <c r="A35" s="37" t="s">
        <v>99</v>
      </c>
      <c r="B35" s="12"/>
      <c r="C35" s="23">
        <v>113500</v>
      </c>
      <c r="D35" s="12"/>
    </row>
    <row r="36" spans="1:4">
      <c r="A36" s="37" t="s">
        <v>100</v>
      </c>
      <c r="B36" s="12"/>
      <c r="C36" s="12"/>
      <c r="D36" s="23">
        <f>SUM(C34:C35)</f>
        <v>113500</v>
      </c>
    </row>
    <row r="37" spans="1:4">
      <c r="A37" s="40" t="s">
        <v>101</v>
      </c>
      <c r="B37" s="23"/>
      <c r="C37" s="23"/>
      <c r="D37" s="23">
        <f>D32+D36</f>
        <v>3400000</v>
      </c>
    </row>
  </sheetData>
  <mergeCells count="3">
    <mergeCell ref="A1:D1"/>
    <mergeCell ref="A2:D2"/>
    <mergeCell ref="B3:D3"/>
  </mergeCells>
  <phoneticPr fontId="2"/>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
  <sheetViews>
    <sheetView topLeftCell="A10" workbookViewId="0">
      <selection activeCell="H32" sqref="H32"/>
    </sheetView>
  </sheetViews>
  <sheetFormatPr defaultRowHeight="13.5"/>
  <cols>
    <col min="1" max="1" width="30.125" customWidth="1"/>
    <col min="2" max="4" width="19.125" style="35" customWidth="1"/>
    <col min="5" max="5" width="9" style="35"/>
    <col min="6" max="6" width="9.25" style="35" bestFit="1" customWidth="1"/>
    <col min="7" max="8" width="9" style="35"/>
  </cols>
  <sheetData>
    <row r="1" spans="1:4">
      <c r="A1" s="74" t="s">
        <v>67</v>
      </c>
      <c r="B1" s="74"/>
      <c r="C1" s="74"/>
      <c r="D1" s="74"/>
    </row>
    <row r="2" spans="1:4">
      <c r="A2" s="75">
        <v>42460</v>
      </c>
      <c r="B2" s="76"/>
      <c r="C2" s="76"/>
      <c r="D2" s="76"/>
    </row>
    <row r="3" spans="1:4">
      <c r="A3" s="36" t="s">
        <v>1</v>
      </c>
      <c r="B3" s="77" t="s">
        <v>68</v>
      </c>
      <c r="C3" s="78"/>
      <c r="D3" s="78"/>
    </row>
    <row r="4" spans="1:4">
      <c r="A4" s="29" t="s">
        <v>69</v>
      </c>
      <c r="B4" s="7"/>
      <c r="C4" s="7"/>
      <c r="D4" s="7"/>
    </row>
    <row r="5" spans="1:4">
      <c r="A5" s="37" t="s">
        <v>70</v>
      </c>
      <c r="B5" s="12"/>
      <c r="C5" s="12"/>
      <c r="D5" s="12"/>
    </row>
    <row r="6" spans="1:4">
      <c r="A6" s="38" t="s">
        <v>71</v>
      </c>
      <c r="B6" s="12">
        <v>100000</v>
      </c>
      <c r="C6" s="12"/>
      <c r="D6" s="12"/>
    </row>
    <row r="7" spans="1:4">
      <c r="A7" s="38" t="s">
        <v>72</v>
      </c>
      <c r="B7" s="23">
        <v>300000</v>
      </c>
      <c r="C7" s="12"/>
      <c r="D7" s="12"/>
    </row>
    <row r="8" spans="1:4">
      <c r="A8" s="38" t="s">
        <v>73</v>
      </c>
      <c r="B8" s="12">
        <f>SUM(B6:B7)</f>
        <v>400000</v>
      </c>
      <c r="C8" s="12">
        <f>SUM(B6:B7)</f>
        <v>400000</v>
      </c>
      <c r="D8" s="12"/>
    </row>
    <row r="9" spans="1:4">
      <c r="A9" s="37" t="s">
        <v>74</v>
      </c>
      <c r="B9" s="12"/>
      <c r="C9" s="12"/>
      <c r="D9" s="12"/>
    </row>
    <row r="10" spans="1:4">
      <c r="A10" s="37" t="s">
        <v>75</v>
      </c>
      <c r="B10" s="12"/>
      <c r="C10" s="12"/>
      <c r="D10" s="12"/>
    </row>
    <row r="11" spans="1:4">
      <c r="A11" s="38" t="s">
        <v>76</v>
      </c>
      <c r="B11" s="12">
        <v>2500000</v>
      </c>
      <c r="C11" s="12"/>
      <c r="D11" s="12"/>
    </row>
    <row r="12" spans="1:4">
      <c r="A12" s="38" t="s">
        <v>77</v>
      </c>
      <c r="B12" s="23">
        <v>300000</v>
      </c>
      <c r="C12" s="12"/>
      <c r="D12" s="12"/>
    </row>
    <row r="13" spans="1:4">
      <c r="A13" s="38" t="s">
        <v>78</v>
      </c>
      <c r="B13" s="12">
        <f>SUM(B11:B12)</f>
        <v>2800000</v>
      </c>
      <c r="C13" s="12"/>
      <c r="D13" s="12"/>
    </row>
    <row r="14" spans="1:4">
      <c r="A14" s="37" t="s">
        <v>79</v>
      </c>
      <c r="B14" s="12"/>
      <c r="C14" s="12"/>
      <c r="D14" s="12"/>
    </row>
    <row r="15" spans="1:4">
      <c r="A15" s="38" t="s">
        <v>102</v>
      </c>
      <c r="B15" s="23">
        <v>300000</v>
      </c>
      <c r="C15" s="12"/>
      <c r="D15" s="12"/>
    </row>
    <row r="16" spans="1:4">
      <c r="A16" s="38" t="s">
        <v>81</v>
      </c>
      <c r="B16" s="12">
        <f>SUM(B15)</f>
        <v>300000</v>
      </c>
      <c r="C16" s="12"/>
      <c r="D16" s="12"/>
    </row>
    <row r="17" spans="1:4">
      <c r="A17" s="37" t="s">
        <v>82</v>
      </c>
      <c r="B17" s="12"/>
      <c r="C17" s="12"/>
      <c r="D17" s="12"/>
    </row>
    <row r="18" spans="1:4">
      <c r="A18" s="38" t="s">
        <v>83</v>
      </c>
      <c r="B18" s="23">
        <v>0</v>
      </c>
      <c r="C18" s="12"/>
      <c r="D18" s="12"/>
    </row>
    <row r="19" spans="1:4">
      <c r="A19" s="38" t="s">
        <v>84</v>
      </c>
      <c r="B19" s="12">
        <v>0</v>
      </c>
      <c r="C19" s="12"/>
      <c r="D19" s="12"/>
    </row>
    <row r="20" spans="1:4">
      <c r="A20" s="37" t="s">
        <v>85</v>
      </c>
      <c r="B20" s="12"/>
      <c r="C20" s="23">
        <f>B13+B16</f>
        <v>3100000</v>
      </c>
      <c r="D20" s="12"/>
    </row>
    <row r="21" spans="1:4" ht="14.25" thickBot="1">
      <c r="A21" s="29" t="s">
        <v>86</v>
      </c>
      <c r="B21" s="12"/>
      <c r="C21" s="12"/>
      <c r="D21" s="39">
        <f>C8+C20</f>
        <v>3500000</v>
      </c>
    </row>
    <row r="22" spans="1:4" ht="14.25" thickTop="1">
      <c r="A22" s="29"/>
      <c r="B22" s="12"/>
      <c r="C22" s="12"/>
      <c r="D22" s="12"/>
    </row>
    <row r="23" spans="1:4">
      <c r="A23" s="29" t="s">
        <v>87</v>
      </c>
      <c r="B23" s="12"/>
      <c r="C23" s="12"/>
      <c r="D23" s="12"/>
    </row>
    <row r="24" spans="1:4">
      <c r="A24" s="37" t="s">
        <v>88</v>
      </c>
      <c r="B24" s="12"/>
      <c r="C24" s="12"/>
      <c r="D24" s="12"/>
    </row>
    <row r="25" spans="1:4">
      <c r="A25" s="38" t="s">
        <v>89</v>
      </c>
      <c r="B25" s="12">
        <v>0</v>
      </c>
      <c r="C25" s="12"/>
      <c r="D25" s="12"/>
    </row>
    <row r="26" spans="1:4">
      <c r="A26" s="38" t="s">
        <v>90</v>
      </c>
      <c r="B26" s="12">
        <v>0</v>
      </c>
      <c r="C26" s="12"/>
      <c r="D26" s="12"/>
    </row>
    <row r="27" spans="1:4">
      <c r="A27" s="38" t="s">
        <v>91</v>
      </c>
      <c r="B27" s="23">
        <v>150000</v>
      </c>
      <c r="C27" s="12"/>
      <c r="D27" s="12"/>
    </row>
    <row r="28" spans="1:4">
      <c r="A28" s="38" t="s">
        <v>92</v>
      </c>
      <c r="B28" s="12">
        <f>SUM(B25:B27)</f>
        <v>150000</v>
      </c>
      <c r="C28" s="12"/>
      <c r="D28" s="12"/>
    </row>
    <row r="29" spans="1:4">
      <c r="A29" s="37" t="s">
        <v>93</v>
      </c>
      <c r="B29" s="12"/>
      <c r="C29" s="12"/>
      <c r="D29" s="12"/>
    </row>
    <row r="30" spans="1:4">
      <c r="A30" s="38" t="s">
        <v>94</v>
      </c>
      <c r="B30" s="23">
        <v>2980900</v>
      </c>
      <c r="C30" s="12"/>
      <c r="D30" s="12"/>
    </row>
    <row r="31" spans="1:4">
      <c r="A31" s="38" t="s">
        <v>95</v>
      </c>
      <c r="B31" s="12">
        <f>SUM(B30)</f>
        <v>2980900</v>
      </c>
      <c r="C31" s="12"/>
      <c r="D31" s="12"/>
    </row>
    <row r="32" spans="1:4">
      <c r="A32" s="29" t="s">
        <v>96</v>
      </c>
      <c r="B32" s="12"/>
      <c r="C32" s="12"/>
      <c r="D32" s="12">
        <f>B28+B31</f>
        <v>3130900</v>
      </c>
    </row>
    <row r="33" spans="1:4">
      <c r="A33" s="29" t="s">
        <v>97</v>
      </c>
      <c r="B33" s="12"/>
      <c r="C33" s="12"/>
      <c r="D33" s="12"/>
    </row>
    <row r="34" spans="1:4">
      <c r="A34" s="37" t="s">
        <v>98</v>
      </c>
      <c r="B34" s="12"/>
      <c r="C34" s="12">
        <v>113500</v>
      </c>
      <c r="D34" s="12"/>
    </row>
    <row r="35" spans="1:4">
      <c r="A35" s="37" t="s">
        <v>99</v>
      </c>
      <c r="B35" s="12"/>
      <c r="C35" s="23">
        <f>平成27年度!E38</f>
        <v>255600</v>
      </c>
      <c r="D35" s="12"/>
    </row>
    <row r="36" spans="1:4">
      <c r="A36" s="37" t="s">
        <v>100</v>
      </c>
      <c r="B36" s="12"/>
      <c r="C36" s="12"/>
      <c r="D36" s="23">
        <f>SUM(C34:C35)</f>
        <v>369100</v>
      </c>
    </row>
    <row r="37" spans="1:4">
      <c r="A37" s="40" t="s">
        <v>101</v>
      </c>
      <c r="B37" s="23"/>
      <c r="C37" s="23"/>
      <c r="D37" s="23">
        <f>D32+D36</f>
        <v>3500000</v>
      </c>
    </row>
  </sheetData>
  <mergeCells count="3">
    <mergeCell ref="A1:D1"/>
    <mergeCell ref="A2:D2"/>
    <mergeCell ref="B3:D3"/>
  </mergeCells>
  <phoneticPr fontId="2"/>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74"/>
  <sheetViews>
    <sheetView topLeftCell="A15" zoomScaleNormal="100" workbookViewId="0">
      <selection activeCell="H15" sqref="H15"/>
    </sheetView>
  </sheetViews>
  <sheetFormatPr defaultRowHeight="25.5" customHeight="1"/>
  <cols>
    <col min="1" max="1" width="1.5" customWidth="1"/>
    <col min="2" max="200" width="3.625" customWidth="1"/>
  </cols>
  <sheetData>
    <row r="1" spans="1:24" ht="25.5" customHeight="1">
      <c r="A1" s="41"/>
      <c r="B1" s="41"/>
      <c r="C1" s="41"/>
      <c r="D1" s="41"/>
      <c r="E1" s="41"/>
      <c r="F1" s="41"/>
      <c r="G1" s="41"/>
      <c r="H1" s="41"/>
      <c r="I1" s="41"/>
      <c r="J1" s="41"/>
      <c r="K1" s="41"/>
      <c r="L1" s="41"/>
      <c r="M1" s="41"/>
      <c r="N1" s="41"/>
      <c r="O1" s="41"/>
      <c r="P1" s="41"/>
      <c r="Q1" s="41"/>
      <c r="R1" s="41"/>
      <c r="S1" s="41"/>
      <c r="T1" s="41"/>
      <c r="U1" s="41"/>
      <c r="V1" s="41"/>
      <c r="W1" s="41"/>
      <c r="X1" s="41"/>
    </row>
    <row r="2" spans="1:24" ht="25.5" customHeight="1">
      <c r="A2" s="41"/>
      <c r="B2" s="41"/>
      <c r="C2" s="41"/>
      <c r="D2" s="41"/>
      <c r="E2" s="41"/>
      <c r="F2" s="41"/>
      <c r="G2" s="41"/>
      <c r="H2" s="41"/>
      <c r="I2" s="41"/>
      <c r="J2" s="41"/>
      <c r="K2" s="41"/>
      <c r="L2" s="41"/>
      <c r="M2" s="41"/>
      <c r="N2" s="41"/>
      <c r="O2" s="41"/>
      <c r="P2" s="41"/>
      <c r="Q2" s="41"/>
      <c r="R2" s="41"/>
      <c r="S2" s="41"/>
      <c r="T2" s="41"/>
      <c r="U2" s="41"/>
      <c r="V2" s="41"/>
      <c r="W2" s="41"/>
      <c r="X2" s="41"/>
    </row>
    <row r="3" spans="1:24" ht="25.5" customHeight="1">
      <c r="A3" s="41"/>
      <c r="B3" s="41"/>
      <c r="C3" s="41"/>
      <c r="D3" s="41"/>
      <c r="E3" s="79" t="s">
        <v>104</v>
      </c>
      <c r="F3" s="79"/>
      <c r="G3" s="79"/>
      <c r="H3" s="79"/>
      <c r="I3" s="79"/>
      <c r="J3" s="79"/>
      <c r="K3" s="79"/>
      <c r="L3" s="79"/>
      <c r="M3" s="79"/>
      <c r="N3" s="79"/>
      <c r="O3" s="79"/>
      <c r="P3" s="79"/>
      <c r="Q3" s="79"/>
      <c r="R3" s="79"/>
      <c r="S3" s="79"/>
      <c r="T3" s="79"/>
      <c r="U3" s="79"/>
      <c r="V3" s="41"/>
      <c r="W3" s="41"/>
      <c r="X3" s="41"/>
    </row>
    <row r="4" spans="1:24" ht="25.5" customHeight="1">
      <c r="A4" s="41"/>
      <c r="B4" s="41"/>
      <c r="C4" s="41"/>
      <c r="D4" s="41"/>
      <c r="E4" s="42"/>
      <c r="F4" s="42"/>
      <c r="G4" s="42"/>
      <c r="H4" s="42"/>
      <c r="I4" s="42"/>
      <c r="J4" s="42"/>
      <c r="K4" s="42"/>
      <c r="L4" s="42"/>
      <c r="M4" s="42"/>
      <c r="N4" s="42"/>
      <c r="O4" s="42"/>
      <c r="P4" s="42"/>
      <c r="Q4" s="42"/>
      <c r="R4" s="42"/>
      <c r="S4" s="42"/>
      <c r="T4" s="42"/>
      <c r="U4" s="42"/>
      <c r="V4" s="41"/>
      <c r="W4" s="41"/>
      <c r="X4" s="41"/>
    </row>
    <row r="5" spans="1:24" ht="25.5" customHeight="1">
      <c r="A5" s="41"/>
      <c r="B5" s="41"/>
      <c r="C5" s="41"/>
      <c r="D5" s="41"/>
      <c r="E5" s="41"/>
      <c r="F5" s="41"/>
      <c r="G5" s="41"/>
      <c r="H5" s="41"/>
      <c r="I5" s="41"/>
      <c r="J5" s="41"/>
      <c r="K5" s="41"/>
      <c r="L5" s="41"/>
      <c r="M5" s="41"/>
      <c r="N5" s="41"/>
      <c r="O5" s="41"/>
      <c r="P5" s="41"/>
      <c r="Q5" s="41"/>
      <c r="R5" s="41"/>
      <c r="S5" s="41"/>
      <c r="T5" s="41"/>
      <c r="U5" s="41"/>
      <c r="V5" s="41"/>
      <c r="W5" s="41"/>
      <c r="X5" s="41"/>
    </row>
    <row r="6" spans="1:24" ht="25.5" customHeight="1">
      <c r="A6" s="41"/>
      <c r="B6" s="41"/>
      <c r="C6" s="41"/>
      <c r="D6" s="41" t="s">
        <v>105</v>
      </c>
      <c r="E6" s="41"/>
      <c r="F6" s="41"/>
      <c r="G6" s="41"/>
      <c r="H6" s="41"/>
      <c r="I6" s="41" t="s">
        <v>106</v>
      </c>
      <c r="J6" s="41"/>
      <c r="K6" s="41"/>
      <c r="L6" s="41"/>
      <c r="M6" s="41"/>
      <c r="N6" s="41"/>
      <c r="O6" s="41"/>
      <c r="P6" s="41"/>
      <c r="Q6" s="41"/>
      <c r="R6" s="41"/>
      <c r="S6" s="41"/>
      <c r="T6" s="41"/>
      <c r="U6" s="41"/>
      <c r="V6" s="41"/>
      <c r="W6" s="41" t="s">
        <v>107</v>
      </c>
      <c r="X6" s="41"/>
    </row>
    <row r="7" spans="1:24" ht="25.5" customHeight="1">
      <c r="A7" s="41"/>
      <c r="B7" s="41"/>
      <c r="C7" s="41"/>
      <c r="D7" s="41" t="s">
        <v>108</v>
      </c>
      <c r="E7" s="41"/>
      <c r="F7" s="41"/>
      <c r="G7" s="41"/>
      <c r="H7" s="41"/>
      <c r="I7" s="41" t="s">
        <v>109</v>
      </c>
      <c r="J7" s="41"/>
      <c r="K7" s="41"/>
      <c r="L7" s="41"/>
      <c r="M7" s="41"/>
      <c r="N7" s="41"/>
      <c r="O7" s="41"/>
      <c r="P7" s="41"/>
      <c r="Q7" s="41"/>
      <c r="R7" s="41"/>
      <c r="S7" s="41"/>
      <c r="T7" s="41"/>
      <c r="U7" s="41"/>
      <c r="V7" s="41"/>
      <c r="W7" s="41" t="s">
        <v>107</v>
      </c>
      <c r="X7" s="41"/>
    </row>
    <row r="8" spans="1:24" ht="25.5" customHeight="1">
      <c r="A8" s="41"/>
      <c r="B8" s="41"/>
      <c r="C8" s="41"/>
      <c r="D8" s="41"/>
      <c r="E8" s="41"/>
      <c r="F8" s="41"/>
      <c r="G8" s="41"/>
      <c r="H8" s="41"/>
      <c r="I8" s="41"/>
      <c r="J8" s="41"/>
      <c r="K8" s="41"/>
      <c r="L8" s="41"/>
      <c r="M8" s="41"/>
      <c r="N8" s="41"/>
      <c r="O8" s="41"/>
      <c r="P8" s="41"/>
      <c r="Q8" s="41"/>
      <c r="R8" s="41"/>
      <c r="S8" s="41"/>
      <c r="T8" s="41"/>
      <c r="U8" s="41"/>
      <c r="V8" s="41"/>
      <c r="W8" s="41"/>
      <c r="X8" s="41"/>
    </row>
    <row r="9" spans="1:24" ht="25.5" customHeight="1">
      <c r="A9" s="41"/>
      <c r="B9" s="43"/>
      <c r="C9" s="44"/>
      <c r="D9" s="44"/>
      <c r="E9" s="44"/>
      <c r="F9" s="44"/>
      <c r="G9" s="44"/>
      <c r="H9" s="44"/>
      <c r="I9" s="44"/>
      <c r="J9" s="44"/>
      <c r="K9" s="44"/>
      <c r="L9" s="44"/>
      <c r="M9" s="45"/>
      <c r="N9" s="45"/>
      <c r="O9" s="45"/>
      <c r="P9" s="45"/>
      <c r="Q9" s="45"/>
      <c r="R9" s="45"/>
      <c r="S9" s="45"/>
      <c r="T9" s="45"/>
      <c r="U9" s="45"/>
      <c r="V9" s="45"/>
      <c r="W9" s="45"/>
      <c r="X9" s="46"/>
    </row>
    <row r="10" spans="1:24" ht="25.5" customHeight="1">
      <c r="A10" s="41"/>
      <c r="B10" s="9"/>
      <c r="C10" s="47" t="s">
        <v>69</v>
      </c>
      <c r="D10" s="47"/>
      <c r="E10" s="47"/>
      <c r="F10" s="47"/>
      <c r="G10" s="47"/>
      <c r="H10" s="47"/>
      <c r="I10" s="47"/>
      <c r="J10" s="47"/>
      <c r="K10" s="47"/>
      <c r="L10" s="47"/>
      <c r="M10" s="47"/>
      <c r="N10" s="47"/>
      <c r="O10" s="47"/>
      <c r="P10" s="47"/>
      <c r="Q10" s="47"/>
      <c r="R10" s="47"/>
      <c r="S10" s="47"/>
      <c r="T10" s="47"/>
      <c r="U10" s="47"/>
      <c r="W10" s="47" t="s">
        <v>110</v>
      </c>
      <c r="X10" s="48"/>
    </row>
    <row r="11" spans="1:24" ht="25.5" customHeight="1">
      <c r="A11" s="41"/>
      <c r="B11" s="9"/>
      <c r="C11" s="47"/>
      <c r="D11" s="47"/>
      <c r="E11" s="47" t="s">
        <v>111</v>
      </c>
      <c r="F11" s="47"/>
      <c r="G11" s="47"/>
      <c r="H11" s="47"/>
      <c r="I11" s="47"/>
      <c r="J11" s="47"/>
      <c r="K11" s="47"/>
      <c r="L11" s="47"/>
      <c r="M11" s="47"/>
      <c r="N11" s="47"/>
      <c r="O11" s="47"/>
      <c r="P11" s="47"/>
      <c r="Q11" s="47"/>
      <c r="R11" s="47"/>
      <c r="S11" s="47"/>
      <c r="T11" s="47"/>
      <c r="U11" s="47"/>
      <c r="W11" s="47"/>
      <c r="X11" s="48"/>
    </row>
    <row r="12" spans="1:24" ht="25.5" customHeight="1">
      <c r="A12" s="41"/>
      <c r="B12" s="9"/>
      <c r="C12" s="47"/>
      <c r="D12" s="47"/>
      <c r="E12" s="47"/>
      <c r="F12" s="47" t="s">
        <v>112</v>
      </c>
      <c r="G12" s="47"/>
      <c r="H12" s="47"/>
      <c r="I12" s="47"/>
      <c r="J12" s="47"/>
      <c r="K12" s="47"/>
      <c r="L12" s="47"/>
      <c r="M12" s="47"/>
      <c r="N12" s="47"/>
      <c r="O12" s="47"/>
      <c r="P12" s="47"/>
      <c r="Q12" s="47"/>
      <c r="R12" s="47"/>
      <c r="S12" s="47"/>
      <c r="T12" s="47"/>
      <c r="U12" s="47"/>
      <c r="W12" s="47"/>
      <c r="X12" s="48"/>
    </row>
    <row r="13" spans="1:24" ht="25.5" customHeight="1">
      <c r="A13" s="41"/>
      <c r="B13" s="9"/>
      <c r="C13" s="47"/>
      <c r="D13" s="47"/>
      <c r="E13" s="47"/>
      <c r="F13" s="47" t="s">
        <v>113</v>
      </c>
      <c r="G13" s="47"/>
      <c r="H13" s="47" t="s">
        <v>114</v>
      </c>
      <c r="I13" s="47"/>
      <c r="J13" s="47"/>
      <c r="K13" s="47"/>
      <c r="L13" s="47"/>
      <c r="M13" s="47"/>
      <c r="N13" s="47"/>
      <c r="O13" s="47"/>
      <c r="P13" s="80" t="s">
        <v>115</v>
      </c>
      <c r="Q13" s="80"/>
      <c r="R13" s="80"/>
      <c r="S13" s="80"/>
      <c r="T13" s="80"/>
      <c r="U13" s="80"/>
      <c r="V13" s="80"/>
      <c r="W13" s="47" t="s">
        <v>110</v>
      </c>
      <c r="X13" s="48"/>
    </row>
    <row r="14" spans="1:24" ht="25.5" customHeight="1">
      <c r="A14" s="41"/>
      <c r="B14" s="9"/>
      <c r="C14" s="47"/>
      <c r="D14" s="47"/>
      <c r="E14" s="47"/>
      <c r="F14" s="47" t="s">
        <v>116</v>
      </c>
      <c r="G14" s="47"/>
      <c r="H14" s="47" t="s">
        <v>117</v>
      </c>
      <c r="I14" s="47"/>
      <c r="J14" s="47"/>
      <c r="K14" s="47"/>
      <c r="L14" s="47"/>
      <c r="M14" s="47"/>
      <c r="N14" s="47"/>
      <c r="O14" s="47"/>
      <c r="P14" s="80" t="s">
        <v>118</v>
      </c>
      <c r="Q14" s="80"/>
      <c r="R14" s="80"/>
      <c r="S14" s="80"/>
      <c r="T14" s="80"/>
      <c r="U14" s="80"/>
      <c r="V14" s="80"/>
      <c r="W14" s="47" t="s">
        <v>110</v>
      </c>
      <c r="X14" s="48"/>
    </row>
    <row r="15" spans="1:24" ht="25.5" customHeight="1">
      <c r="A15" s="41"/>
      <c r="B15" s="9"/>
      <c r="C15" s="47"/>
      <c r="D15" s="47"/>
      <c r="E15" s="47" t="s">
        <v>119</v>
      </c>
      <c r="F15" s="47"/>
      <c r="G15" s="47"/>
      <c r="H15" s="47"/>
      <c r="I15" s="47"/>
      <c r="J15" s="47"/>
      <c r="K15" s="47"/>
      <c r="L15" s="47"/>
      <c r="M15" s="47"/>
      <c r="N15" s="47"/>
      <c r="O15" s="47"/>
      <c r="P15" s="47"/>
      <c r="Q15" s="47"/>
      <c r="R15" s="47"/>
      <c r="S15" s="47"/>
      <c r="T15" s="47"/>
      <c r="U15" s="47"/>
      <c r="W15" s="47"/>
      <c r="X15" s="48"/>
    </row>
    <row r="16" spans="1:24" ht="25.5" customHeight="1">
      <c r="A16" s="41"/>
      <c r="B16" s="49"/>
      <c r="C16" s="47"/>
      <c r="D16" s="47"/>
      <c r="E16" s="47"/>
      <c r="F16" s="47" t="s">
        <v>112</v>
      </c>
      <c r="G16" s="47"/>
      <c r="H16" s="47"/>
      <c r="I16" s="47"/>
      <c r="J16" s="47"/>
      <c r="K16" s="47"/>
      <c r="L16" s="47"/>
      <c r="M16" s="47"/>
      <c r="N16" s="47"/>
      <c r="O16" s="47"/>
      <c r="P16" s="47"/>
      <c r="Q16" s="47"/>
      <c r="R16" s="47"/>
      <c r="S16" s="47"/>
      <c r="T16" s="47"/>
      <c r="U16" s="47"/>
      <c r="W16" s="47"/>
      <c r="X16" s="48"/>
    </row>
    <row r="17" spans="1:24" ht="25.5" customHeight="1">
      <c r="A17" s="41"/>
      <c r="B17" s="49"/>
      <c r="C17" s="47"/>
      <c r="D17" s="47"/>
      <c r="E17" s="47"/>
      <c r="F17" s="47" t="s">
        <v>113</v>
      </c>
      <c r="G17" s="47"/>
      <c r="H17" s="47" t="s">
        <v>156</v>
      </c>
      <c r="I17" s="47"/>
      <c r="J17" s="47"/>
      <c r="K17" s="47"/>
      <c r="L17" s="47"/>
      <c r="M17" s="47"/>
      <c r="N17" s="47"/>
      <c r="O17" s="47"/>
      <c r="P17" s="80" t="s">
        <v>154</v>
      </c>
      <c r="Q17" s="80"/>
      <c r="R17" s="80"/>
      <c r="S17" s="80"/>
      <c r="T17" s="80"/>
      <c r="U17" s="80"/>
      <c r="V17" s="80"/>
      <c r="W17" s="47" t="s">
        <v>110</v>
      </c>
      <c r="X17" s="48"/>
    </row>
    <row r="18" spans="1:24" ht="25.5" customHeight="1">
      <c r="A18" s="41"/>
      <c r="B18" s="49"/>
      <c r="C18" s="47"/>
      <c r="D18" s="47"/>
      <c r="E18" s="47"/>
      <c r="F18" s="47" t="s">
        <v>116</v>
      </c>
      <c r="G18" s="47"/>
      <c r="H18" s="47" t="s">
        <v>121</v>
      </c>
      <c r="I18" s="47"/>
      <c r="J18" s="47"/>
      <c r="K18" s="47"/>
      <c r="L18" s="47"/>
      <c r="M18" s="47"/>
      <c r="N18" s="47"/>
      <c r="O18" s="47"/>
      <c r="P18" s="47"/>
      <c r="Q18" s="47"/>
      <c r="R18" s="47"/>
      <c r="S18" s="47"/>
      <c r="T18" s="47"/>
      <c r="U18" s="47"/>
      <c r="W18" s="47" t="s">
        <v>110</v>
      </c>
      <c r="X18" s="48"/>
    </row>
    <row r="19" spans="1:24" ht="25.5" customHeight="1">
      <c r="A19" s="41"/>
      <c r="B19" s="49"/>
      <c r="C19" s="47"/>
      <c r="D19" s="47"/>
      <c r="E19" s="47"/>
      <c r="F19" s="47" t="s">
        <v>122</v>
      </c>
      <c r="G19" s="47"/>
      <c r="H19" s="47" t="s">
        <v>117</v>
      </c>
      <c r="I19" s="47"/>
      <c r="J19" s="47"/>
      <c r="K19" s="47"/>
      <c r="L19" s="47"/>
      <c r="M19" s="47"/>
      <c r="N19" s="47"/>
      <c r="O19" s="47"/>
      <c r="P19" s="47"/>
      <c r="Q19" s="47"/>
      <c r="R19" s="47"/>
      <c r="S19" s="47"/>
      <c r="T19" s="47"/>
      <c r="U19" s="47"/>
      <c r="W19" s="47" t="s">
        <v>110</v>
      </c>
      <c r="X19" s="48"/>
    </row>
    <row r="20" spans="1:24" ht="25.5" customHeight="1">
      <c r="A20" s="41"/>
      <c r="B20" s="49"/>
      <c r="C20" s="47" t="s">
        <v>87</v>
      </c>
      <c r="D20" s="47"/>
      <c r="E20" s="47"/>
      <c r="F20" s="50"/>
      <c r="G20" s="47"/>
      <c r="H20" s="47"/>
      <c r="I20" s="47"/>
      <c r="J20" s="47"/>
      <c r="K20" s="47"/>
      <c r="L20" s="47"/>
      <c r="M20" s="47"/>
      <c r="N20" s="47"/>
      <c r="O20" s="47"/>
      <c r="P20" s="47"/>
      <c r="Q20" s="47"/>
      <c r="R20" s="47"/>
      <c r="S20" s="47"/>
      <c r="T20" s="47"/>
      <c r="U20" s="47"/>
      <c r="W20" s="47"/>
      <c r="X20" s="48"/>
    </row>
    <row r="21" spans="1:24" ht="25.5" customHeight="1">
      <c r="A21" s="41"/>
      <c r="B21" s="49"/>
      <c r="C21" s="47"/>
      <c r="D21" s="47"/>
      <c r="E21" s="47" t="s">
        <v>123</v>
      </c>
      <c r="F21" s="47"/>
      <c r="G21" s="47"/>
      <c r="H21" s="47"/>
      <c r="I21" s="47"/>
      <c r="J21" s="47"/>
      <c r="K21" s="47"/>
      <c r="L21" s="47"/>
      <c r="M21" s="47"/>
      <c r="N21" s="47"/>
      <c r="O21" s="47"/>
      <c r="P21" s="80" t="s">
        <v>155</v>
      </c>
      <c r="Q21" s="80"/>
      <c r="R21" s="80"/>
      <c r="S21" s="80"/>
      <c r="T21" s="80"/>
      <c r="U21" s="80"/>
      <c r="V21" s="80"/>
      <c r="W21" s="47" t="s">
        <v>110</v>
      </c>
      <c r="X21" s="48"/>
    </row>
    <row r="22" spans="1:24" ht="25.5" customHeight="1">
      <c r="A22" s="41"/>
      <c r="B22" s="49"/>
      <c r="C22" s="47" t="s">
        <v>124</v>
      </c>
      <c r="D22" s="47"/>
      <c r="E22" s="47"/>
      <c r="F22" s="47"/>
      <c r="G22" s="47"/>
      <c r="H22" s="47"/>
      <c r="I22" s="47"/>
      <c r="J22" s="47"/>
      <c r="K22" s="47"/>
      <c r="L22" s="47"/>
      <c r="M22" s="47"/>
      <c r="N22" s="47"/>
      <c r="O22" s="47"/>
      <c r="P22" s="80" t="s">
        <v>154</v>
      </c>
      <c r="Q22" s="80"/>
      <c r="R22" s="80"/>
      <c r="S22" s="80"/>
      <c r="T22" s="80"/>
      <c r="U22" s="80"/>
      <c r="V22" s="80"/>
      <c r="W22" s="47" t="s">
        <v>110</v>
      </c>
      <c r="X22" s="48"/>
    </row>
    <row r="23" spans="1:24" ht="25.5" customHeight="1">
      <c r="A23" s="41"/>
      <c r="B23" s="49"/>
      <c r="C23" s="47"/>
      <c r="D23" s="47"/>
      <c r="E23" s="47" t="s">
        <v>125</v>
      </c>
      <c r="F23" s="47"/>
      <c r="G23" s="47"/>
      <c r="H23" s="47"/>
      <c r="I23" s="47"/>
      <c r="J23" s="47"/>
      <c r="K23" s="47"/>
      <c r="L23" s="47"/>
      <c r="M23" s="47"/>
      <c r="N23" s="47"/>
      <c r="O23" s="47"/>
      <c r="P23" s="47"/>
      <c r="Q23" s="47"/>
      <c r="R23" s="47"/>
      <c r="S23" s="47"/>
      <c r="T23" s="47"/>
      <c r="U23" s="47"/>
      <c r="V23" s="47"/>
      <c r="W23" s="47"/>
      <c r="X23" s="48"/>
    </row>
    <row r="24" spans="1:24" ht="25.5" customHeight="1">
      <c r="A24" s="41"/>
      <c r="B24" s="51"/>
      <c r="C24" s="52"/>
      <c r="D24" s="52"/>
      <c r="E24" s="52"/>
      <c r="F24" s="52"/>
      <c r="G24" s="52"/>
      <c r="H24" s="52"/>
      <c r="I24" s="52"/>
      <c r="J24" s="52"/>
      <c r="K24" s="52"/>
      <c r="L24" s="52"/>
      <c r="M24" s="52"/>
      <c r="N24" s="52"/>
      <c r="O24" s="52"/>
      <c r="P24" s="52"/>
      <c r="Q24" s="52"/>
      <c r="R24" s="52"/>
      <c r="S24" s="52"/>
      <c r="T24" s="52"/>
      <c r="U24" s="52"/>
      <c r="V24" s="52"/>
      <c r="W24" s="52"/>
      <c r="X24" s="53"/>
    </row>
    <row r="25" spans="1:24" ht="25.5" customHeight="1">
      <c r="A25" s="41"/>
      <c r="B25" s="41"/>
      <c r="C25" s="41"/>
      <c r="D25" s="41"/>
      <c r="E25" s="41"/>
      <c r="F25" s="41"/>
      <c r="G25" s="41"/>
      <c r="H25" s="41"/>
      <c r="I25" s="41"/>
      <c r="J25" s="41"/>
      <c r="K25" s="41"/>
      <c r="L25" s="41"/>
      <c r="M25" s="41"/>
      <c r="N25" s="41"/>
      <c r="O25" s="41"/>
      <c r="P25" s="41"/>
      <c r="Q25" s="41"/>
      <c r="R25" s="41"/>
      <c r="S25" s="41"/>
      <c r="T25" s="41"/>
      <c r="U25" s="41"/>
      <c r="V25" s="41"/>
      <c r="W25" s="41"/>
      <c r="X25" s="41"/>
    </row>
    <row r="26" spans="1:24" ht="25.5" customHeight="1">
      <c r="A26" s="41"/>
      <c r="B26" s="41"/>
      <c r="C26" s="41"/>
      <c r="D26" s="41"/>
      <c r="E26" s="41"/>
      <c r="F26" s="41"/>
      <c r="G26" s="41"/>
      <c r="H26" s="41"/>
      <c r="I26" s="41"/>
      <c r="J26" s="41"/>
      <c r="K26" s="41"/>
      <c r="L26" s="41"/>
      <c r="M26" s="41"/>
      <c r="N26" s="41"/>
      <c r="O26" s="41"/>
      <c r="P26" s="41"/>
      <c r="Q26" s="41"/>
      <c r="R26" s="41"/>
      <c r="S26" s="41"/>
      <c r="T26" s="41"/>
      <c r="U26" s="41"/>
      <c r="V26" s="41"/>
      <c r="W26" s="41"/>
      <c r="X26" s="41"/>
    </row>
    <row r="27" spans="1:24" ht="25.5" customHeight="1">
      <c r="A27" s="41"/>
      <c r="B27" s="41"/>
      <c r="C27" s="41"/>
      <c r="D27" s="41"/>
      <c r="E27" s="41"/>
      <c r="F27" s="41"/>
      <c r="G27" s="41"/>
      <c r="H27" s="41"/>
      <c r="I27" s="41"/>
      <c r="J27" s="41"/>
      <c r="K27" s="41"/>
      <c r="L27" s="41"/>
      <c r="M27" s="41"/>
      <c r="N27" s="41"/>
      <c r="O27" s="41"/>
      <c r="P27" s="41"/>
      <c r="Q27" s="41"/>
      <c r="R27" s="41"/>
      <c r="S27" s="41"/>
      <c r="T27" s="41"/>
      <c r="U27" s="41"/>
      <c r="V27" s="41"/>
      <c r="W27" s="41"/>
      <c r="X27" s="41"/>
    </row>
    <row r="28" spans="1:24" ht="25.5" customHeight="1">
      <c r="A28" s="41"/>
      <c r="B28" s="41"/>
      <c r="C28" s="41"/>
      <c r="D28" s="41"/>
      <c r="E28" s="41"/>
      <c r="F28" s="41"/>
      <c r="G28" s="41"/>
      <c r="H28" s="41"/>
      <c r="I28" s="41"/>
      <c r="J28" s="41"/>
      <c r="K28" s="41"/>
      <c r="L28" s="41"/>
      <c r="M28" s="41"/>
      <c r="N28" s="41"/>
      <c r="O28" s="41"/>
      <c r="P28" s="41"/>
      <c r="Q28" s="41"/>
      <c r="R28" s="41"/>
      <c r="S28" s="41"/>
      <c r="T28" s="41"/>
      <c r="U28" s="41"/>
      <c r="V28" s="41"/>
      <c r="W28" s="41"/>
      <c r="X28" s="41"/>
    </row>
    <row r="29" spans="1:24" ht="25.5" customHeight="1">
      <c r="A29" s="41"/>
      <c r="B29" s="41"/>
      <c r="C29" s="41"/>
      <c r="D29" s="41"/>
      <c r="E29" s="41"/>
      <c r="F29" s="41"/>
      <c r="G29" s="41"/>
      <c r="H29" s="41"/>
      <c r="I29" s="41"/>
      <c r="J29" s="41"/>
      <c r="K29" s="41"/>
      <c r="L29" s="41"/>
      <c r="M29" s="41"/>
      <c r="N29" s="41"/>
      <c r="O29" s="41"/>
      <c r="P29" s="41"/>
      <c r="Q29" s="41"/>
      <c r="R29" s="41"/>
      <c r="S29" s="41"/>
      <c r="T29" s="41"/>
      <c r="U29" s="41"/>
      <c r="V29" s="41"/>
      <c r="W29" s="41"/>
      <c r="X29" s="41"/>
    </row>
    <row r="30" spans="1:24" ht="25.5" customHeight="1">
      <c r="A30" s="41"/>
      <c r="B30" s="41"/>
      <c r="C30" s="41"/>
      <c r="D30" s="41"/>
      <c r="E30" s="41"/>
      <c r="F30" s="41"/>
      <c r="G30" s="41"/>
      <c r="H30" s="41"/>
      <c r="I30" s="41"/>
      <c r="J30" s="41"/>
      <c r="K30" s="41"/>
      <c r="L30" s="41"/>
      <c r="M30" s="41"/>
      <c r="N30" s="41"/>
      <c r="O30" s="41"/>
      <c r="P30" s="41"/>
      <c r="Q30" s="41"/>
      <c r="R30" s="41"/>
      <c r="S30" s="41"/>
      <c r="T30" s="41"/>
      <c r="U30" s="41"/>
      <c r="V30" s="41"/>
      <c r="W30" s="41"/>
      <c r="X30" s="41"/>
    </row>
    <row r="31" spans="1:24" ht="25.5" customHeight="1">
      <c r="A31" s="41"/>
      <c r="B31" s="41"/>
      <c r="C31" s="41"/>
      <c r="D31" s="41"/>
      <c r="E31" s="41"/>
      <c r="F31" s="41"/>
      <c r="G31" s="41"/>
      <c r="H31" s="41"/>
      <c r="I31" s="41"/>
      <c r="J31" s="41"/>
      <c r="K31" s="41"/>
      <c r="L31" s="41"/>
      <c r="M31" s="41"/>
      <c r="N31" s="41"/>
      <c r="O31" s="41"/>
      <c r="P31" s="41"/>
      <c r="Q31" s="41"/>
      <c r="R31" s="41"/>
      <c r="S31" s="41"/>
      <c r="T31" s="41"/>
      <c r="U31" s="41"/>
      <c r="V31" s="41"/>
      <c r="W31" s="41"/>
      <c r="X31" s="41"/>
    </row>
    <row r="32" spans="1:24" ht="25.5" customHeight="1">
      <c r="A32" s="41"/>
      <c r="B32" s="41" t="s">
        <v>103</v>
      </c>
      <c r="C32" s="41"/>
      <c r="D32" s="41"/>
      <c r="E32" s="41"/>
      <c r="F32" s="41"/>
      <c r="G32" s="41"/>
      <c r="H32" s="41"/>
      <c r="I32" s="41"/>
      <c r="J32" s="41"/>
      <c r="K32" s="41"/>
      <c r="L32" s="41"/>
      <c r="M32" s="41"/>
      <c r="N32" s="41"/>
      <c r="O32" s="41"/>
      <c r="P32" s="41"/>
      <c r="Q32" s="41"/>
      <c r="R32" s="41"/>
      <c r="S32" s="41"/>
      <c r="T32" s="41"/>
      <c r="U32" s="41"/>
      <c r="V32" s="41"/>
      <c r="W32" s="41"/>
      <c r="X32" s="41"/>
    </row>
    <row r="33" spans="1:24" ht="25.5" customHeight="1">
      <c r="A33" s="41"/>
      <c r="B33" s="41"/>
      <c r="C33" s="41"/>
      <c r="D33" s="41"/>
      <c r="E33" s="79" t="s">
        <v>104</v>
      </c>
      <c r="F33" s="79"/>
      <c r="G33" s="79"/>
      <c r="H33" s="79"/>
      <c r="I33" s="79"/>
      <c r="J33" s="79"/>
      <c r="K33" s="79"/>
      <c r="L33" s="79"/>
      <c r="M33" s="79"/>
      <c r="N33" s="79"/>
      <c r="O33" s="79"/>
      <c r="P33" s="79"/>
      <c r="Q33" s="79"/>
      <c r="R33" s="79"/>
      <c r="S33" s="79"/>
      <c r="T33" s="79"/>
      <c r="U33" s="79"/>
      <c r="V33" s="41"/>
      <c r="W33" s="41"/>
      <c r="X33" s="41"/>
    </row>
    <row r="34" spans="1:24" ht="25.5" customHeight="1">
      <c r="A34" s="41"/>
      <c r="B34" s="41"/>
      <c r="C34" s="41"/>
      <c r="D34" s="41"/>
      <c r="E34" s="42"/>
      <c r="F34" s="42"/>
      <c r="G34" s="42"/>
      <c r="H34" s="42"/>
      <c r="I34" s="42"/>
      <c r="J34" s="42"/>
      <c r="K34" s="42"/>
      <c r="L34" s="42"/>
      <c r="M34" s="42"/>
      <c r="N34" s="42"/>
      <c r="O34" s="42"/>
      <c r="P34" s="42"/>
      <c r="Q34" s="42"/>
      <c r="R34" s="42"/>
      <c r="S34" s="42"/>
      <c r="T34" s="42"/>
      <c r="U34" s="42"/>
      <c r="V34" s="41"/>
      <c r="W34" s="41"/>
      <c r="X34" s="41"/>
    </row>
    <row r="35" spans="1:24" ht="25.5" customHeight="1">
      <c r="A35" s="41"/>
      <c r="B35" s="41"/>
      <c r="C35" s="41"/>
      <c r="D35" s="41"/>
      <c r="E35" s="41"/>
      <c r="F35" s="41"/>
      <c r="G35" s="41"/>
      <c r="H35" s="41"/>
      <c r="I35" s="41"/>
      <c r="J35" s="41"/>
      <c r="K35" s="41"/>
      <c r="L35" s="41"/>
      <c r="M35" s="41"/>
      <c r="N35" s="41"/>
      <c r="O35" s="41"/>
      <c r="P35" s="41"/>
      <c r="Q35" s="41"/>
      <c r="R35" s="41"/>
      <c r="S35" s="41"/>
      <c r="T35" s="41"/>
      <c r="U35" s="41"/>
      <c r="V35" s="41"/>
      <c r="W35" s="41"/>
      <c r="X35" s="41"/>
    </row>
    <row r="36" spans="1:24" ht="25.5" customHeight="1">
      <c r="A36" s="41"/>
      <c r="B36" s="41"/>
      <c r="C36" s="41"/>
      <c r="D36" s="41" t="s">
        <v>105</v>
      </c>
      <c r="E36" s="41"/>
      <c r="F36" s="41"/>
      <c r="G36" s="41"/>
      <c r="H36" s="41"/>
      <c r="I36" s="41" t="s">
        <v>106</v>
      </c>
      <c r="J36" s="41"/>
      <c r="K36" s="41"/>
      <c r="L36" s="41"/>
      <c r="M36" s="41"/>
      <c r="N36" s="41"/>
      <c r="O36" s="41"/>
      <c r="P36" s="41"/>
      <c r="Q36" s="41"/>
      <c r="R36" s="41"/>
      <c r="S36" s="41"/>
      <c r="T36" s="41"/>
      <c r="U36" s="41"/>
      <c r="V36" s="41"/>
      <c r="W36" s="41" t="s">
        <v>126</v>
      </c>
      <c r="X36" s="41"/>
    </row>
    <row r="37" spans="1:24" ht="25.5" customHeight="1">
      <c r="A37" s="41"/>
      <c r="B37" s="41"/>
      <c r="C37" s="41"/>
      <c r="D37" s="41" t="s">
        <v>108</v>
      </c>
      <c r="E37" s="41"/>
      <c r="F37" s="41"/>
      <c r="G37" s="41"/>
      <c r="H37" s="41"/>
      <c r="I37" s="41" t="s">
        <v>127</v>
      </c>
      <c r="J37" s="41"/>
      <c r="K37" s="41"/>
      <c r="L37" s="41"/>
      <c r="M37" s="41"/>
      <c r="N37" s="41"/>
      <c r="O37" s="41"/>
      <c r="P37" s="41"/>
      <c r="Q37" s="41"/>
      <c r="R37" s="41"/>
      <c r="S37" s="41"/>
      <c r="T37" s="41"/>
      <c r="U37" s="41"/>
      <c r="V37" s="41"/>
      <c r="W37" s="41" t="s">
        <v>126</v>
      </c>
      <c r="X37" s="41"/>
    </row>
    <row r="38" spans="1:24" ht="25.5" customHeight="1">
      <c r="A38" s="41"/>
      <c r="B38" s="41"/>
      <c r="C38" s="41"/>
      <c r="D38" s="41"/>
      <c r="E38" s="41"/>
      <c r="F38" s="41"/>
      <c r="G38" s="41"/>
      <c r="H38" s="41"/>
      <c r="I38" s="41"/>
      <c r="J38" s="41"/>
      <c r="K38" s="41"/>
      <c r="L38" s="41"/>
      <c r="M38" s="41"/>
      <c r="N38" s="41"/>
      <c r="O38" s="41"/>
      <c r="P38" s="41"/>
      <c r="Q38" s="41"/>
      <c r="R38" s="41"/>
      <c r="S38" s="41"/>
      <c r="T38" s="41"/>
      <c r="U38" s="41"/>
      <c r="V38" s="41"/>
      <c r="W38" s="41"/>
      <c r="X38" s="41"/>
    </row>
    <row r="39" spans="1:24" ht="25.5" customHeight="1">
      <c r="A39" s="41"/>
      <c r="B39" s="43"/>
      <c r="C39" s="44"/>
      <c r="D39" s="44"/>
      <c r="E39" s="44"/>
      <c r="F39" s="44"/>
      <c r="G39" s="44"/>
      <c r="H39" s="44"/>
      <c r="I39" s="44"/>
      <c r="J39" s="44"/>
      <c r="K39" s="44"/>
      <c r="L39" s="44"/>
      <c r="M39" s="45"/>
      <c r="N39" s="45"/>
      <c r="O39" s="45"/>
      <c r="P39" s="45"/>
      <c r="Q39" s="45"/>
      <c r="R39" s="45"/>
      <c r="S39" s="45"/>
      <c r="T39" s="45"/>
      <c r="U39" s="45"/>
      <c r="V39" s="45"/>
      <c r="W39" s="45"/>
      <c r="X39" s="46"/>
    </row>
    <row r="40" spans="1:24" ht="25.5" customHeight="1">
      <c r="A40" s="41"/>
      <c r="B40" s="9"/>
      <c r="C40" s="47" t="s">
        <v>69</v>
      </c>
      <c r="D40" s="47"/>
      <c r="E40" s="47"/>
      <c r="F40" s="47"/>
      <c r="G40" s="47"/>
      <c r="H40" s="47"/>
      <c r="I40" s="47"/>
      <c r="J40" s="47"/>
      <c r="K40" s="47"/>
      <c r="L40" s="47"/>
      <c r="M40" s="47"/>
      <c r="N40" s="47"/>
      <c r="O40" s="47"/>
      <c r="P40" s="47"/>
      <c r="Q40" s="47"/>
      <c r="R40" s="47"/>
      <c r="S40" s="47"/>
      <c r="T40" s="47"/>
      <c r="U40" s="47"/>
      <c r="W40" s="47" t="s">
        <v>110</v>
      </c>
      <c r="X40" s="48"/>
    </row>
    <row r="41" spans="1:24" ht="25.5" customHeight="1">
      <c r="A41" s="41"/>
      <c r="B41" s="9"/>
      <c r="C41" s="47"/>
      <c r="D41" s="47"/>
      <c r="E41" s="47" t="s">
        <v>111</v>
      </c>
      <c r="F41" s="47"/>
      <c r="G41" s="47"/>
      <c r="H41" s="47"/>
      <c r="I41" s="47"/>
      <c r="J41" s="47"/>
      <c r="K41" s="47"/>
      <c r="L41" s="47"/>
      <c r="M41" s="47"/>
      <c r="N41" s="47"/>
      <c r="O41" s="47"/>
      <c r="P41" s="47"/>
      <c r="Q41" s="47"/>
      <c r="R41" s="47"/>
      <c r="S41" s="47"/>
      <c r="T41" s="47"/>
      <c r="U41" s="47"/>
      <c r="W41" s="47"/>
      <c r="X41" s="48"/>
    </row>
    <row r="42" spans="1:24" ht="25.5" customHeight="1">
      <c r="A42" s="41"/>
      <c r="B42" s="9"/>
      <c r="C42" s="47"/>
      <c r="D42" s="47"/>
      <c r="E42" s="47"/>
      <c r="F42" s="47" t="s">
        <v>112</v>
      </c>
      <c r="G42" s="47"/>
      <c r="H42" s="47"/>
      <c r="I42" s="47"/>
      <c r="J42" s="47"/>
      <c r="K42" s="47"/>
      <c r="L42" s="47"/>
      <c r="M42" s="47"/>
      <c r="N42" s="47"/>
      <c r="O42" s="47"/>
      <c r="P42" s="47"/>
      <c r="Q42" s="47"/>
      <c r="R42" s="47"/>
      <c r="S42" s="47"/>
      <c r="T42" s="47"/>
      <c r="U42" s="47"/>
      <c r="W42" s="47"/>
      <c r="X42" s="48"/>
    </row>
    <row r="43" spans="1:24" ht="25.5" customHeight="1">
      <c r="A43" s="41"/>
      <c r="B43" s="9"/>
      <c r="C43" s="47"/>
      <c r="D43" s="47"/>
      <c r="E43" s="47"/>
      <c r="F43" s="47" t="s">
        <v>113</v>
      </c>
      <c r="G43" s="47"/>
      <c r="H43" s="47" t="s">
        <v>114</v>
      </c>
      <c r="I43" s="47"/>
      <c r="J43" s="47"/>
      <c r="K43" s="47"/>
      <c r="L43" s="47"/>
      <c r="M43" s="47"/>
      <c r="N43" s="47"/>
      <c r="O43" s="47"/>
      <c r="P43" s="80"/>
      <c r="Q43" s="80"/>
      <c r="R43" s="80"/>
      <c r="S43" s="80"/>
      <c r="T43" s="80"/>
      <c r="U43" s="80"/>
      <c r="V43" s="80"/>
      <c r="W43" s="47" t="s">
        <v>110</v>
      </c>
      <c r="X43" s="48"/>
    </row>
    <row r="44" spans="1:24" ht="25.5" customHeight="1">
      <c r="A44" s="41"/>
      <c r="B44" s="9"/>
      <c r="C44" s="47"/>
      <c r="D44" s="47"/>
      <c r="E44" s="47"/>
      <c r="F44" s="47" t="s">
        <v>116</v>
      </c>
      <c r="G44" s="47"/>
      <c r="H44" s="47" t="s">
        <v>117</v>
      </c>
      <c r="I44" s="47"/>
      <c r="J44" s="47"/>
      <c r="K44" s="47"/>
      <c r="L44" s="47"/>
      <c r="M44" s="47"/>
      <c r="N44" s="47"/>
      <c r="O44" s="47"/>
      <c r="P44" s="80"/>
      <c r="Q44" s="80"/>
      <c r="R44" s="80"/>
      <c r="S44" s="80"/>
      <c r="T44" s="80"/>
      <c r="U44" s="80"/>
      <c r="V44" s="80"/>
      <c r="W44" s="47" t="s">
        <v>110</v>
      </c>
      <c r="X44" s="48"/>
    </row>
    <row r="45" spans="1:24" ht="25.5" customHeight="1">
      <c r="A45" s="41"/>
      <c r="B45" s="9"/>
      <c r="C45" s="47"/>
      <c r="D45" s="47"/>
      <c r="E45" s="47" t="s">
        <v>119</v>
      </c>
      <c r="F45" s="47"/>
      <c r="G45" s="47"/>
      <c r="H45" s="47"/>
      <c r="I45" s="47"/>
      <c r="J45" s="47"/>
      <c r="K45" s="47"/>
      <c r="L45" s="47"/>
      <c r="M45" s="47"/>
      <c r="N45" s="47"/>
      <c r="O45" s="47"/>
      <c r="P45" s="47"/>
      <c r="Q45" s="47"/>
      <c r="R45" s="47"/>
      <c r="S45" s="47"/>
      <c r="T45" s="47"/>
      <c r="U45" s="47"/>
      <c r="W45" s="47"/>
      <c r="X45" s="48"/>
    </row>
    <row r="46" spans="1:24" ht="25.5" customHeight="1">
      <c r="A46" s="41"/>
      <c r="B46" s="49"/>
      <c r="C46" s="47"/>
      <c r="D46" s="47"/>
      <c r="E46" s="47"/>
      <c r="F46" s="47" t="s">
        <v>112</v>
      </c>
      <c r="G46" s="47"/>
      <c r="H46" s="47"/>
      <c r="I46" s="47"/>
      <c r="J46" s="47"/>
      <c r="K46" s="47"/>
      <c r="L46" s="47"/>
      <c r="M46" s="47"/>
      <c r="N46" s="47"/>
      <c r="O46" s="47"/>
      <c r="P46" s="47"/>
      <c r="Q46" s="47"/>
      <c r="R46" s="47"/>
      <c r="S46" s="47"/>
      <c r="T46" s="47"/>
      <c r="U46" s="47"/>
      <c r="W46" s="47"/>
      <c r="X46" s="48"/>
    </row>
    <row r="47" spans="1:24" ht="25.5" customHeight="1">
      <c r="A47" s="41"/>
      <c r="B47" s="49"/>
      <c r="C47" s="47"/>
      <c r="D47" s="47"/>
      <c r="E47" s="47"/>
      <c r="F47" s="47" t="s">
        <v>113</v>
      </c>
      <c r="G47" s="47"/>
      <c r="H47" s="47" t="s">
        <v>120</v>
      </c>
      <c r="I47" s="47"/>
      <c r="J47" s="47"/>
      <c r="K47" s="47"/>
      <c r="L47" s="47"/>
      <c r="M47" s="47"/>
      <c r="N47" s="47"/>
      <c r="O47" s="47"/>
      <c r="P47" s="80"/>
      <c r="Q47" s="80"/>
      <c r="R47" s="80"/>
      <c r="S47" s="80"/>
      <c r="T47" s="80"/>
      <c r="U47" s="80"/>
      <c r="V47" s="80"/>
      <c r="W47" s="47" t="s">
        <v>110</v>
      </c>
      <c r="X47" s="48"/>
    </row>
    <row r="48" spans="1:24" ht="25.5" customHeight="1">
      <c r="A48" s="41"/>
      <c r="B48" s="49"/>
      <c r="C48" s="47"/>
      <c r="D48" s="47"/>
      <c r="E48" s="47"/>
      <c r="F48" s="47" t="s">
        <v>116</v>
      </c>
      <c r="G48" s="47"/>
      <c r="H48" s="47" t="s">
        <v>121</v>
      </c>
      <c r="I48" s="47"/>
      <c r="J48" s="47"/>
      <c r="K48" s="47"/>
      <c r="L48" s="47"/>
      <c r="M48" s="47"/>
      <c r="N48" s="47"/>
      <c r="O48" s="47"/>
      <c r="P48" s="47"/>
      <c r="Q48" s="47"/>
      <c r="R48" s="47"/>
      <c r="S48" s="47"/>
      <c r="T48" s="47"/>
      <c r="U48" s="47"/>
      <c r="W48" s="47" t="s">
        <v>110</v>
      </c>
      <c r="X48" s="48"/>
    </row>
    <row r="49" spans="1:24" ht="25.5" customHeight="1">
      <c r="A49" s="41"/>
      <c r="B49" s="49"/>
      <c r="C49" s="47"/>
      <c r="D49" s="47"/>
      <c r="E49" s="47"/>
      <c r="F49" s="47" t="s">
        <v>122</v>
      </c>
      <c r="G49" s="47"/>
      <c r="H49" s="47" t="s">
        <v>117</v>
      </c>
      <c r="I49" s="47"/>
      <c r="J49" s="47"/>
      <c r="K49" s="47"/>
      <c r="L49" s="47"/>
      <c r="M49" s="47"/>
      <c r="N49" s="47"/>
      <c r="O49" s="47"/>
      <c r="P49" s="47"/>
      <c r="Q49" s="47"/>
      <c r="R49" s="47"/>
      <c r="S49" s="47"/>
      <c r="T49" s="47"/>
      <c r="U49" s="47"/>
      <c r="W49" s="47" t="s">
        <v>110</v>
      </c>
      <c r="X49" s="48"/>
    </row>
    <row r="50" spans="1:24" ht="25.5" customHeight="1">
      <c r="A50" s="41"/>
      <c r="B50" s="49"/>
      <c r="C50" s="47" t="s">
        <v>87</v>
      </c>
      <c r="D50" s="47"/>
      <c r="E50" s="47"/>
      <c r="F50" s="50"/>
      <c r="G50" s="47"/>
      <c r="H50" s="47"/>
      <c r="I50" s="47"/>
      <c r="J50" s="47"/>
      <c r="K50" s="47"/>
      <c r="L50" s="47"/>
      <c r="M50" s="47"/>
      <c r="N50" s="47"/>
      <c r="O50" s="47"/>
      <c r="P50" s="47"/>
      <c r="Q50" s="47"/>
      <c r="R50" s="47"/>
      <c r="S50" s="47"/>
      <c r="T50" s="47"/>
      <c r="U50" s="47"/>
      <c r="W50" s="47"/>
      <c r="X50" s="48"/>
    </row>
    <row r="51" spans="1:24" ht="25.5" customHeight="1">
      <c r="A51" s="41"/>
      <c r="B51" s="49"/>
      <c r="C51" s="47"/>
      <c r="D51" s="47"/>
      <c r="E51" s="47" t="s">
        <v>123</v>
      </c>
      <c r="F51" s="47"/>
      <c r="G51" s="47"/>
      <c r="H51" s="47"/>
      <c r="I51" s="47"/>
      <c r="J51" s="47"/>
      <c r="K51" s="47"/>
      <c r="L51" s="47"/>
      <c r="M51" s="47"/>
      <c r="N51" s="47"/>
      <c r="O51" s="47"/>
      <c r="P51" s="80"/>
      <c r="Q51" s="80"/>
      <c r="R51" s="80"/>
      <c r="S51" s="80"/>
      <c r="T51" s="80"/>
      <c r="U51" s="80"/>
      <c r="V51" s="80"/>
      <c r="W51" s="47" t="s">
        <v>110</v>
      </c>
      <c r="X51" s="48"/>
    </row>
    <row r="52" spans="1:24" ht="25.5" customHeight="1">
      <c r="A52" s="41"/>
      <c r="B52" s="49"/>
      <c r="C52" s="47" t="s">
        <v>124</v>
      </c>
      <c r="D52" s="47"/>
      <c r="E52" s="47"/>
      <c r="F52" s="47"/>
      <c r="G52" s="47"/>
      <c r="H52" s="47"/>
      <c r="I52" s="47"/>
      <c r="J52" s="47"/>
      <c r="K52" s="47"/>
      <c r="L52" s="47"/>
      <c r="M52" s="47"/>
      <c r="N52" s="47"/>
      <c r="O52" s="47"/>
      <c r="P52" s="47"/>
      <c r="Q52" s="47"/>
      <c r="R52" s="47"/>
      <c r="S52" s="47"/>
      <c r="T52" s="47"/>
      <c r="U52" s="47"/>
      <c r="W52" s="47" t="s">
        <v>110</v>
      </c>
      <c r="X52" s="48"/>
    </row>
    <row r="53" spans="1:24" ht="25.5" customHeight="1">
      <c r="A53" s="41"/>
      <c r="B53" s="49"/>
      <c r="C53" s="47"/>
      <c r="D53" s="47"/>
      <c r="E53" s="47" t="s">
        <v>125</v>
      </c>
      <c r="F53" s="47"/>
      <c r="G53" s="47"/>
      <c r="H53" s="47"/>
      <c r="I53" s="47"/>
      <c r="J53" s="47"/>
      <c r="K53" s="47"/>
      <c r="L53" s="47"/>
      <c r="M53" s="47"/>
      <c r="N53" s="47"/>
      <c r="O53" s="47"/>
      <c r="P53" s="47"/>
      <c r="Q53" s="47"/>
      <c r="R53" s="47"/>
      <c r="S53" s="47"/>
      <c r="T53" s="47"/>
      <c r="U53" s="47"/>
      <c r="V53" s="47"/>
      <c r="W53" s="47"/>
      <c r="X53" s="48"/>
    </row>
    <row r="54" spans="1:24" ht="25.5" customHeight="1">
      <c r="A54" s="41"/>
      <c r="B54" s="51"/>
      <c r="C54" s="52"/>
      <c r="D54" s="52"/>
      <c r="E54" s="52"/>
      <c r="F54" s="52"/>
      <c r="G54" s="52"/>
      <c r="H54" s="52"/>
      <c r="I54" s="52"/>
      <c r="J54" s="52"/>
      <c r="K54" s="52"/>
      <c r="L54" s="52"/>
      <c r="M54" s="52"/>
      <c r="N54" s="52"/>
      <c r="O54" s="52"/>
      <c r="P54" s="52"/>
      <c r="Q54" s="52"/>
      <c r="R54" s="52"/>
      <c r="S54" s="52"/>
      <c r="T54" s="52"/>
      <c r="U54" s="52"/>
      <c r="V54" s="52"/>
      <c r="W54" s="52"/>
      <c r="X54" s="53"/>
    </row>
    <row r="55" spans="1:24" ht="25.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row>
    <row r="56" spans="1:24" ht="25.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row>
    <row r="57" spans="1:24" ht="25.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row>
    <row r="58" spans="1:24" ht="25.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row>
    <row r="59" spans="1:24" ht="25.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row>
    <row r="60" spans="1:24" ht="25.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row>
    <row r="61" spans="1:24" ht="25.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row>
    <row r="62" spans="1:24" ht="25.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row>
    <row r="63" spans="1:24" ht="25.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row>
    <row r="64" spans="1:24" ht="25.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row>
    <row r="65" spans="1:24" ht="25.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row>
    <row r="66" spans="1:24" ht="25.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row>
    <row r="67" spans="1:24" ht="25.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row>
    <row r="68" spans="1:24" ht="25.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row>
    <row r="69" spans="1:24" ht="25.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row>
    <row r="70" spans="1:24" ht="25.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row>
    <row r="71" spans="1:24" ht="25.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row>
    <row r="72" spans="1:24" ht="25.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row>
    <row r="73" spans="1:24" ht="25.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row>
    <row r="74" spans="1:24" ht="25.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row>
    <row r="75" spans="1:24" ht="25.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row>
    <row r="76" spans="1:24" ht="25.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row>
    <row r="77" spans="1:24" ht="25.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row>
    <row r="78" spans="1:24" ht="25.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row>
    <row r="79" spans="1:24" ht="25.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row>
    <row r="80" spans="1:24" ht="25.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row>
    <row r="81" spans="1:24" ht="25.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row>
    <row r="82" spans="1:24" ht="25.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row>
    <row r="83" spans="1:24" ht="25.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row>
    <row r="84" spans="1:24" ht="25.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row>
    <row r="85" spans="1:24" ht="25.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row>
    <row r="86" spans="1:24" ht="25.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row>
    <row r="87" spans="1:24" ht="25.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row>
    <row r="88" spans="1:24" ht="25.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row>
    <row r="89" spans="1:24" ht="25.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row>
    <row r="90" spans="1:24" ht="25.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row>
    <row r="91" spans="1:24" ht="25.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row>
    <row r="92" spans="1:24" ht="25.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row>
    <row r="93" spans="1:24" ht="25.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row>
    <row r="94" spans="1:24" ht="25.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row>
    <row r="95" spans="1:24" ht="25.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row>
    <row r="96" spans="1:24" ht="25.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row>
    <row r="97" spans="1:24" ht="25.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row>
    <row r="98" spans="1:24" ht="25.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row>
    <row r="99" spans="1:24" ht="25.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row>
    <row r="100" spans="1:24" ht="25.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row>
    <row r="101" spans="1:24" ht="25.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row>
    <row r="102" spans="1:24" ht="25.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row>
    <row r="103" spans="1:24" ht="25.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row>
    <row r="104" spans="1:24" ht="25.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row>
    <row r="105" spans="1:24" ht="25.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row>
    <row r="106" spans="1:24" ht="25.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row>
    <row r="107" spans="1:24" ht="25.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row>
    <row r="108" spans="1:24" ht="25.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row>
    <row r="109" spans="1:24" ht="25.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row>
    <row r="110" spans="1:24" ht="25.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row>
    <row r="111" spans="1:24" ht="25.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row>
    <row r="112" spans="1:24" ht="25.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row>
    <row r="113" spans="1:24" ht="25.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row>
    <row r="114" spans="1:24" ht="25.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row>
    <row r="115" spans="1:24" ht="25.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row>
    <row r="116" spans="1:24" ht="25.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row>
    <row r="117" spans="1:24" ht="25.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row>
    <row r="118" spans="1:24" ht="25.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row>
    <row r="119" spans="1:24" ht="25.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row>
    <row r="120" spans="1:24" ht="25.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row>
    <row r="121" spans="1:24" ht="25.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row>
    <row r="122" spans="1:24" ht="25.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row>
    <row r="123" spans="1:24" ht="25.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row>
    <row r="124" spans="1:24" ht="25.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row>
    <row r="125" spans="1:24" ht="25.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row>
    <row r="126" spans="1:24" ht="25.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row>
    <row r="127" spans="1:24" ht="25.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row>
    <row r="128" spans="1:24" ht="25.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row>
    <row r="129" spans="1:24" ht="25.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row>
    <row r="130" spans="1:24" ht="25.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row>
    <row r="131" spans="1:24" ht="25.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row>
    <row r="132" spans="1:24" ht="25.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row>
    <row r="133" spans="1:24" ht="25.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row>
    <row r="134" spans="1:24" ht="25.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row>
    <row r="135" spans="1:24" ht="25.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row>
    <row r="136" spans="1:24" ht="25.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row>
    <row r="137" spans="1:24" ht="25.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row>
    <row r="138" spans="1:24" ht="25.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row>
    <row r="139" spans="1:24" ht="25.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row>
    <row r="140" spans="1:24" ht="25.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row>
    <row r="141" spans="1:24" ht="25.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row>
    <row r="142" spans="1:24" ht="25.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row>
    <row r="143" spans="1:24" ht="25.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row>
    <row r="144" spans="1:24" ht="25.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row>
    <row r="145" spans="1:24" ht="25.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row>
    <row r="146" spans="1:24" ht="25.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row>
    <row r="147" spans="1:24" ht="25.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row>
    <row r="148" spans="1:24" ht="25.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row>
    <row r="149" spans="1:24" ht="25.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row>
    <row r="150" spans="1:24" ht="25.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row>
    <row r="151" spans="1:24" ht="25.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row>
    <row r="152" spans="1:24" ht="25.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row>
    <row r="153" spans="1:24" ht="25.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row>
    <row r="154" spans="1:24" ht="25.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row>
    <row r="155" spans="1:24" ht="25.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row>
    <row r="156" spans="1:24" ht="25.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row>
    <row r="157" spans="1:24" ht="25.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row>
    <row r="158" spans="1:24" ht="25.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row>
    <row r="159" spans="1:24" ht="25.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row>
    <row r="160" spans="1:24" ht="25.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row>
    <row r="161" spans="1:24" ht="25.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row>
    <row r="162" spans="1:24" ht="25.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row>
    <row r="163" spans="1:24" ht="25.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row>
    <row r="164" spans="1:24" ht="25.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row>
    <row r="165" spans="1:24" ht="25.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row>
    <row r="166" spans="1:24" ht="25.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row>
    <row r="167" spans="1:24" ht="25.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row>
    <row r="168" spans="1:24" ht="25.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row>
    <row r="169" spans="1:24" ht="25.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row>
    <row r="170" spans="1:24" ht="25.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row>
    <row r="171" spans="1:24" ht="25.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row>
    <row r="172" spans="1:24" ht="25.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row>
    <row r="173" spans="1:24" ht="25.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row>
    <row r="174" spans="1:24" ht="25.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row>
    <row r="175" spans="1:24" ht="25.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row>
    <row r="176" spans="1:24" ht="25.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row>
    <row r="177" spans="1:24" ht="25.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row>
    <row r="178" spans="1:24" ht="25.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row>
    <row r="179" spans="1:24" ht="25.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row>
    <row r="180" spans="1:24" ht="25.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row>
    <row r="181" spans="1:24" ht="25.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row>
    <row r="182" spans="1:24" ht="25.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row>
    <row r="183" spans="1:24" ht="25.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row>
    <row r="184" spans="1:24" ht="25.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row>
    <row r="185" spans="1:24" ht="25.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row>
    <row r="186" spans="1:24" ht="25.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row>
    <row r="187" spans="1:24" ht="25.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row>
    <row r="188" spans="1:24" ht="25.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row>
    <row r="189" spans="1:24" ht="25.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row>
    <row r="190" spans="1:24" ht="25.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row>
    <row r="191" spans="1:24" ht="25.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row>
    <row r="192" spans="1:24" ht="25.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row>
    <row r="193" spans="1:24" ht="25.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row>
    <row r="194" spans="1:24" ht="25.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row>
    <row r="195" spans="1:24" ht="25.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row>
    <row r="196" spans="1:24" ht="25.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row>
    <row r="197" spans="1:24" ht="25.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row>
    <row r="198" spans="1:24" ht="25.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row>
    <row r="199" spans="1:24" ht="25.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row>
    <row r="200" spans="1:24" ht="25.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row>
    <row r="201" spans="1:24" ht="25.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row>
    <row r="202" spans="1:24" ht="25.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row>
    <row r="203" spans="1:24" ht="25.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row>
    <row r="204" spans="1:24" ht="25.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row>
    <row r="205" spans="1:24" ht="25.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row>
    <row r="206" spans="1:24" ht="25.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row>
    <row r="207" spans="1:24" ht="25.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row>
    <row r="208" spans="1:24" ht="25.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row>
    <row r="209" spans="1:24" ht="25.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row>
    <row r="210" spans="1:24" ht="25.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row>
    <row r="211" spans="1:24" ht="25.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row>
    <row r="212" spans="1:24" ht="25.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row>
    <row r="213" spans="1:24" ht="25.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row>
    <row r="214" spans="1:24" ht="25.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row>
    <row r="215" spans="1:24" ht="25.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row>
    <row r="216" spans="1:24" ht="25.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row>
    <row r="217" spans="1:24" ht="25.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row>
    <row r="218" spans="1:24" ht="25.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row>
    <row r="219" spans="1:24" ht="25.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row>
    <row r="220" spans="1:24" ht="25.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row>
    <row r="221" spans="1:24" ht="25.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row>
    <row r="222" spans="1:24" ht="25.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row>
    <row r="223" spans="1:24" ht="25.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row>
    <row r="224" spans="1:24" ht="25.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row>
    <row r="225" spans="1:24" ht="25.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row>
    <row r="226" spans="1:24" ht="25.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row>
    <row r="227" spans="1:24" ht="25.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row>
    <row r="228" spans="1:24" ht="25.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row>
    <row r="229" spans="1:24" ht="25.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row>
    <row r="230" spans="1:24" ht="25.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row>
    <row r="231" spans="1:24" ht="25.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row>
    <row r="232" spans="1:24" ht="25.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row>
    <row r="233" spans="1:24" ht="25.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row>
    <row r="234" spans="1:24" ht="25.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row>
    <row r="235" spans="1:24" ht="25.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row>
    <row r="236" spans="1:24" ht="25.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row>
    <row r="237" spans="1:24" ht="25.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row>
    <row r="238" spans="1:24" ht="25.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row>
    <row r="239" spans="1:24" ht="25.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row>
    <row r="240" spans="1:24" ht="25.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row>
    <row r="241" spans="1:24" ht="25.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row>
    <row r="242" spans="1:24" ht="25.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row>
    <row r="243" spans="1:24" ht="25.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row>
    <row r="244" spans="1:24" ht="25.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row>
    <row r="245" spans="1:24" ht="25.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row>
    <row r="246" spans="1:24" ht="25.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row>
    <row r="247" spans="1:24" ht="25.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row>
    <row r="248" spans="1:24" ht="25.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row>
    <row r="249" spans="1:24" ht="25.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row>
    <row r="250" spans="1:24" ht="25.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row>
    <row r="251" spans="1:24" ht="25.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row>
    <row r="252" spans="1:24" ht="25.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row>
    <row r="253" spans="1:24" ht="25.5" customHeight="1">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row>
    <row r="254" spans="1:24" ht="25.5" customHeight="1">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row>
    <row r="255" spans="1:24" ht="25.5"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row>
    <row r="256" spans="1:24" ht="25.5" customHeight="1">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row>
    <row r="257" spans="1:24" ht="25.5" customHeight="1">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row>
    <row r="258" spans="1:24" ht="25.5" customHeight="1">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row>
    <row r="259" spans="1:24" ht="25.5" customHeight="1">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row>
    <row r="260" spans="1:24" ht="25.5" customHeight="1">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row>
    <row r="261" spans="1:24" ht="25.5"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row>
    <row r="262" spans="1:24" ht="25.5" customHeight="1">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row>
    <row r="263" spans="1:24" ht="25.5" customHeight="1">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row>
    <row r="264" spans="1:24" ht="25.5"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row>
    <row r="265" spans="1:24" ht="25.5" customHeight="1">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row>
    <row r="266" spans="1:24" ht="25.5" customHeight="1">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row>
    <row r="267" spans="1:24" ht="25.5" customHeight="1">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row>
    <row r="268" spans="1:24" ht="25.5"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row>
    <row r="269" spans="1:24" ht="25.5"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row>
    <row r="270" spans="1:24" ht="25.5"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row>
    <row r="271" spans="1:24" ht="25.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row>
    <row r="272" spans="1:24" ht="25.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row>
    <row r="273" spans="1:24" ht="25.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row>
    <row r="274" spans="1:24" ht="25.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row>
  </sheetData>
  <mergeCells count="11">
    <mergeCell ref="P51:V51"/>
    <mergeCell ref="P21:V21"/>
    <mergeCell ref="E33:U33"/>
    <mergeCell ref="P22:V22"/>
    <mergeCell ref="P43:V43"/>
    <mergeCell ref="P47:V47"/>
    <mergeCell ref="E3:U3"/>
    <mergeCell ref="P13:V13"/>
    <mergeCell ref="P14:V14"/>
    <mergeCell ref="P17:V17"/>
    <mergeCell ref="P44:V44"/>
  </mergeCells>
  <phoneticPr fontId="2"/>
  <pageMargins left="0.78740157480314965" right="0.78740157480314965" top="0.98425196850393704" bottom="0.98425196850393704" header="0.51181102362204722" footer="0.51181102362204722"/>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13"/>
  <sheetViews>
    <sheetView tabSelected="1" zoomScaleNormal="100" workbookViewId="0">
      <selection activeCell="L1" sqref="L1"/>
    </sheetView>
  </sheetViews>
  <sheetFormatPr defaultRowHeight="13.5"/>
  <cols>
    <col min="1" max="201" width="3.625" customWidth="1"/>
  </cols>
  <sheetData>
    <row r="1" spans="1:28" ht="3.75" customHeight="1">
      <c r="A1" s="41"/>
      <c r="B1" s="41"/>
      <c r="C1" s="41"/>
      <c r="D1" s="41"/>
      <c r="E1" s="41"/>
      <c r="F1" s="41"/>
      <c r="G1" s="41"/>
      <c r="H1" s="41"/>
      <c r="I1" s="41"/>
      <c r="J1" s="41"/>
      <c r="K1" s="41"/>
      <c r="L1" s="41"/>
      <c r="M1" s="41"/>
      <c r="N1" s="41"/>
      <c r="O1" s="41"/>
      <c r="P1" s="41"/>
      <c r="Q1" s="41"/>
      <c r="R1" s="41"/>
      <c r="S1" s="41"/>
      <c r="T1" s="41"/>
      <c r="U1" s="41"/>
      <c r="V1" s="41"/>
      <c r="W1" s="41"/>
      <c r="X1" s="41"/>
      <c r="Y1" s="41"/>
      <c r="Z1" s="41"/>
    </row>
    <row r="2" spans="1:28" ht="17.100000000000001" customHeight="1">
      <c r="A2" s="41"/>
      <c r="B2" s="41"/>
      <c r="C2" s="41"/>
      <c r="D2" s="41"/>
      <c r="E2" s="41"/>
      <c r="F2" s="41"/>
      <c r="G2" s="41"/>
      <c r="H2" s="41"/>
      <c r="I2" s="41"/>
      <c r="J2" s="41"/>
      <c r="K2" s="41"/>
      <c r="L2" s="41"/>
      <c r="M2" s="41"/>
      <c r="N2" s="41"/>
      <c r="O2" s="41"/>
      <c r="P2" s="41"/>
      <c r="Q2" s="41"/>
      <c r="R2" s="41"/>
      <c r="S2" s="41"/>
      <c r="T2" s="41"/>
      <c r="U2" s="41"/>
      <c r="V2" s="41"/>
      <c r="W2" s="41"/>
      <c r="X2" s="41"/>
      <c r="Y2" s="41"/>
      <c r="Z2" s="41"/>
    </row>
    <row r="3" spans="1:28" ht="17.100000000000001" customHeight="1">
      <c r="A3" s="41"/>
      <c r="B3" s="41"/>
      <c r="C3" s="41"/>
      <c r="D3" s="41"/>
      <c r="E3" s="79" t="s">
        <v>128</v>
      </c>
      <c r="F3" s="79"/>
      <c r="G3" s="79"/>
      <c r="H3" s="79"/>
      <c r="I3" s="79"/>
      <c r="J3" s="79"/>
      <c r="K3" s="79"/>
      <c r="L3" s="79"/>
      <c r="M3" s="79"/>
      <c r="N3" s="79"/>
      <c r="O3" s="79"/>
      <c r="P3" s="79"/>
      <c r="Q3" s="79"/>
      <c r="R3" s="79"/>
      <c r="S3" s="79"/>
      <c r="T3" s="79"/>
      <c r="U3" s="79"/>
      <c r="V3" s="41"/>
      <c r="W3" s="41"/>
      <c r="X3" s="41"/>
      <c r="Y3" s="41"/>
      <c r="Z3" s="41"/>
    </row>
    <row r="4" spans="1:28" ht="14.25" customHeight="1">
      <c r="A4" s="41"/>
      <c r="B4" s="41"/>
      <c r="C4" s="41"/>
      <c r="D4" s="41"/>
      <c r="E4" s="42"/>
      <c r="F4" s="42"/>
      <c r="G4" s="42"/>
      <c r="H4" s="42"/>
      <c r="I4" s="42"/>
      <c r="J4" s="42"/>
      <c r="K4" s="42"/>
      <c r="L4" s="42"/>
      <c r="M4" s="42"/>
      <c r="N4" s="42"/>
      <c r="O4" s="42"/>
      <c r="P4" s="42"/>
      <c r="Q4" s="42"/>
      <c r="R4" s="42"/>
      <c r="S4" s="42"/>
      <c r="T4" s="42"/>
      <c r="U4" s="42"/>
      <c r="V4" s="41"/>
      <c r="W4" s="41"/>
      <c r="X4" s="41"/>
      <c r="Y4" s="41"/>
      <c r="Z4" s="41"/>
    </row>
    <row r="5" spans="1:28" ht="16.5" hidden="1" customHeight="1">
      <c r="A5" s="41"/>
      <c r="B5" s="41"/>
      <c r="C5" s="41"/>
      <c r="D5" s="41"/>
      <c r="E5" s="41"/>
      <c r="F5" s="41"/>
      <c r="G5" s="41"/>
      <c r="H5" s="41"/>
      <c r="I5" s="41"/>
      <c r="J5" s="41"/>
      <c r="K5" s="41"/>
      <c r="L5" s="41"/>
      <c r="M5" s="41"/>
      <c r="N5" s="41"/>
      <c r="O5" s="41"/>
      <c r="P5" s="41"/>
      <c r="Q5" s="41"/>
      <c r="R5" s="41"/>
      <c r="S5" s="41"/>
      <c r="T5" s="41"/>
      <c r="U5" s="41"/>
      <c r="V5" s="41"/>
      <c r="W5" s="41"/>
      <c r="X5" s="41"/>
      <c r="Y5" s="41"/>
      <c r="Z5" s="41"/>
    </row>
    <row r="6" spans="1:28" ht="17.100000000000001" customHeight="1">
      <c r="A6" s="41"/>
      <c r="B6" s="41"/>
      <c r="C6" s="41"/>
      <c r="D6" s="41" t="s">
        <v>105</v>
      </c>
      <c r="E6" s="41"/>
      <c r="F6" s="41"/>
      <c r="G6" s="41"/>
      <c r="H6" s="41"/>
      <c r="I6" s="41" t="s">
        <v>129</v>
      </c>
      <c r="J6" s="41"/>
      <c r="K6" s="41"/>
      <c r="L6" s="41"/>
      <c r="M6" s="41"/>
      <c r="N6" s="41"/>
      <c r="O6" s="41"/>
      <c r="P6" s="41"/>
      <c r="Q6" s="41"/>
      <c r="R6" s="41"/>
      <c r="S6" s="41"/>
      <c r="T6" s="41"/>
      <c r="U6" s="41"/>
      <c r="V6" s="41"/>
      <c r="W6" s="41" t="s">
        <v>130</v>
      </c>
      <c r="X6" s="41"/>
      <c r="Y6" s="41"/>
      <c r="Z6" s="41"/>
    </row>
    <row r="7" spans="1:28" ht="17.100000000000001" customHeight="1">
      <c r="A7" s="41"/>
      <c r="B7" s="41"/>
      <c r="C7" s="41"/>
      <c r="D7" s="41" t="s">
        <v>108</v>
      </c>
      <c r="E7" s="41"/>
      <c r="F7" s="41"/>
      <c r="G7" s="41"/>
      <c r="H7" s="41"/>
      <c r="I7" s="41" t="s">
        <v>131</v>
      </c>
      <c r="J7" s="41"/>
      <c r="K7" s="41"/>
      <c r="L7" s="41"/>
      <c r="M7" s="41"/>
      <c r="N7" s="41"/>
      <c r="O7" s="41"/>
      <c r="P7" s="41"/>
      <c r="Q7" s="41"/>
      <c r="R7" s="41"/>
      <c r="S7" s="41"/>
      <c r="T7" s="41"/>
      <c r="U7" s="41"/>
      <c r="V7" s="41"/>
      <c r="W7" s="41" t="s">
        <v>130</v>
      </c>
      <c r="X7" s="41"/>
      <c r="Y7" s="41"/>
      <c r="Z7" s="41"/>
    </row>
    <row r="8" spans="1:28" ht="17.100000000000001" customHeight="1">
      <c r="A8" s="41"/>
      <c r="B8" s="41"/>
      <c r="C8" s="41"/>
      <c r="D8" s="41"/>
      <c r="E8" s="41"/>
      <c r="F8" s="41"/>
      <c r="G8" s="41"/>
      <c r="H8" s="41"/>
      <c r="I8" s="41"/>
      <c r="J8" s="41"/>
      <c r="K8" s="41"/>
      <c r="L8" s="41"/>
      <c r="M8" s="41"/>
      <c r="N8" s="41"/>
      <c r="O8" s="41"/>
      <c r="P8" s="41"/>
      <c r="Q8" s="41"/>
      <c r="R8" s="41"/>
      <c r="S8" s="41"/>
      <c r="T8" s="41"/>
      <c r="U8" s="41"/>
      <c r="V8" s="41"/>
      <c r="W8" s="41"/>
      <c r="X8" s="41"/>
      <c r="Y8" s="41"/>
      <c r="Z8" s="41"/>
    </row>
    <row r="9" spans="1:28" ht="17.100000000000001" customHeight="1">
      <c r="A9" s="41"/>
      <c r="B9" s="54"/>
      <c r="C9" s="45"/>
      <c r="D9" s="82" t="s">
        <v>132</v>
      </c>
      <c r="E9" s="82"/>
      <c r="F9" s="82"/>
      <c r="G9" s="82"/>
      <c r="H9" s="82"/>
      <c r="I9" s="45"/>
      <c r="J9" s="46"/>
      <c r="K9" s="45"/>
      <c r="L9" s="45"/>
      <c r="M9" s="45"/>
      <c r="N9" s="45"/>
      <c r="O9" s="82" t="s">
        <v>133</v>
      </c>
      <c r="P9" s="82"/>
      <c r="Q9" s="82"/>
      <c r="R9" s="82"/>
      <c r="S9" s="82"/>
      <c r="T9" s="82"/>
      <c r="U9" s="45"/>
      <c r="V9" s="45"/>
      <c r="W9" s="45"/>
      <c r="X9" s="45"/>
      <c r="Y9" s="46"/>
      <c r="Z9" s="41"/>
    </row>
    <row r="10" spans="1:28" ht="12.75" customHeight="1">
      <c r="A10" s="41"/>
      <c r="B10" s="51"/>
      <c r="C10" s="52"/>
      <c r="D10" s="83"/>
      <c r="E10" s="83"/>
      <c r="F10" s="83"/>
      <c r="G10" s="83"/>
      <c r="H10" s="83"/>
      <c r="I10" s="52"/>
      <c r="J10" s="53"/>
      <c r="K10" s="52"/>
      <c r="L10" s="52"/>
      <c r="M10" s="52"/>
      <c r="N10" s="52"/>
      <c r="O10" s="83"/>
      <c r="P10" s="83"/>
      <c r="Q10" s="83"/>
      <c r="R10" s="83"/>
      <c r="S10" s="83"/>
      <c r="T10" s="83"/>
      <c r="U10" s="52"/>
      <c r="V10" s="52"/>
      <c r="W10" s="52"/>
      <c r="X10" s="52"/>
      <c r="Y10" s="53"/>
      <c r="Z10" s="41"/>
    </row>
    <row r="11" spans="1:28" ht="17.100000000000001" customHeight="1">
      <c r="A11" s="41"/>
      <c r="B11" s="54"/>
      <c r="C11" s="84" t="s">
        <v>134</v>
      </c>
      <c r="D11" s="85"/>
      <c r="E11" s="85"/>
      <c r="F11" s="85"/>
      <c r="G11" s="85"/>
      <c r="H11" s="85"/>
      <c r="I11" s="45"/>
      <c r="J11" s="46"/>
      <c r="K11" s="54"/>
      <c r="L11" s="45"/>
      <c r="M11" s="45"/>
      <c r="N11" s="45"/>
      <c r="O11" s="45"/>
      <c r="P11" s="45"/>
      <c r="Q11" s="45"/>
      <c r="R11" s="45"/>
      <c r="S11" s="45"/>
      <c r="T11" s="45"/>
      <c r="U11" s="45"/>
      <c r="V11" s="45"/>
      <c r="W11" s="45"/>
      <c r="X11" s="45"/>
      <c r="Y11" s="46"/>
      <c r="Z11" s="41"/>
    </row>
    <row r="12" spans="1:28" ht="17.100000000000001" customHeight="1">
      <c r="A12" s="41"/>
      <c r="B12" s="49"/>
      <c r="C12" s="86"/>
      <c r="D12" s="86"/>
      <c r="E12" s="86"/>
      <c r="F12" s="86"/>
      <c r="G12" s="86"/>
      <c r="H12" s="86"/>
      <c r="I12" s="47"/>
      <c r="J12" s="48"/>
      <c r="K12" s="49"/>
      <c r="L12" s="101" t="s">
        <v>162</v>
      </c>
      <c r="M12" s="101"/>
      <c r="N12" s="101"/>
      <c r="O12" s="101"/>
      <c r="P12" s="101"/>
      <c r="Q12" s="101"/>
      <c r="R12" s="101"/>
      <c r="S12" s="101"/>
      <c r="T12" s="101"/>
      <c r="U12" s="101"/>
      <c r="V12" s="101"/>
      <c r="W12" s="101"/>
      <c r="X12" s="101"/>
      <c r="Y12" s="102"/>
      <c r="Z12" s="41"/>
    </row>
    <row r="13" spans="1:28" ht="17.100000000000001" customHeight="1">
      <c r="A13" s="41"/>
      <c r="B13" s="49"/>
      <c r="C13" s="47"/>
      <c r="D13" s="47"/>
      <c r="E13" s="47"/>
      <c r="F13" s="47"/>
      <c r="G13" s="47"/>
      <c r="H13" s="47"/>
      <c r="I13" s="47"/>
      <c r="J13" s="48"/>
      <c r="K13" s="49"/>
      <c r="L13" s="47" t="s">
        <v>135</v>
      </c>
      <c r="M13" s="47"/>
      <c r="N13" s="47"/>
      <c r="O13" s="47"/>
      <c r="P13" s="47"/>
      <c r="Q13" s="47"/>
      <c r="R13" s="47"/>
      <c r="S13" s="47"/>
      <c r="T13" s="47"/>
      <c r="U13" s="47"/>
      <c r="V13" s="47"/>
      <c r="W13" s="47"/>
      <c r="X13" s="47"/>
      <c r="Y13" s="48"/>
      <c r="Z13" s="41"/>
    </row>
    <row r="14" spans="1:28" ht="24.75" customHeight="1">
      <c r="A14" s="41"/>
      <c r="B14" s="49"/>
      <c r="C14" s="47"/>
      <c r="D14" s="47"/>
      <c r="E14" s="47"/>
      <c r="F14" s="47"/>
      <c r="G14" s="47"/>
      <c r="H14" s="47"/>
      <c r="I14" s="47"/>
      <c r="J14" s="48"/>
      <c r="K14" s="49"/>
      <c r="L14" s="87" t="s">
        <v>163</v>
      </c>
      <c r="M14" s="88"/>
      <c r="N14" s="88"/>
      <c r="O14" s="88"/>
      <c r="P14" s="88"/>
      <c r="Q14" s="88"/>
      <c r="R14" s="88"/>
      <c r="S14" s="88"/>
      <c r="T14" s="88"/>
      <c r="U14" s="88"/>
      <c r="V14" s="88"/>
      <c r="W14" s="88"/>
      <c r="X14" s="88"/>
      <c r="Y14" s="48"/>
      <c r="Z14" s="41"/>
    </row>
    <row r="15" spans="1:28" ht="24.75" customHeight="1">
      <c r="A15" s="41"/>
      <c r="B15" s="49"/>
      <c r="C15" s="47"/>
      <c r="D15" s="47"/>
      <c r="E15" s="47"/>
      <c r="F15" s="47"/>
      <c r="G15" s="47"/>
      <c r="H15" s="47"/>
      <c r="I15" s="47"/>
      <c r="J15" s="48"/>
      <c r="K15" s="49"/>
      <c r="L15" s="88"/>
      <c r="M15" s="88"/>
      <c r="N15" s="88"/>
      <c r="O15" s="88"/>
      <c r="P15" s="88"/>
      <c r="Q15" s="88"/>
      <c r="R15" s="88"/>
      <c r="S15" s="88"/>
      <c r="T15" s="88"/>
      <c r="U15" s="88"/>
      <c r="V15" s="88"/>
      <c r="W15" s="88"/>
      <c r="X15" s="88"/>
      <c r="Y15" s="48"/>
      <c r="Z15" s="41"/>
      <c r="AB15" s="55"/>
    </row>
    <row r="16" spans="1:28" ht="24.75" customHeight="1">
      <c r="A16" s="41"/>
      <c r="B16" s="49"/>
      <c r="C16" s="47"/>
      <c r="D16" s="47"/>
      <c r="E16" s="47"/>
      <c r="F16" s="47"/>
      <c r="G16" s="47"/>
      <c r="H16" s="47"/>
      <c r="I16" s="47"/>
      <c r="J16" s="48"/>
      <c r="K16" s="49"/>
      <c r="L16" s="88"/>
      <c r="M16" s="88"/>
      <c r="N16" s="88"/>
      <c r="O16" s="88"/>
      <c r="P16" s="88"/>
      <c r="Q16" s="88"/>
      <c r="R16" s="88"/>
      <c r="S16" s="88"/>
      <c r="T16" s="88"/>
      <c r="U16" s="88"/>
      <c r="V16" s="88"/>
      <c r="W16" s="88"/>
      <c r="X16" s="88"/>
      <c r="Y16" s="48"/>
      <c r="Z16" s="41"/>
    </row>
    <row r="17" spans="1:26" ht="24.75" customHeight="1">
      <c r="A17" s="41"/>
      <c r="B17" s="49"/>
      <c r="C17" s="47"/>
      <c r="D17" s="47"/>
      <c r="E17" s="47"/>
      <c r="F17" s="47"/>
      <c r="G17" s="47"/>
      <c r="H17" s="47"/>
      <c r="I17" s="47"/>
      <c r="J17" s="48"/>
      <c r="K17" s="49"/>
      <c r="L17" s="88"/>
      <c r="M17" s="88"/>
      <c r="N17" s="88"/>
      <c r="O17" s="88"/>
      <c r="P17" s="88"/>
      <c r="Q17" s="88"/>
      <c r="R17" s="88"/>
      <c r="S17" s="88"/>
      <c r="T17" s="88"/>
      <c r="U17" s="88"/>
      <c r="V17" s="88"/>
      <c r="W17" s="88"/>
      <c r="X17" s="88"/>
      <c r="Y17" s="48"/>
      <c r="Z17" s="41"/>
    </row>
    <row r="18" spans="1:26" ht="24.75" customHeight="1">
      <c r="A18" s="41"/>
      <c r="B18" s="49"/>
      <c r="C18" s="47"/>
      <c r="D18" s="47"/>
      <c r="E18" s="47"/>
      <c r="F18" s="47"/>
      <c r="G18" s="47"/>
      <c r="H18" s="47"/>
      <c r="I18" s="47"/>
      <c r="J18" s="48"/>
      <c r="K18" s="49"/>
      <c r="L18" s="88"/>
      <c r="M18" s="88"/>
      <c r="N18" s="88"/>
      <c r="O18" s="88"/>
      <c r="P18" s="88"/>
      <c r="Q18" s="88"/>
      <c r="R18" s="88"/>
      <c r="S18" s="88"/>
      <c r="T18" s="88"/>
      <c r="U18" s="88"/>
      <c r="V18" s="88"/>
      <c r="W18" s="88"/>
      <c r="X18" s="88"/>
      <c r="Y18" s="48"/>
      <c r="Z18" s="41"/>
    </row>
    <row r="19" spans="1:26" ht="24.75" customHeight="1">
      <c r="A19" s="41"/>
      <c r="B19" s="49"/>
      <c r="C19" s="47"/>
      <c r="D19" s="47"/>
      <c r="E19" s="47"/>
      <c r="F19" s="47"/>
      <c r="G19" s="47"/>
      <c r="H19" s="47"/>
      <c r="I19" s="47"/>
      <c r="J19" s="48"/>
      <c r="K19" s="49"/>
      <c r="L19" s="88"/>
      <c r="M19" s="88"/>
      <c r="N19" s="88"/>
      <c r="O19" s="88"/>
      <c r="P19" s="88"/>
      <c r="Q19" s="88"/>
      <c r="R19" s="88"/>
      <c r="S19" s="88"/>
      <c r="T19" s="88"/>
      <c r="U19" s="88"/>
      <c r="V19" s="88"/>
      <c r="W19" s="88"/>
      <c r="X19" s="88"/>
      <c r="Y19" s="48"/>
      <c r="Z19" s="41"/>
    </row>
    <row r="20" spans="1:26" ht="24.75" customHeight="1">
      <c r="A20" s="41"/>
      <c r="B20" s="49"/>
      <c r="C20" s="47"/>
      <c r="D20" s="47"/>
      <c r="E20" s="47"/>
      <c r="F20" s="47"/>
      <c r="G20" s="47"/>
      <c r="H20" s="47"/>
      <c r="I20" s="47"/>
      <c r="J20" s="48"/>
      <c r="K20" s="49"/>
      <c r="L20" s="88"/>
      <c r="M20" s="88"/>
      <c r="N20" s="88"/>
      <c r="O20" s="88"/>
      <c r="P20" s="88"/>
      <c r="Q20" s="88"/>
      <c r="R20" s="88"/>
      <c r="S20" s="88"/>
      <c r="T20" s="88"/>
      <c r="U20" s="88"/>
      <c r="V20" s="88"/>
      <c r="W20" s="88"/>
      <c r="X20" s="88"/>
      <c r="Y20" s="48"/>
      <c r="Z20" s="41"/>
    </row>
    <row r="21" spans="1:26" ht="75" customHeight="1">
      <c r="A21" s="41"/>
      <c r="B21" s="49"/>
      <c r="C21" s="47"/>
      <c r="D21" s="47"/>
      <c r="E21" s="47"/>
      <c r="F21" s="47"/>
      <c r="G21" s="47"/>
      <c r="H21" s="47"/>
      <c r="I21" s="47"/>
      <c r="J21" s="48"/>
      <c r="K21" s="49"/>
      <c r="L21" s="81" t="s">
        <v>136</v>
      </c>
      <c r="M21" s="81"/>
      <c r="N21" s="81"/>
      <c r="O21" s="81"/>
      <c r="P21" s="81"/>
      <c r="Q21" s="81"/>
      <c r="R21" s="81"/>
      <c r="S21" s="81"/>
      <c r="T21" s="81"/>
      <c r="U21" s="81"/>
      <c r="V21" s="81"/>
      <c r="W21" s="81"/>
      <c r="X21" s="81"/>
      <c r="Y21" s="48"/>
      <c r="Z21" s="41"/>
    </row>
    <row r="22" spans="1:26" ht="125.25" hidden="1" customHeight="1">
      <c r="A22" s="41"/>
      <c r="B22" s="49"/>
      <c r="C22" s="47"/>
      <c r="D22" s="47"/>
      <c r="E22" s="47"/>
      <c r="F22" s="47"/>
      <c r="G22" s="47"/>
      <c r="H22" s="47"/>
      <c r="I22" s="47"/>
      <c r="J22" s="48"/>
      <c r="K22" s="49"/>
      <c r="L22" s="56"/>
      <c r="M22" s="56"/>
      <c r="N22" s="56"/>
      <c r="O22" s="56"/>
      <c r="P22" s="56"/>
      <c r="Q22" s="56"/>
      <c r="R22" s="56"/>
      <c r="S22" s="56"/>
      <c r="T22" s="56"/>
      <c r="U22" s="56"/>
      <c r="V22" s="56"/>
      <c r="W22" s="56"/>
      <c r="X22" s="56"/>
      <c r="Y22" s="48"/>
      <c r="Z22" s="41"/>
    </row>
    <row r="23" spans="1:26" ht="17.100000000000001" customHeight="1">
      <c r="A23" s="41"/>
      <c r="B23" s="51"/>
      <c r="C23" s="52"/>
      <c r="D23" s="52"/>
      <c r="E23" s="52"/>
      <c r="F23" s="52"/>
      <c r="G23" s="52"/>
      <c r="H23" s="52"/>
      <c r="I23" s="52"/>
      <c r="J23" s="53"/>
      <c r="K23" s="51"/>
      <c r="L23" s="52"/>
      <c r="M23" s="52"/>
      <c r="N23" s="52"/>
      <c r="O23" s="52"/>
      <c r="P23" s="52"/>
      <c r="Q23" s="52"/>
      <c r="R23" s="52"/>
      <c r="S23" s="52"/>
      <c r="T23" s="52"/>
      <c r="U23" s="52"/>
      <c r="V23" s="52"/>
      <c r="W23" s="52"/>
      <c r="X23" s="52"/>
      <c r="Y23" s="53"/>
      <c r="Z23" s="41"/>
    </row>
    <row r="24" spans="1:26" ht="17.100000000000001" customHeight="1">
      <c r="A24" s="41"/>
      <c r="B24" s="54"/>
      <c r="C24" s="84" t="s">
        <v>137</v>
      </c>
      <c r="D24" s="84"/>
      <c r="E24" s="84"/>
      <c r="F24" s="84"/>
      <c r="G24" s="84"/>
      <c r="H24" s="84"/>
      <c r="I24" s="84"/>
      <c r="J24" s="46"/>
      <c r="K24" s="54"/>
      <c r="L24" s="84" t="s">
        <v>164</v>
      </c>
      <c r="M24" s="84"/>
      <c r="N24" s="84"/>
      <c r="O24" s="84"/>
      <c r="P24" s="84"/>
      <c r="Q24" s="84"/>
      <c r="R24" s="91"/>
      <c r="S24" s="91"/>
      <c r="T24" s="91"/>
      <c r="U24" s="91"/>
      <c r="V24" s="91"/>
      <c r="W24" s="91"/>
      <c r="X24" s="91"/>
      <c r="Y24" s="92"/>
      <c r="Z24" s="41"/>
    </row>
    <row r="25" spans="1:26" ht="17.100000000000001" customHeight="1">
      <c r="A25" s="41"/>
      <c r="B25" s="51"/>
      <c r="C25" s="89"/>
      <c r="D25" s="90"/>
      <c r="E25" s="90"/>
      <c r="F25" s="90"/>
      <c r="G25" s="90"/>
      <c r="H25" s="90"/>
      <c r="I25" s="90"/>
      <c r="J25" s="53"/>
      <c r="K25" s="51"/>
      <c r="L25" s="90"/>
      <c r="M25" s="90"/>
      <c r="N25" s="90"/>
      <c r="O25" s="90"/>
      <c r="P25" s="90"/>
      <c r="Q25" s="90"/>
      <c r="R25" s="93"/>
      <c r="S25" s="93"/>
      <c r="T25" s="93"/>
      <c r="U25" s="93"/>
      <c r="V25" s="93"/>
      <c r="W25" s="93"/>
      <c r="X25" s="93"/>
      <c r="Y25" s="94"/>
      <c r="Z25" s="41"/>
    </row>
    <row r="26" spans="1:26" ht="17.100000000000001" customHeight="1">
      <c r="A26" s="41"/>
      <c r="B26" s="54"/>
      <c r="C26" s="84" t="s">
        <v>138</v>
      </c>
      <c r="D26" s="85"/>
      <c r="E26" s="85"/>
      <c r="F26" s="85"/>
      <c r="G26" s="85"/>
      <c r="H26" s="85"/>
      <c r="I26" s="45"/>
      <c r="J26" s="46"/>
      <c r="K26" s="54"/>
      <c r="L26" s="45"/>
      <c r="M26" s="45"/>
      <c r="N26" s="45"/>
      <c r="O26" s="45"/>
      <c r="P26" s="45"/>
      <c r="Q26" s="45"/>
      <c r="R26" s="45"/>
      <c r="S26" s="45"/>
      <c r="T26" s="45"/>
      <c r="U26" s="45"/>
      <c r="V26" s="45"/>
      <c r="W26" s="45"/>
      <c r="X26" s="45"/>
      <c r="Y26" s="46"/>
      <c r="Z26" s="41"/>
    </row>
    <row r="27" spans="1:26" ht="17.100000000000001" customHeight="1">
      <c r="A27" s="41"/>
      <c r="B27" s="49"/>
      <c r="C27" s="95"/>
      <c r="D27" s="95"/>
      <c r="E27" s="95"/>
      <c r="F27" s="95"/>
      <c r="G27" s="95"/>
      <c r="H27" s="95"/>
      <c r="I27" s="47"/>
      <c r="J27" s="48"/>
      <c r="K27" s="49"/>
      <c r="L27" s="47" t="s">
        <v>139</v>
      </c>
      <c r="M27" s="47" t="s">
        <v>140</v>
      </c>
      <c r="N27" s="47"/>
      <c r="O27" s="47"/>
      <c r="P27" s="47"/>
      <c r="Q27" s="47"/>
      <c r="R27" s="47"/>
      <c r="S27" s="47"/>
      <c r="T27" s="47"/>
      <c r="U27" s="47"/>
      <c r="V27" s="47"/>
      <c r="W27" s="47"/>
      <c r="X27" s="47"/>
      <c r="Y27" s="48"/>
      <c r="Z27" s="41"/>
    </row>
    <row r="28" spans="1:26" ht="17.100000000000001" customHeight="1">
      <c r="A28" s="41"/>
      <c r="B28" s="49"/>
      <c r="C28" s="47"/>
      <c r="D28" s="47"/>
      <c r="E28" s="47"/>
      <c r="F28" s="47"/>
      <c r="G28" s="47"/>
      <c r="H28" s="47"/>
      <c r="I28" s="47"/>
      <c r="J28" s="48"/>
      <c r="K28" s="49"/>
      <c r="L28" s="47" t="s">
        <v>141</v>
      </c>
      <c r="M28" s="47" t="s">
        <v>157</v>
      </c>
      <c r="N28" s="47"/>
      <c r="O28" s="47"/>
      <c r="P28" s="47"/>
      <c r="Q28" s="47"/>
      <c r="R28" s="47"/>
      <c r="S28" s="47"/>
      <c r="T28" s="47"/>
      <c r="U28" s="47"/>
      <c r="V28" s="47"/>
      <c r="W28" s="47"/>
      <c r="X28" s="47"/>
      <c r="Y28" s="48"/>
      <c r="Z28" s="41"/>
    </row>
    <row r="29" spans="1:26" ht="17.100000000000001" customHeight="1">
      <c r="A29" s="41"/>
      <c r="B29" s="49"/>
      <c r="C29" s="47"/>
      <c r="D29" s="47"/>
      <c r="E29" s="47"/>
      <c r="F29" s="47"/>
      <c r="G29" s="47"/>
      <c r="H29" s="47"/>
      <c r="I29" s="47"/>
      <c r="J29" s="48"/>
      <c r="K29" s="49"/>
      <c r="L29" s="47" t="s">
        <v>142</v>
      </c>
      <c r="M29" s="47" t="s">
        <v>159</v>
      </c>
      <c r="N29" s="47"/>
      <c r="O29" s="47"/>
      <c r="P29" s="47"/>
      <c r="Q29" s="47"/>
      <c r="R29" s="47"/>
      <c r="S29" s="47"/>
      <c r="T29" s="47"/>
      <c r="U29" s="47"/>
      <c r="V29" s="47"/>
      <c r="W29" s="47"/>
      <c r="X29" s="47"/>
      <c r="Y29" s="48"/>
      <c r="Z29" s="41"/>
    </row>
    <row r="30" spans="1:26" ht="17.100000000000001" customHeight="1">
      <c r="A30" s="41"/>
      <c r="B30" s="49"/>
      <c r="C30" s="47"/>
      <c r="D30" s="47"/>
      <c r="E30" s="47"/>
      <c r="F30" s="47"/>
      <c r="G30" s="47"/>
      <c r="H30" s="47"/>
      <c r="I30" s="47"/>
      <c r="J30" s="48"/>
      <c r="K30" s="49"/>
      <c r="L30" s="47"/>
      <c r="M30" s="47" t="s">
        <v>160</v>
      </c>
      <c r="N30" s="47"/>
      <c r="O30" s="47"/>
      <c r="P30" s="47"/>
      <c r="Q30" s="47"/>
      <c r="R30" s="47"/>
      <c r="S30" s="47"/>
      <c r="T30" s="47"/>
      <c r="U30" s="47"/>
      <c r="V30" s="47"/>
      <c r="W30" s="47"/>
      <c r="X30" s="47"/>
      <c r="Y30" s="48"/>
      <c r="Z30" s="41"/>
    </row>
    <row r="31" spans="1:26" ht="17.100000000000001" customHeight="1">
      <c r="A31" s="41"/>
      <c r="B31" s="49"/>
      <c r="C31" s="47"/>
      <c r="D31" s="47"/>
      <c r="E31" s="47"/>
      <c r="F31" s="47"/>
      <c r="G31" s="47"/>
      <c r="H31" s="47"/>
      <c r="I31" s="47"/>
      <c r="J31" s="48"/>
      <c r="K31" s="49"/>
      <c r="L31" s="47" t="s">
        <v>143</v>
      </c>
      <c r="M31" s="47" t="s">
        <v>158</v>
      </c>
      <c r="N31" s="47"/>
      <c r="O31" s="47"/>
      <c r="P31" s="47"/>
      <c r="Q31" s="47"/>
      <c r="R31" s="47"/>
      <c r="S31" s="47"/>
      <c r="T31" s="47"/>
      <c r="U31" s="47"/>
      <c r="V31" s="47"/>
      <c r="W31" s="47"/>
      <c r="X31" s="47"/>
      <c r="Y31" s="48"/>
      <c r="Z31" s="41"/>
    </row>
    <row r="32" spans="1:26" ht="17.100000000000001" customHeight="1">
      <c r="A32" s="41"/>
      <c r="B32" s="51"/>
      <c r="C32" s="52"/>
      <c r="D32" s="52"/>
      <c r="E32" s="52"/>
      <c r="F32" s="52"/>
      <c r="G32" s="52"/>
      <c r="H32" s="52"/>
      <c r="I32" s="52"/>
      <c r="J32" s="53"/>
      <c r="K32" s="51"/>
      <c r="L32" s="52"/>
      <c r="M32" s="52"/>
      <c r="N32" s="52"/>
      <c r="O32" s="52"/>
      <c r="P32" s="52"/>
      <c r="Q32" s="52"/>
      <c r="R32" s="52"/>
      <c r="S32" s="52"/>
      <c r="T32" s="52"/>
      <c r="U32" s="52"/>
      <c r="V32" s="52"/>
      <c r="W32" s="52"/>
      <c r="X32" s="52"/>
      <c r="Y32" s="53"/>
      <c r="Z32" s="41"/>
    </row>
    <row r="33" spans="1:26" ht="17.100000000000001" customHeight="1">
      <c r="A33" s="41"/>
      <c r="B33" s="54"/>
      <c r="C33" s="96" t="s">
        <v>144</v>
      </c>
      <c r="D33" s="97"/>
      <c r="E33" s="97"/>
      <c r="F33" s="97"/>
      <c r="G33" s="97"/>
      <c r="H33" s="97"/>
      <c r="I33" s="97"/>
      <c r="J33" s="98"/>
      <c r="K33" s="54"/>
      <c r="L33" s="45"/>
      <c r="M33" s="45"/>
      <c r="N33" s="45"/>
      <c r="O33" s="45"/>
      <c r="P33" s="45"/>
      <c r="Q33" s="45"/>
      <c r="R33" s="45"/>
      <c r="S33" s="45"/>
      <c r="T33" s="45"/>
      <c r="U33" s="45"/>
      <c r="V33" s="45"/>
      <c r="W33" s="45"/>
      <c r="X33" s="45"/>
      <c r="Y33" s="46"/>
      <c r="Z33" s="41"/>
    </row>
    <row r="34" spans="1:26" ht="17.100000000000001" customHeight="1">
      <c r="A34" s="41"/>
      <c r="B34" s="49"/>
      <c r="C34" s="99"/>
      <c r="D34" s="99"/>
      <c r="E34" s="99"/>
      <c r="F34" s="99"/>
      <c r="G34" s="99"/>
      <c r="H34" s="99"/>
      <c r="I34" s="99"/>
      <c r="J34" s="100"/>
      <c r="K34" s="49"/>
      <c r="L34" s="47" t="s">
        <v>139</v>
      </c>
      <c r="M34" s="47" t="s">
        <v>145</v>
      </c>
      <c r="N34" s="47"/>
      <c r="O34" s="47"/>
      <c r="P34" s="47"/>
      <c r="Q34" s="47"/>
      <c r="R34" s="47"/>
      <c r="S34" s="47"/>
      <c r="T34" s="47"/>
      <c r="U34" s="47"/>
      <c r="V34" s="47"/>
      <c r="W34" s="47"/>
      <c r="X34" s="47"/>
      <c r="Y34" s="48"/>
      <c r="Z34" s="41"/>
    </row>
    <row r="35" spans="1:26" ht="17.100000000000001" customHeight="1">
      <c r="A35" s="41"/>
      <c r="B35" s="49"/>
      <c r="C35" s="99"/>
      <c r="D35" s="99"/>
      <c r="E35" s="99"/>
      <c r="F35" s="99"/>
      <c r="G35" s="99"/>
      <c r="H35" s="99"/>
      <c r="I35" s="99"/>
      <c r="J35" s="100"/>
      <c r="K35" s="49"/>
      <c r="L35" s="47"/>
      <c r="M35" s="47" t="s">
        <v>146</v>
      </c>
      <c r="N35" s="47"/>
      <c r="O35" s="47"/>
      <c r="P35" s="47"/>
      <c r="Q35" s="47"/>
      <c r="R35" s="47"/>
      <c r="S35" s="47"/>
      <c r="T35" s="47"/>
      <c r="U35" s="47"/>
      <c r="V35" s="47"/>
      <c r="W35" s="47"/>
      <c r="X35" s="47"/>
      <c r="Y35" s="48"/>
      <c r="Z35" s="41"/>
    </row>
    <row r="36" spans="1:26" ht="17.100000000000001" customHeight="1">
      <c r="A36" s="41"/>
      <c r="B36" s="49"/>
      <c r="C36" s="47"/>
      <c r="D36" s="47"/>
      <c r="E36" s="47"/>
      <c r="F36" s="47"/>
      <c r="G36" s="47"/>
      <c r="H36" s="47"/>
      <c r="I36" s="47"/>
      <c r="J36" s="48"/>
      <c r="K36" s="49"/>
      <c r="L36" s="47"/>
      <c r="M36" s="47" t="s">
        <v>147</v>
      </c>
      <c r="N36" s="47"/>
      <c r="O36" s="47"/>
      <c r="P36" s="47"/>
      <c r="Q36" s="47"/>
      <c r="R36" s="47"/>
      <c r="S36" s="47"/>
      <c r="T36" s="47"/>
      <c r="U36" s="47"/>
      <c r="V36" s="47"/>
      <c r="W36" s="47"/>
      <c r="X36" s="47"/>
      <c r="Y36" s="48"/>
      <c r="Z36" s="41"/>
    </row>
    <row r="37" spans="1:26" ht="17.100000000000001" customHeight="1">
      <c r="A37" s="41"/>
      <c r="B37" s="49"/>
      <c r="C37" s="47"/>
      <c r="D37" s="47"/>
      <c r="E37" s="47"/>
      <c r="F37" s="47"/>
      <c r="G37" s="47"/>
      <c r="H37" s="47"/>
      <c r="I37" s="47"/>
      <c r="J37" s="48"/>
      <c r="K37" s="49"/>
      <c r="L37" s="47" t="s">
        <v>148</v>
      </c>
      <c r="M37" s="47" t="s">
        <v>149</v>
      </c>
      <c r="N37" s="47"/>
      <c r="O37" s="47"/>
      <c r="P37" s="47"/>
      <c r="Q37" s="47"/>
      <c r="R37" s="47"/>
      <c r="S37" s="47"/>
      <c r="T37" s="47"/>
      <c r="U37" s="47"/>
      <c r="V37" s="47"/>
      <c r="W37" s="47"/>
      <c r="X37" s="47"/>
      <c r="Y37" s="48"/>
      <c r="Z37" s="41"/>
    </row>
    <row r="38" spans="1:26" ht="17.100000000000001" customHeight="1">
      <c r="A38" s="41"/>
      <c r="B38" s="49"/>
      <c r="C38" s="47"/>
      <c r="D38" s="47"/>
      <c r="E38" s="47"/>
      <c r="F38" s="47"/>
      <c r="G38" s="47"/>
      <c r="H38" s="47"/>
      <c r="I38" s="47"/>
      <c r="J38" s="48"/>
      <c r="K38" s="49"/>
      <c r="L38" s="47"/>
      <c r="M38" s="47" t="s">
        <v>161</v>
      </c>
      <c r="N38" s="47"/>
      <c r="O38" s="47"/>
      <c r="P38" s="80" t="s">
        <v>150</v>
      </c>
      <c r="Q38" s="80"/>
      <c r="R38" s="47"/>
      <c r="S38" s="47"/>
      <c r="T38" s="47"/>
      <c r="U38" s="47"/>
      <c r="V38" s="47"/>
      <c r="W38" s="47"/>
      <c r="X38" s="47"/>
      <c r="Y38" s="48"/>
      <c r="Z38" s="41"/>
    </row>
    <row r="39" spans="1:26" ht="17.100000000000001" customHeight="1">
      <c r="A39" s="41"/>
      <c r="B39" s="49"/>
      <c r="C39" s="47"/>
      <c r="D39" s="47"/>
      <c r="E39" s="47"/>
      <c r="F39" s="47"/>
      <c r="G39" s="47"/>
      <c r="H39" s="47"/>
      <c r="I39" s="47"/>
      <c r="J39" s="48"/>
      <c r="K39" s="49"/>
      <c r="L39" s="47"/>
      <c r="M39" s="47"/>
      <c r="N39" s="47"/>
      <c r="O39" s="47"/>
      <c r="P39" s="80"/>
      <c r="Q39" s="80"/>
      <c r="R39" s="47"/>
      <c r="S39" s="47"/>
      <c r="T39" s="47"/>
      <c r="U39" s="47"/>
      <c r="V39" s="47"/>
      <c r="W39" s="47"/>
      <c r="X39" s="47"/>
      <c r="Y39" s="48"/>
      <c r="Z39" s="41"/>
    </row>
    <row r="40" spans="1:26" ht="17.100000000000001" customHeight="1">
      <c r="A40" s="41"/>
      <c r="B40" s="49"/>
      <c r="C40" s="47"/>
      <c r="D40" s="47"/>
      <c r="E40" s="47"/>
      <c r="F40" s="47"/>
      <c r="G40" s="47"/>
      <c r="H40" s="47"/>
      <c r="I40" s="47"/>
      <c r="J40" s="48"/>
      <c r="K40" s="49"/>
      <c r="L40" s="47"/>
      <c r="M40" s="47"/>
      <c r="N40" s="47"/>
      <c r="O40" s="47"/>
      <c r="P40" s="80"/>
      <c r="Q40" s="80"/>
      <c r="R40" s="47"/>
      <c r="S40" s="47"/>
      <c r="T40" s="47"/>
      <c r="U40" s="47"/>
      <c r="V40" s="47"/>
      <c r="W40" s="47"/>
      <c r="X40" s="47"/>
      <c r="Y40" s="48"/>
      <c r="Z40" s="41"/>
    </row>
    <row r="41" spans="1:26" ht="17.100000000000001" customHeight="1">
      <c r="A41" s="41"/>
      <c r="B41" s="49"/>
      <c r="C41" s="47"/>
      <c r="D41" s="47"/>
      <c r="E41" s="47"/>
      <c r="F41" s="47"/>
      <c r="G41" s="47"/>
      <c r="H41" s="47"/>
      <c r="I41" s="47"/>
      <c r="J41" s="48"/>
      <c r="K41" s="49"/>
      <c r="L41" s="47"/>
      <c r="M41" s="47"/>
      <c r="N41" s="47"/>
      <c r="O41" s="47"/>
      <c r="P41" s="47"/>
      <c r="Q41" s="47"/>
      <c r="R41" s="47"/>
      <c r="S41" s="47"/>
      <c r="T41" s="47"/>
      <c r="U41" s="47"/>
      <c r="V41" s="47"/>
      <c r="W41" s="47"/>
      <c r="X41" s="47"/>
      <c r="Y41" s="48"/>
      <c r="Z41" s="41"/>
    </row>
    <row r="42" spans="1:26" ht="17.100000000000001" customHeight="1">
      <c r="A42" s="41"/>
      <c r="B42" s="51"/>
      <c r="C42" s="52"/>
      <c r="D42" s="52"/>
      <c r="E42" s="52"/>
      <c r="F42" s="52"/>
      <c r="G42" s="52"/>
      <c r="H42" s="52"/>
      <c r="I42" s="52"/>
      <c r="J42" s="53"/>
      <c r="K42" s="51"/>
      <c r="L42" s="52"/>
      <c r="M42" s="52"/>
      <c r="N42" s="52"/>
      <c r="O42" s="52"/>
      <c r="P42" s="52"/>
      <c r="Q42" s="52"/>
      <c r="R42" s="52"/>
      <c r="S42" s="52"/>
      <c r="T42" s="52"/>
      <c r="U42" s="52"/>
      <c r="V42" s="52"/>
      <c r="W42" s="52"/>
      <c r="X42" s="52"/>
      <c r="Y42" s="53"/>
      <c r="Z42" s="41"/>
    </row>
    <row r="43" spans="1:26" ht="1.5" customHeight="1">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spans="1:26" ht="17.100000000000001" customHeight="1">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spans="1:26" ht="17.100000000000001" customHeight="1">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spans="1:26">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spans="1:26">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spans="1:26">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spans="1:26">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spans="1:26">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spans="1:26">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spans="1:26">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spans="1:26">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spans="1:26">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spans="1:26">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spans="1:26">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spans="1:26">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spans="1:26">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spans="1:26">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spans="1:26">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spans="1:26">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spans="1:26">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spans="1:26">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spans="1:26">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spans="1:26">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spans="1:26">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spans="1:26">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spans="1:26">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spans="1:26">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spans="1:26">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spans="1:26">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spans="1:26">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spans="1:26">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spans="1:26">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spans="1:26">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spans="1:26">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spans="1:26">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spans="1:26">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spans="1:26">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spans="1:26">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spans="1:26">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spans="1:26">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spans="1:26">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spans="1:26">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spans="1:26">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spans="1:26">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spans="1:26">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spans="1:26">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spans="1:26">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spans="1:26">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sheetData>
  <mergeCells count="14">
    <mergeCell ref="P40:Q40"/>
    <mergeCell ref="C24:I25"/>
    <mergeCell ref="L24:Y25"/>
    <mergeCell ref="C26:H27"/>
    <mergeCell ref="C33:J35"/>
    <mergeCell ref="P38:Q38"/>
    <mergeCell ref="P39:Q39"/>
    <mergeCell ref="L21:X21"/>
    <mergeCell ref="E3:U3"/>
    <mergeCell ref="D9:H10"/>
    <mergeCell ref="O9:T10"/>
    <mergeCell ref="C11:H12"/>
    <mergeCell ref="L14:X20"/>
    <mergeCell ref="L12:Y12"/>
  </mergeCells>
  <phoneticPr fontId="2"/>
  <pageMargins left="0.75" right="0.75" top="1" bottom="1" header="0.51200000000000001" footer="0.51200000000000001"/>
  <pageSetup paperSize="9" scale="96"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表紙</vt:lpstr>
      <vt:lpstr>平成26年度</vt:lpstr>
      <vt:lpstr>平成27年度</vt:lpstr>
      <vt:lpstr>ＰＬＨ26年度</vt:lpstr>
      <vt:lpstr>ＰＬＨ２７年度</vt:lpstr>
      <vt:lpstr>財産目録</vt:lpstr>
      <vt:lpstr>事業計画書</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31702</dc:creator>
  <cp:lastModifiedBy>31702</cp:lastModifiedBy>
  <cp:lastPrinted>2014-05-15T06:22:01Z</cp:lastPrinted>
  <dcterms:created xsi:type="dcterms:W3CDTF">2014-03-29T00:07:08Z</dcterms:created>
  <dcterms:modified xsi:type="dcterms:W3CDTF">2014-05-15T06:22:26Z</dcterms:modified>
</cp:coreProperties>
</file>