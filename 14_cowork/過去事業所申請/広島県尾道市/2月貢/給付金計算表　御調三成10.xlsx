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2月貢\"/>
    </mc:Choice>
  </mc:AlternateContent>
  <bookViews>
    <workbookView xWindow="0" yWindow="0" windowWidth="28800" windowHeight="11595" firstSheet="4" activeTab="7"/>
  </bookViews>
  <sheets>
    <sheet name="１月（御調）" sheetId="4" r:id="rId1"/>
    <sheet name="２月（御調）" sheetId="6" r:id="rId2"/>
    <sheet name="３月（御調）" sheetId="7" r:id="rId3"/>
    <sheet name="４月（御調）" sheetId="8" r:id="rId4"/>
    <sheet name="5月（御調） (2)" sheetId="9" r:id="rId5"/>
    <sheet name="Sheet4" sheetId="5" r:id="rId6"/>
    <sheet name="5月（御調） (3)" sheetId="10" r:id="rId7"/>
    <sheet name="10月（御調） (4)" sheetId="11" r:id="rId8"/>
  </sheets>
  <definedNames>
    <definedName name="_xlnm.Print_Area" localSheetId="7">'10月（御調） (4)'!$A$1:$V$61</definedName>
    <definedName name="_xlnm.Print_Area" localSheetId="0">'１月（御調）'!$A$1:$V$57</definedName>
    <definedName name="_xlnm.Print_Area" localSheetId="1">'２月（御調）'!$A$1:$V$57</definedName>
    <definedName name="_xlnm.Print_Area" localSheetId="2">'３月（御調）'!$A$1:$V$56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57" i="11" l="1"/>
  <c r="T56" i="11"/>
  <c r="Q56" i="11"/>
  <c r="N56" i="11"/>
  <c r="K56" i="11"/>
  <c r="H56" i="11"/>
  <c r="E56" i="11"/>
  <c r="V56" i="11" s="1"/>
  <c r="T55" i="11"/>
  <c r="Q55" i="11"/>
  <c r="N55" i="11"/>
  <c r="K55" i="11"/>
  <c r="H55" i="11"/>
  <c r="E55" i="11"/>
  <c r="V55" i="11" s="1"/>
  <c r="T54" i="11"/>
  <c r="Q54" i="11"/>
  <c r="N54" i="11"/>
  <c r="K54" i="11"/>
  <c r="H54" i="11"/>
  <c r="E54" i="11"/>
  <c r="V54" i="11" s="1"/>
  <c r="T53" i="11"/>
  <c r="Q53" i="11"/>
  <c r="N53" i="11"/>
  <c r="K53" i="11"/>
  <c r="H53" i="11"/>
  <c r="E53" i="11"/>
  <c r="V53" i="11" s="1"/>
  <c r="T52" i="11"/>
  <c r="Q52" i="11"/>
  <c r="N52" i="11"/>
  <c r="K52" i="11"/>
  <c r="H52" i="11"/>
  <c r="E52" i="11"/>
  <c r="V52" i="11" s="1"/>
  <c r="T51" i="11"/>
  <c r="Q51" i="11"/>
  <c r="N51" i="11"/>
  <c r="K51" i="11"/>
  <c r="H51" i="11"/>
  <c r="E51" i="11"/>
  <c r="V51" i="11" s="1"/>
  <c r="T50" i="11"/>
  <c r="Q50" i="11"/>
  <c r="N50" i="11"/>
  <c r="K50" i="11"/>
  <c r="H50" i="11"/>
  <c r="E50" i="11"/>
  <c r="V50" i="11" s="1"/>
  <c r="T49" i="11"/>
  <c r="Q49" i="11"/>
  <c r="N49" i="11"/>
  <c r="K49" i="11"/>
  <c r="H49" i="11"/>
  <c r="E49" i="11"/>
  <c r="V49" i="11" s="1"/>
  <c r="T48" i="11"/>
  <c r="Q48" i="11"/>
  <c r="N48" i="11"/>
  <c r="K48" i="11"/>
  <c r="H48" i="11"/>
  <c r="E48" i="11"/>
  <c r="V48" i="11" s="1"/>
  <c r="T47" i="11"/>
  <c r="Q47" i="11"/>
  <c r="N47" i="11"/>
  <c r="K47" i="11"/>
  <c r="H47" i="11"/>
  <c r="E47" i="11"/>
  <c r="V47" i="11" s="1"/>
  <c r="T46" i="11"/>
  <c r="Q46" i="11"/>
  <c r="N46" i="11"/>
  <c r="K46" i="11"/>
  <c r="H46" i="11"/>
  <c r="E46" i="11"/>
  <c r="V46" i="11" s="1"/>
  <c r="T45" i="11"/>
  <c r="Q45" i="11"/>
  <c r="N45" i="11"/>
  <c r="K45" i="11"/>
  <c r="H45" i="11"/>
  <c r="E45" i="11"/>
  <c r="V45" i="11" s="1"/>
  <c r="T44" i="11"/>
  <c r="Q44" i="11"/>
  <c r="N44" i="11"/>
  <c r="K44" i="11"/>
  <c r="H44" i="11"/>
  <c r="E44" i="11"/>
  <c r="V44" i="11" s="1"/>
  <c r="T43" i="11"/>
  <c r="Q43" i="11"/>
  <c r="N43" i="11"/>
  <c r="K43" i="11"/>
  <c r="H43" i="11"/>
  <c r="E43" i="11"/>
  <c r="V43" i="11" s="1"/>
  <c r="T42" i="11"/>
  <c r="Q42" i="11"/>
  <c r="N42" i="11"/>
  <c r="K42" i="11"/>
  <c r="H42" i="11"/>
  <c r="E42" i="11"/>
  <c r="V42" i="11" s="1"/>
  <c r="T41" i="11"/>
  <c r="Q41" i="11"/>
  <c r="N41" i="11"/>
  <c r="K41" i="11"/>
  <c r="H41" i="11"/>
  <c r="E41" i="11"/>
  <c r="V41" i="11" s="1"/>
  <c r="T40" i="11"/>
  <c r="Q40" i="11"/>
  <c r="N40" i="11"/>
  <c r="K40" i="11"/>
  <c r="H40" i="11"/>
  <c r="E40" i="11"/>
  <c r="V40" i="11" s="1"/>
  <c r="T39" i="11"/>
  <c r="Q39" i="11"/>
  <c r="N39" i="11"/>
  <c r="K39" i="11"/>
  <c r="H39" i="11"/>
  <c r="E39" i="11"/>
  <c r="V39" i="11" s="1"/>
  <c r="T38" i="11"/>
  <c r="Q38" i="11"/>
  <c r="N38" i="11"/>
  <c r="K38" i="11"/>
  <c r="H38" i="11"/>
  <c r="E38" i="11"/>
  <c r="V38" i="11" s="1"/>
  <c r="T37" i="11"/>
  <c r="Q37" i="11"/>
  <c r="N37" i="11"/>
  <c r="K37" i="11"/>
  <c r="H37" i="11"/>
  <c r="E37" i="11"/>
  <c r="V37" i="11" s="1"/>
  <c r="T36" i="11"/>
  <c r="T57" i="11" s="1"/>
  <c r="Q36" i="11"/>
  <c r="Q57" i="11" s="1"/>
  <c r="N36" i="11"/>
  <c r="N57" i="11" s="1"/>
  <c r="K36" i="11"/>
  <c r="K57" i="11" s="1"/>
  <c r="H36" i="11"/>
  <c r="H57" i="11" s="1"/>
  <c r="E36" i="11"/>
  <c r="E57" i="11" s="1"/>
  <c r="U21" i="11"/>
  <c r="T20" i="11"/>
  <c r="Q20" i="11"/>
  <c r="N20" i="11"/>
  <c r="K20" i="11"/>
  <c r="H20" i="11"/>
  <c r="E20" i="11"/>
  <c r="T19" i="11"/>
  <c r="Q19" i="11"/>
  <c r="N19" i="11"/>
  <c r="K19" i="11"/>
  <c r="H19" i="11"/>
  <c r="E19" i="11"/>
  <c r="V19" i="11" s="1"/>
  <c r="T18" i="11"/>
  <c r="Q18" i="11"/>
  <c r="N18" i="11"/>
  <c r="K18" i="11"/>
  <c r="H18" i="11"/>
  <c r="E18" i="11"/>
  <c r="V18" i="11" s="1"/>
  <c r="T17" i="11"/>
  <c r="Q17" i="11"/>
  <c r="N17" i="11"/>
  <c r="K17" i="11"/>
  <c r="H17" i="11"/>
  <c r="E17" i="11"/>
  <c r="V17" i="11" s="1"/>
  <c r="T16" i="11"/>
  <c r="Q16" i="11"/>
  <c r="N16" i="11"/>
  <c r="K16" i="11"/>
  <c r="H16" i="11"/>
  <c r="E16" i="11"/>
  <c r="V16" i="11" s="1"/>
  <c r="T15" i="11"/>
  <c r="Q15" i="11"/>
  <c r="N15" i="11"/>
  <c r="K15" i="11"/>
  <c r="H15" i="11"/>
  <c r="E15" i="11"/>
  <c r="V15" i="11" s="1"/>
  <c r="T14" i="11"/>
  <c r="Q14" i="11"/>
  <c r="N14" i="11"/>
  <c r="K14" i="11"/>
  <c r="H14" i="11"/>
  <c r="E14" i="11"/>
  <c r="V14" i="11" s="1"/>
  <c r="T13" i="11"/>
  <c r="Q13" i="11"/>
  <c r="N13" i="11"/>
  <c r="K13" i="11"/>
  <c r="H13" i="11"/>
  <c r="E13" i="11"/>
  <c r="V13" i="11" s="1"/>
  <c r="T12" i="11"/>
  <c r="Q12" i="11"/>
  <c r="N12" i="11"/>
  <c r="K12" i="11"/>
  <c r="H12" i="11"/>
  <c r="E12" i="11"/>
  <c r="V12" i="11" s="1"/>
  <c r="T11" i="11"/>
  <c r="Q11" i="11"/>
  <c r="N11" i="11"/>
  <c r="K11" i="11"/>
  <c r="H11" i="11"/>
  <c r="E11" i="11"/>
  <c r="V11" i="11" s="1"/>
  <c r="T10" i="11"/>
  <c r="Q10" i="11"/>
  <c r="N10" i="11"/>
  <c r="K10" i="11"/>
  <c r="H10" i="11"/>
  <c r="E10" i="11"/>
  <c r="V10" i="11" s="1"/>
  <c r="T9" i="11"/>
  <c r="Q9" i="11"/>
  <c r="N9" i="11"/>
  <c r="K9" i="11"/>
  <c r="H9" i="11"/>
  <c r="E9" i="11"/>
  <c r="V9" i="11" s="1"/>
  <c r="T8" i="11"/>
  <c r="Q8" i="11"/>
  <c r="N8" i="11"/>
  <c r="K8" i="11"/>
  <c r="H8" i="11"/>
  <c r="E8" i="11"/>
  <c r="V8" i="11" s="1"/>
  <c r="T7" i="11"/>
  <c r="Q7" i="11"/>
  <c r="N7" i="11"/>
  <c r="K7" i="11"/>
  <c r="H7" i="11"/>
  <c r="E7" i="11"/>
  <c r="V7" i="11" s="1"/>
  <c r="T6" i="11"/>
  <c r="T21" i="11" s="1"/>
  <c r="Q6" i="11"/>
  <c r="Q21" i="11" s="1"/>
  <c r="N6" i="11"/>
  <c r="N21" i="11" s="1"/>
  <c r="K6" i="11"/>
  <c r="K21" i="11" s="1"/>
  <c r="H6" i="11"/>
  <c r="H21" i="11" s="1"/>
  <c r="E6" i="11"/>
  <c r="E21" i="11" s="1"/>
  <c r="V20" i="11" l="1"/>
  <c r="V6" i="11"/>
  <c r="V21" i="11" s="1"/>
  <c r="V23" i="11" s="1"/>
  <c r="V36" i="11"/>
  <c r="V57" i="11" s="1"/>
  <c r="T18" i="10"/>
  <c r="Q18" i="10"/>
  <c r="N18" i="10"/>
  <c r="K18" i="10"/>
  <c r="H18" i="10"/>
  <c r="E18" i="10"/>
  <c r="V18" i="10"/>
  <c r="V19" i="10"/>
  <c r="T19" i="10"/>
  <c r="Q19" i="10"/>
  <c r="N19" i="10"/>
  <c r="K19" i="10"/>
  <c r="H19" i="10"/>
  <c r="E19" i="10"/>
  <c r="T17" i="10"/>
  <c r="Q17" i="10"/>
  <c r="N17" i="10"/>
  <c r="K17" i="10"/>
  <c r="H17" i="10"/>
  <c r="E17" i="10"/>
  <c r="V17" i="10" s="1"/>
  <c r="U57" i="10"/>
  <c r="T56" i="10"/>
  <c r="Q56" i="10"/>
  <c r="N56" i="10"/>
  <c r="K56" i="10"/>
  <c r="H56" i="10"/>
  <c r="E56" i="10"/>
  <c r="V56" i="10" s="1"/>
  <c r="T55" i="10"/>
  <c r="Q55" i="10"/>
  <c r="N55" i="10"/>
  <c r="K55" i="10"/>
  <c r="H55" i="10"/>
  <c r="E55" i="10"/>
  <c r="V55" i="10" s="1"/>
  <c r="T54" i="10"/>
  <c r="Q54" i="10"/>
  <c r="N54" i="10"/>
  <c r="K54" i="10"/>
  <c r="H54" i="10"/>
  <c r="E54" i="10"/>
  <c r="V54" i="10" s="1"/>
  <c r="T53" i="10"/>
  <c r="Q53" i="10"/>
  <c r="N53" i="10"/>
  <c r="K53" i="10"/>
  <c r="H53" i="10"/>
  <c r="E53" i="10"/>
  <c r="V53" i="10" s="1"/>
  <c r="T52" i="10"/>
  <c r="Q52" i="10"/>
  <c r="N52" i="10"/>
  <c r="K52" i="10"/>
  <c r="H52" i="10"/>
  <c r="E52" i="10"/>
  <c r="V52" i="10" s="1"/>
  <c r="T51" i="10"/>
  <c r="Q51" i="10"/>
  <c r="N51" i="10"/>
  <c r="K51" i="10"/>
  <c r="H51" i="10"/>
  <c r="E51" i="10"/>
  <c r="V51" i="10" s="1"/>
  <c r="T50" i="10"/>
  <c r="Q50" i="10"/>
  <c r="N50" i="10"/>
  <c r="K50" i="10"/>
  <c r="H50" i="10"/>
  <c r="E50" i="10"/>
  <c r="V50" i="10" s="1"/>
  <c r="T49" i="10"/>
  <c r="Q49" i="10"/>
  <c r="N49" i="10"/>
  <c r="K49" i="10"/>
  <c r="H49" i="10"/>
  <c r="E49" i="10"/>
  <c r="V49" i="10" s="1"/>
  <c r="T48" i="10"/>
  <c r="Q48" i="10"/>
  <c r="N48" i="10"/>
  <c r="K48" i="10"/>
  <c r="H48" i="10"/>
  <c r="E48" i="10"/>
  <c r="V48" i="10" s="1"/>
  <c r="T47" i="10"/>
  <c r="Q47" i="10"/>
  <c r="N47" i="10"/>
  <c r="K47" i="10"/>
  <c r="H47" i="10"/>
  <c r="E47" i="10"/>
  <c r="V47" i="10" s="1"/>
  <c r="T46" i="10"/>
  <c r="Q46" i="10"/>
  <c r="N46" i="10"/>
  <c r="K46" i="10"/>
  <c r="H46" i="10"/>
  <c r="E46" i="10"/>
  <c r="V46" i="10" s="1"/>
  <c r="T45" i="10"/>
  <c r="Q45" i="10"/>
  <c r="N45" i="10"/>
  <c r="K45" i="10"/>
  <c r="H45" i="10"/>
  <c r="E45" i="10"/>
  <c r="V45" i="10" s="1"/>
  <c r="T44" i="10"/>
  <c r="Q44" i="10"/>
  <c r="N44" i="10"/>
  <c r="K44" i="10"/>
  <c r="H44" i="10"/>
  <c r="E44" i="10"/>
  <c r="V44" i="10" s="1"/>
  <c r="T43" i="10"/>
  <c r="Q43" i="10"/>
  <c r="N43" i="10"/>
  <c r="K43" i="10"/>
  <c r="H43" i="10"/>
  <c r="E43" i="10"/>
  <c r="V43" i="10" s="1"/>
  <c r="T42" i="10"/>
  <c r="Q42" i="10"/>
  <c r="N42" i="10"/>
  <c r="K42" i="10"/>
  <c r="H42" i="10"/>
  <c r="E42" i="10"/>
  <c r="V42" i="10" s="1"/>
  <c r="T41" i="10"/>
  <c r="Q41" i="10"/>
  <c r="N41" i="10"/>
  <c r="K41" i="10"/>
  <c r="H41" i="10"/>
  <c r="E41" i="10"/>
  <c r="V41" i="10" s="1"/>
  <c r="T40" i="10"/>
  <c r="Q40" i="10"/>
  <c r="N40" i="10"/>
  <c r="K40" i="10"/>
  <c r="H40" i="10"/>
  <c r="E40" i="10"/>
  <c r="V40" i="10" s="1"/>
  <c r="T39" i="10"/>
  <c r="Q39" i="10"/>
  <c r="N39" i="10"/>
  <c r="K39" i="10"/>
  <c r="H39" i="10"/>
  <c r="E39" i="10"/>
  <c r="V39" i="10" s="1"/>
  <c r="T38" i="10"/>
  <c r="Q38" i="10"/>
  <c r="N38" i="10"/>
  <c r="K38" i="10"/>
  <c r="H38" i="10"/>
  <c r="E38" i="10"/>
  <c r="V38" i="10" s="1"/>
  <c r="T37" i="10"/>
  <c r="Q37" i="10"/>
  <c r="N37" i="10"/>
  <c r="K37" i="10"/>
  <c r="H37" i="10"/>
  <c r="E37" i="10"/>
  <c r="V37" i="10" s="1"/>
  <c r="T36" i="10"/>
  <c r="T57" i="10" s="1"/>
  <c r="Q36" i="10"/>
  <c r="Q57" i="10" s="1"/>
  <c r="N36" i="10"/>
  <c r="N57" i="10" s="1"/>
  <c r="K36" i="10"/>
  <c r="K57" i="10" s="1"/>
  <c r="H36" i="10"/>
  <c r="H57" i="10" s="1"/>
  <c r="E36" i="10"/>
  <c r="E57" i="10" s="1"/>
  <c r="U21" i="10"/>
  <c r="T20" i="10"/>
  <c r="Q20" i="10"/>
  <c r="N20" i="10"/>
  <c r="K20" i="10"/>
  <c r="H20" i="10"/>
  <c r="E20" i="10"/>
  <c r="T16" i="10"/>
  <c r="Q16" i="10"/>
  <c r="N16" i="10"/>
  <c r="K16" i="10"/>
  <c r="H16" i="10"/>
  <c r="E16" i="10"/>
  <c r="V16" i="10" s="1"/>
  <c r="T15" i="10"/>
  <c r="Q15" i="10"/>
  <c r="N15" i="10"/>
  <c r="K15" i="10"/>
  <c r="H15" i="10"/>
  <c r="E15" i="10"/>
  <c r="V15" i="10" s="1"/>
  <c r="T14" i="10"/>
  <c r="Q14" i="10"/>
  <c r="N14" i="10"/>
  <c r="K14" i="10"/>
  <c r="H14" i="10"/>
  <c r="E14" i="10"/>
  <c r="T13" i="10"/>
  <c r="Q13" i="10"/>
  <c r="N13" i="10"/>
  <c r="K13" i="10"/>
  <c r="H13" i="10"/>
  <c r="E13" i="10"/>
  <c r="V13" i="10" s="1"/>
  <c r="T12" i="10"/>
  <c r="Q12" i="10"/>
  <c r="N12" i="10"/>
  <c r="K12" i="10"/>
  <c r="H12" i="10"/>
  <c r="E12" i="10"/>
  <c r="V12" i="10" s="1"/>
  <c r="T11" i="10"/>
  <c r="Q11" i="10"/>
  <c r="N11" i="10"/>
  <c r="K11" i="10"/>
  <c r="H11" i="10"/>
  <c r="E11" i="10"/>
  <c r="V11" i="10" s="1"/>
  <c r="T10" i="10"/>
  <c r="Q10" i="10"/>
  <c r="N10" i="10"/>
  <c r="K10" i="10"/>
  <c r="H10" i="10"/>
  <c r="E10" i="10"/>
  <c r="T9" i="10"/>
  <c r="Q9" i="10"/>
  <c r="N9" i="10"/>
  <c r="K9" i="10"/>
  <c r="H9" i="10"/>
  <c r="E9" i="10"/>
  <c r="V9" i="10" s="1"/>
  <c r="T8" i="10"/>
  <c r="Q8" i="10"/>
  <c r="N8" i="10"/>
  <c r="K8" i="10"/>
  <c r="H8" i="10"/>
  <c r="E8" i="10"/>
  <c r="V8" i="10" s="1"/>
  <c r="T7" i="10"/>
  <c r="Q7" i="10"/>
  <c r="N7" i="10"/>
  <c r="K7" i="10"/>
  <c r="H7" i="10"/>
  <c r="E7" i="10"/>
  <c r="T6" i="10"/>
  <c r="T21" i="10" s="1"/>
  <c r="Q6" i="10"/>
  <c r="N6" i="10"/>
  <c r="N21" i="10" s="1"/>
  <c r="K6" i="10"/>
  <c r="H6" i="10"/>
  <c r="H21" i="10" s="1"/>
  <c r="E6" i="10"/>
  <c r="V60" i="11" l="1"/>
  <c r="V24" i="11"/>
  <c r="V59" i="11"/>
  <c r="V61" i="11" s="1"/>
  <c r="V25" i="11"/>
  <c r="V14" i="10"/>
  <c r="V7" i="10"/>
  <c r="V10" i="10"/>
  <c r="V20" i="10"/>
  <c r="E21" i="10"/>
  <c r="K21" i="10"/>
  <c r="Q21" i="10"/>
  <c r="V6" i="10"/>
  <c r="V21" i="10" s="1"/>
  <c r="V23" i="10" s="1"/>
  <c r="V36" i="10"/>
  <c r="V57" i="10" s="1"/>
  <c r="V35" i="9"/>
  <c r="V37" i="9"/>
  <c r="V40" i="9"/>
  <c r="V44" i="9"/>
  <c r="V45" i="9"/>
  <c r="V47" i="9"/>
  <c r="V48" i="9"/>
  <c r="V50" i="9"/>
  <c r="V51" i="9"/>
  <c r="V52" i="9"/>
  <c r="V53" i="9"/>
  <c r="V34" i="9"/>
  <c r="T49" i="9"/>
  <c r="Q49" i="9"/>
  <c r="N49" i="9"/>
  <c r="K49" i="9"/>
  <c r="H49" i="9"/>
  <c r="E49" i="9"/>
  <c r="T48" i="9"/>
  <c r="Q48" i="9"/>
  <c r="N48" i="9"/>
  <c r="K48" i="9"/>
  <c r="H48" i="9"/>
  <c r="E48" i="9"/>
  <c r="U54" i="9"/>
  <c r="T53" i="9"/>
  <c r="Q53" i="9"/>
  <c r="N53" i="9"/>
  <c r="K53" i="9"/>
  <c r="H53" i="9"/>
  <c r="E53" i="9"/>
  <c r="T52" i="9"/>
  <c r="Q52" i="9"/>
  <c r="N52" i="9"/>
  <c r="K52" i="9"/>
  <c r="H52" i="9"/>
  <c r="E52" i="9"/>
  <c r="T51" i="9"/>
  <c r="Q51" i="9"/>
  <c r="N51" i="9"/>
  <c r="K51" i="9"/>
  <c r="H51" i="9"/>
  <c r="E51" i="9"/>
  <c r="T50" i="9"/>
  <c r="Q50" i="9"/>
  <c r="N50" i="9"/>
  <c r="K50" i="9"/>
  <c r="H50" i="9"/>
  <c r="E50" i="9"/>
  <c r="T47" i="9"/>
  <c r="Q47" i="9"/>
  <c r="N47" i="9"/>
  <c r="K47" i="9"/>
  <c r="H47" i="9"/>
  <c r="E47" i="9"/>
  <c r="T46" i="9"/>
  <c r="Q46" i="9"/>
  <c r="N46" i="9"/>
  <c r="K46" i="9"/>
  <c r="H46" i="9"/>
  <c r="E46" i="9"/>
  <c r="V46" i="9" s="1"/>
  <c r="T45" i="9"/>
  <c r="Q45" i="9"/>
  <c r="N45" i="9"/>
  <c r="K45" i="9"/>
  <c r="H45" i="9"/>
  <c r="E45" i="9"/>
  <c r="T44" i="9"/>
  <c r="Q44" i="9"/>
  <c r="N44" i="9"/>
  <c r="K44" i="9"/>
  <c r="H44" i="9"/>
  <c r="E44" i="9"/>
  <c r="T43" i="9"/>
  <c r="Q43" i="9"/>
  <c r="N43" i="9"/>
  <c r="K43" i="9"/>
  <c r="H43" i="9"/>
  <c r="E43" i="9"/>
  <c r="T42" i="9"/>
  <c r="Q42" i="9"/>
  <c r="N42" i="9"/>
  <c r="K42" i="9"/>
  <c r="H42" i="9"/>
  <c r="E42" i="9"/>
  <c r="T41" i="9"/>
  <c r="Q41" i="9"/>
  <c r="N41" i="9"/>
  <c r="K41" i="9"/>
  <c r="H41" i="9"/>
  <c r="E41" i="9"/>
  <c r="V41" i="9" s="1"/>
  <c r="T40" i="9"/>
  <c r="Q40" i="9"/>
  <c r="N40" i="9"/>
  <c r="K40" i="9"/>
  <c r="H40" i="9"/>
  <c r="E40" i="9"/>
  <c r="T39" i="9"/>
  <c r="Q39" i="9"/>
  <c r="N39" i="9"/>
  <c r="K39" i="9"/>
  <c r="H39" i="9"/>
  <c r="E39" i="9"/>
  <c r="T38" i="9"/>
  <c r="Q38" i="9"/>
  <c r="N38" i="9"/>
  <c r="K38" i="9"/>
  <c r="H38" i="9"/>
  <c r="E38" i="9"/>
  <c r="V38" i="9" s="1"/>
  <c r="T37" i="9"/>
  <c r="Q37" i="9"/>
  <c r="N37" i="9"/>
  <c r="K37" i="9"/>
  <c r="H37" i="9"/>
  <c r="E37" i="9"/>
  <c r="T36" i="9"/>
  <c r="Q36" i="9"/>
  <c r="N36" i="9"/>
  <c r="K36" i="9"/>
  <c r="H36" i="9"/>
  <c r="E36" i="9"/>
  <c r="T35" i="9"/>
  <c r="Q35" i="9"/>
  <c r="N35" i="9"/>
  <c r="K35" i="9"/>
  <c r="H35" i="9"/>
  <c r="E35" i="9"/>
  <c r="T34" i="9"/>
  <c r="T54" i="9" s="1"/>
  <c r="Q34" i="9"/>
  <c r="N34" i="9"/>
  <c r="K34" i="9"/>
  <c r="H34" i="9"/>
  <c r="H54" i="9" s="1"/>
  <c r="E34" i="9"/>
  <c r="T33" i="9"/>
  <c r="Q33" i="9"/>
  <c r="N33" i="9"/>
  <c r="K33" i="9"/>
  <c r="H33" i="9"/>
  <c r="E33" i="9"/>
  <c r="U18" i="9"/>
  <c r="T17" i="9"/>
  <c r="Q17" i="9"/>
  <c r="N17" i="9"/>
  <c r="K17" i="9"/>
  <c r="H17" i="9"/>
  <c r="E17" i="9"/>
  <c r="V17" i="9" s="1"/>
  <c r="T16" i="9"/>
  <c r="Q16" i="9"/>
  <c r="N16" i="9"/>
  <c r="K16" i="9"/>
  <c r="H16" i="9"/>
  <c r="E16" i="9"/>
  <c r="V16" i="9" s="1"/>
  <c r="T15" i="9"/>
  <c r="Q15" i="9"/>
  <c r="N15" i="9"/>
  <c r="K15" i="9"/>
  <c r="H15" i="9"/>
  <c r="E15" i="9"/>
  <c r="V15" i="9" s="1"/>
  <c r="T14" i="9"/>
  <c r="Q14" i="9"/>
  <c r="N14" i="9"/>
  <c r="K14" i="9"/>
  <c r="H14" i="9"/>
  <c r="E14" i="9"/>
  <c r="V14" i="9" s="1"/>
  <c r="T13" i="9"/>
  <c r="Q13" i="9"/>
  <c r="N13" i="9"/>
  <c r="K13" i="9"/>
  <c r="H13" i="9"/>
  <c r="E13" i="9"/>
  <c r="V13" i="9" s="1"/>
  <c r="T12" i="9"/>
  <c r="Q12" i="9"/>
  <c r="N12" i="9"/>
  <c r="K12" i="9"/>
  <c r="H12" i="9"/>
  <c r="E12" i="9"/>
  <c r="V12" i="9" s="1"/>
  <c r="T11" i="9"/>
  <c r="Q11" i="9"/>
  <c r="N11" i="9"/>
  <c r="K11" i="9"/>
  <c r="H11" i="9"/>
  <c r="E11" i="9"/>
  <c r="V11" i="9" s="1"/>
  <c r="T10" i="9"/>
  <c r="Q10" i="9"/>
  <c r="N10" i="9"/>
  <c r="K10" i="9"/>
  <c r="H10" i="9"/>
  <c r="E10" i="9"/>
  <c r="V10" i="9" s="1"/>
  <c r="T9" i="9"/>
  <c r="Q9" i="9"/>
  <c r="N9" i="9"/>
  <c r="K9" i="9"/>
  <c r="H9" i="9"/>
  <c r="E9" i="9"/>
  <c r="V9" i="9" s="1"/>
  <c r="T8" i="9"/>
  <c r="Q8" i="9"/>
  <c r="N8" i="9"/>
  <c r="K8" i="9"/>
  <c r="H8" i="9"/>
  <c r="E8" i="9"/>
  <c r="V8" i="9" s="1"/>
  <c r="T7" i="9"/>
  <c r="Q7" i="9"/>
  <c r="N7" i="9"/>
  <c r="K7" i="9"/>
  <c r="H7" i="9"/>
  <c r="E7" i="9"/>
  <c r="V7" i="9" s="1"/>
  <c r="T6" i="9"/>
  <c r="T18" i="9" s="1"/>
  <c r="Q6" i="9"/>
  <c r="Q18" i="9" s="1"/>
  <c r="N6" i="9"/>
  <c r="N18" i="9" s="1"/>
  <c r="K6" i="9"/>
  <c r="K18" i="9" s="1"/>
  <c r="H6" i="9"/>
  <c r="H18" i="9" s="1"/>
  <c r="E6" i="9"/>
  <c r="E18" i="9" s="1"/>
  <c r="V60" i="10" l="1"/>
  <c r="V24" i="10"/>
  <c r="V59" i="10"/>
  <c r="V61" i="10" s="1"/>
  <c r="V25" i="10"/>
  <c r="V36" i="9"/>
  <c r="V42" i="9"/>
  <c r="V49" i="9"/>
  <c r="V39" i="9"/>
  <c r="V43" i="9"/>
  <c r="E54" i="9"/>
  <c r="K54" i="9"/>
  <c r="Q54" i="9"/>
  <c r="N54" i="9"/>
  <c r="V33" i="9"/>
  <c r="V6" i="9"/>
  <c r="V18" i="9" s="1"/>
  <c r="V20" i="9" s="1"/>
  <c r="T17" i="4"/>
  <c r="Q17" i="4"/>
  <c r="N17" i="4"/>
  <c r="K17" i="4"/>
  <c r="H17" i="4"/>
  <c r="E17" i="4"/>
  <c r="V17" i="4" s="1"/>
  <c r="V54" i="9" l="1"/>
  <c r="V21" i="9" s="1"/>
  <c r="V22" i="9" s="1"/>
  <c r="V56" i="9"/>
  <c r="V57" i="9"/>
  <c r="U52" i="4"/>
  <c r="T48" i="4"/>
  <c r="Q48" i="4"/>
  <c r="N48" i="4"/>
  <c r="K48" i="4"/>
  <c r="H48" i="4"/>
  <c r="E48" i="4"/>
  <c r="T47" i="4"/>
  <c r="Q47" i="4"/>
  <c r="N47" i="4"/>
  <c r="K47" i="4"/>
  <c r="H47" i="4"/>
  <c r="E47" i="4"/>
  <c r="T46" i="4"/>
  <c r="Q46" i="4"/>
  <c r="N46" i="4"/>
  <c r="K46" i="4"/>
  <c r="H46" i="4"/>
  <c r="E46" i="4"/>
  <c r="T45" i="4"/>
  <c r="Q45" i="4"/>
  <c r="N45" i="4"/>
  <c r="K45" i="4"/>
  <c r="H45" i="4"/>
  <c r="E45" i="4"/>
  <c r="T44" i="4"/>
  <c r="Q44" i="4"/>
  <c r="N44" i="4"/>
  <c r="K44" i="4"/>
  <c r="H44" i="4"/>
  <c r="E44" i="4"/>
  <c r="T43" i="4"/>
  <c r="Q43" i="4"/>
  <c r="N43" i="4"/>
  <c r="K43" i="4"/>
  <c r="H43" i="4"/>
  <c r="E43" i="4"/>
  <c r="T42" i="4"/>
  <c r="Q42" i="4"/>
  <c r="N42" i="4"/>
  <c r="K42" i="4"/>
  <c r="H42" i="4"/>
  <c r="E42" i="4"/>
  <c r="T41" i="4"/>
  <c r="Q41" i="4"/>
  <c r="N41" i="4"/>
  <c r="K41" i="4"/>
  <c r="H41" i="4"/>
  <c r="E41" i="4"/>
  <c r="T40" i="4"/>
  <c r="Q40" i="4"/>
  <c r="N40" i="4"/>
  <c r="K40" i="4"/>
  <c r="H40" i="4"/>
  <c r="E40" i="4"/>
  <c r="T39" i="4"/>
  <c r="Q39" i="4"/>
  <c r="N39" i="4"/>
  <c r="K39" i="4"/>
  <c r="H39" i="4"/>
  <c r="E39" i="4"/>
  <c r="T38" i="4"/>
  <c r="Q38" i="4"/>
  <c r="N38" i="4"/>
  <c r="K38" i="4"/>
  <c r="H38" i="4"/>
  <c r="E38" i="4"/>
  <c r="T37" i="4"/>
  <c r="Q37" i="4"/>
  <c r="N37" i="4"/>
  <c r="K37" i="4"/>
  <c r="H37" i="4"/>
  <c r="E37" i="4"/>
  <c r="T36" i="4"/>
  <c r="Q36" i="4"/>
  <c r="N36" i="4"/>
  <c r="K36" i="4"/>
  <c r="H36" i="4"/>
  <c r="E36" i="4"/>
  <c r="T35" i="4"/>
  <c r="Q35" i="4"/>
  <c r="N35" i="4"/>
  <c r="K35" i="4"/>
  <c r="H35" i="4"/>
  <c r="E35" i="4"/>
  <c r="T34" i="4"/>
  <c r="Q34" i="4"/>
  <c r="N34" i="4"/>
  <c r="K34" i="4"/>
  <c r="H34" i="4"/>
  <c r="E34" i="4"/>
  <c r="T33" i="4"/>
  <c r="Q33" i="4"/>
  <c r="Q52" i="4" s="1"/>
  <c r="N33" i="4"/>
  <c r="N52" i="4" s="1"/>
  <c r="K33" i="4"/>
  <c r="K52" i="4" s="1"/>
  <c r="H33" i="4"/>
  <c r="E33" i="4"/>
  <c r="E52" i="4" s="1"/>
  <c r="U52" i="6"/>
  <c r="T48" i="6"/>
  <c r="Q48" i="6"/>
  <c r="N48" i="6"/>
  <c r="K48" i="6"/>
  <c r="H48" i="6"/>
  <c r="E48" i="6"/>
  <c r="V48" i="6" s="1"/>
  <c r="T47" i="6"/>
  <c r="Q47" i="6"/>
  <c r="N47" i="6"/>
  <c r="K47" i="6"/>
  <c r="H47" i="6"/>
  <c r="E47" i="6"/>
  <c r="T46" i="6"/>
  <c r="Q46" i="6"/>
  <c r="N46" i="6"/>
  <c r="K46" i="6"/>
  <c r="H46" i="6"/>
  <c r="E46" i="6"/>
  <c r="T45" i="6"/>
  <c r="Q45" i="6"/>
  <c r="N45" i="6"/>
  <c r="K45" i="6"/>
  <c r="H45" i="6"/>
  <c r="E45" i="6"/>
  <c r="V45" i="6" s="1"/>
  <c r="T44" i="6"/>
  <c r="Q44" i="6"/>
  <c r="N44" i="6"/>
  <c r="K44" i="6"/>
  <c r="H44" i="6"/>
  <c r="E44" i="6"/>
  <c r="V44" i="6" s="1"/>
  <c r="T43" i="6"/>
  <c r="Q43" i="6"/>
  <c r="N43" i="6"/>
  <c r="K43" i="6"/>
  <c r="H43" i="6"/>
  <c r="E43" i="6"/>
  <c r="T42" i="6"/>
  <c r="Q42" i="6"/>
  <c r="N42" i="6"/>
  <c r="K42" i="6"/>
  <c r="H42" i="6"/>
  <c r="E42" i="6"/>
  <c r="T41" i="6"/>
  <c r="Q41" i="6"/>
  <c r="N41" i="6"/>
  <c r="K41" i="6"/>
  <c r="H41" i="6"/>
  <c r="E41" i="6"/>
  <c r="V41" i="6" s="1"/>
  <c r="T40" i="6"/>
  <c r="Q40" i="6"/>
  <c r="N40" i="6"/>
  <c r="K40" i="6"/>
  <c r="H40" i="6"/>
  <c r="E40" i="6"/>
  <c r="V40" i="6" s="1"/>
  <c r="T39" i="6"/>
  <c r="Q39" i="6"/>
  <c r="N39" i="6"/>
  <c r="K39" i="6"/>
  <c r="H39" i="6"/>
  <c r="E39" i="6"/>
  <c r="T38" i="6"/>
  <c r="Q38" i="6"/>
  <c r="N38" i="6"/>
  <c r="K38" i="6"/>
  <c r="H38" i="6"/>
  <c r="E38" i="6"/>
  <c r="T37" i="6"/>
  <c r="Q37" i="6"/>
  <c r="N37" i="6"/>
  <c r="K37" i="6"/>
  <c r="H37" i="6"/>
  <c r="E37" i="6"/>
  <c r="V37" i="6" s="1"/>
  <c r="T36" i="6"/>
  <c r="Q36" i="6"/>
  <c r="N36" i="6"/>
  <c r="K36" i="6"/>
  <c r="H36" i="6"/>
  <c r="E36" i="6"/>
  <c r="V36" i="6" s="1"/>
  <c r="T35" i="6"/>
  <c r="T52" i="6" s="1"/>
  <c r="Q35" i="6"/>
  <c r="Q52" i="6" s="1"/>
  <c r="N35" i="6"/>
  <c r="N52" i="6" s="1"/>
  <c r="K35" i="6"/>
  <c r="H35" i="6"/>
  <c r="H52" i="6" s="1"/>
  <c r="E35" i="6"/>
  <c r="E52" i="6" s="1"/>
  <c r="T34" i="6"/>
  <c r="Q34" i="6"/>
  <c r="N34" i="6"/>
  <c r="K34" i="6"/>
  <c r="H34" i="6"/>
  <c r="E34" i="6"/>
  <c r="T33" i="6"/>
  <c r="Q33" i="6"/>
  <c r="N33" i="6"/>
  <c r="K33" i="6"/>
  <c r="H33" i="6"/>
  <c r="E33" i="6"/>
  <c r="V33" i="6" s="1"/>
  <c r="U52" i="7"/>
  <c r="T50" i="7"/>
  <c r="Q50" i="7"/>
  <c r="N50" i="7"/>
  <c r="K50" i="7"/>
  <c r="H50" i="7"/>
  <c r="E50" i="7"/>
  <c r="T49" i="7"/>
  <c r="Q49" i="7"/>
  <c r="N49" i="7"/>
  <c r="K49" i="7"/>
  <c r="H49" i="7"/>
  <c r="E49" i="7"/>
  <c r="T48" i="7"/>
  <c r="Q48" i="7"/>
  <c r="N48" i="7"/>
  <c r="K48" i="7"/>
  <c r="H48" i="7"/>
  <c r="E48" i="7"/>
  <c r="T47" i="7"/>
  <c r="Q47" i="7"/>
  <c r="N47" i="7"/>
  <c r="K47" i="7"/>
  <c r="H47" i="7"/>
  <c r="E47" i="7"/>
  <c r="T46" i="7"/>
  <c r="Q46" i="7"/>
  <c r="N46" i="7"/>
  <c r="K46" i="7"/>
  <c r="H46" i="7"/>
  <c r="E46" i="7"/>
  <c r="T45" i="7"/>
  <c r="Q45" i="7"/>
  <c r="N45" i="7"/>
  <c r="K45" i="7"/>
  <c r="H45" i="7"/>
  <c r="E45" i="7"/>
  <c r="T44" i="7"/>
  <c r="Q44" i="7"/>
  <c r="N44" i="7"/>
  <c r="K44" i="7"/>
  <c r="H44" i="7"/>
  <c r="E44" i="7"/>
  <c r="T43" i="7"/>
  <c r="Q43" i="7"/>
  <c r="N43" i="7"/>
  <c r="K43" i="7"/>
  <c r="H43" i="7"/>
  <c r="E43" i="7"/>
  <c r="T42" i="7"/>
  <c r="Q42" i="7"/>
  <c r="N42" i="7"/>
  <c r="K42" i="7"/>
  <c r="H42" i="7"/>
  <c r="E42" i="7"/>
  <c r="T41" i="7"/>
  <c r="Q41" i="7"/>
  <c r="N41" i="7"/>
  <c r="K41" i="7"/>
  <c r="H41" i="7"/>
  <c r="E41" i="7"/>
  <c r="T40" i="7"/>
  <c r="Q40" i="7"/>
  <c r="N40" i="7"/>
  <c r="K40" i="7"/>
  <c r="H40" i="7"/>
  <c r="E40" i="7"/>
  <c r="T39" i="7"/>
  <c r="Q39" i="7"/>
  <c r="N39" i="7"/>
  <c r="K39" i="7"/>
  <c r="H39" i="7"/>
  <c r="E39" i="7"/>
  <c r="T38" i="7"/>
  <c r="Q38" i="7"/>
  <c r="N38" i="7"/>
  <c r="K38" i="7"/>
  <c r="H38" i="7"/>
  <c r="E38" i="7"/>
  <c r="T37" i="7"/>
  <c r="Q37" i="7"/>
  <c r="N37" i="7"/>
  <c r="K37" i="7"/>
  <c r="H37" i="7"/>
  <c r="E37" i="7"/>
  <c r="T36" i="7"/>
  <c r="Q36" i="7"/>
  <c r="N36" i="7"/>
  <c r="K36" i="7"/>
  <c r="H36" i="7"/>
  <c r="E36" i="7"/>
  <c r="T35" i="7"/>
  <c r="Q35" i="7"/>
  <c r="N35" i="7"/>
  <c r="K35" i="7"/>
  <c r="H35" i="7"/>
  <c r="E35" i="7"/>
  <c r="T34" i="7"/>
  <c r="Q34" i="7"/>
  <c r="N34" i="7"/>
  <c r="K34" i="7"/>
  <c r="H34" i="7"/>
  <c r="E34" i="7"/>
  <c r="T33" i="7"/>
  <c r="Q33" i="7"/>
  <c r="N33" i="7"/>
  <c r="K33" i="7"/>
  <c r="H33" i="7"/>
  <c r="E33" i="7"/>
  <c r="U52" i="8"/>
  <c r="T51" i="8"/>
  <c r="Q51" i="8"/>
  <c r="N51" i="8"/>
  <c r="K51" i="8"/>
  <c r="H51" i="8"/>
  <c r="E51" i="8"/>
  <c r="T50" i="8"/>
  <c r="Q50" i="8"/>
  <c r="N50" i="8"/>
  <c r="K50" i="8"/>
  <c r="H50" i="8"/>
  <c r="E50" i="8"/>
  <c r="T49" i="8"/>
  <c r="Q49" i="8"/>
  <c r="N49" i="8"/>
  <c r="K49" i="8"/>
  <c r="H49" i="8"/>
  <c r="E49" i="8"/>
  <c r="T48" i="8"/>
  <c r="Q48" i="8"/>
  <c r="N48" i="8"/>
  <c r="K48" i="8"/>
  <c r="H48" i="8"/>
  <c r="E48" i="8"/>
  <c r="T47" i="8"/>
  <c r="Q47" i="8"/>
  <c r="N47" i="8"/>
  <c r="K47" i="8"/>
  <c r="H47" i="8"/>
  <c r="E47" i="8"/>
  <c r="T46" i="8"/>
  <c r="Q46" i="8"/>
  <c r="N46" i="8"/>
  <c r="K46" i="8"/>
  <c r="H46" i="8"/>
  <c r="E46" i="8"/>
  <c r="T45" i="8"/>
  <c r="Q45" i="8"/>
  <c r="N45" i="8"/>
  <c r="K45" i="8"/>
  <c r="H45" i="8"/>
  <c r="E45" i="8"/>
  <c r="T44" i="8"/>
  <c r="Q44" i="8"/>
  <c r="N44" i="8"/>
  <c r="K44" i="8"/>
  <c r="H44" i="8"/>
  <c r="E44" i="8"/>
  <c r="T43" i="8"/>
  <c r="Q43" i="8"/>
  <c r="N43" i="8"/>
  <c r="K43" i="8"/>
  <c r="H43" i="8"/>
  <c r="E43" i="8"/>
  <c r="T42" i="8"/>
  <c r="Q42" i="8"/>
  <c r="N42" i="8"/>
  <c r="K42" i="8"/>
  <c r="H42" i="8"/>
  <c r="E42" i="8"/>
  <c r="T41" i="8"/>
  <c r="Q41" i="8"/>
  <c r="N41" i="8"/>
  <c r="K41" i="8"/>
  <c r="H41" i="8"/>
  <c r="E41" i="8"/>
  <c r="T40" i="8"/>
  <c r="Q40" i="8"/>
  <c r="N40" i="8"/>
  <c r="K40" i="8"/>
  <c r="H40" i="8"/>
  <c r="E40" i="8"/>
  <c r="T39" i="8"/>
  <c r="Q39" i="8"/>
  <c r="N39" i="8"/>
  <c r="K39" i="8"/>
  <c r="H39" i="8"/>
  <c r="E39" i="8"/>
  <c r="T38" i="8"/>
  <c r="Q38" i="8"/>
  <c r="N38" i="8"/>
  <c r="K38" i="8"/>
  <c r="H38" i="8"/>
  <c r="E38" i="8"/>
  <c r="T37" i="8"/>
  <c r="Q37" i="8"/>
  <c r="N37" i="8"/>
  <c r="K37" i="8"/>
  <c r="H37" i="8"/>
  <c r="E37" i="8"/>
  <c r="T36" i="8"/>
  <c r="Q36" i="8"/>
  <c r="N36" i="8"/>
  <c r="K36" i="8"/>
  <c r="H36" i="8"/>
  <c r="E36" i="8"/>
  <c r="T35" i="8"/>
  <c r="Q35" i="8"/>
  <c r="N35" i="8"/>
  <c r="K35" i="8"/>
  <c r="H35" i="8"/>
  <c r="E35" i="8"/>
  <c r="T34" i="8"/>
  <c r="Q34" i="8"/>
  <c r="N34" i="8"/>
  <c r="K34" i="8"/>
  <c r="H34" i="8"/>
  <c r="E34" i="8"/>
  <c r="T33" i="8"/>
  <c r="Q33" i="8"/>
  <c r="N33" i="8"/>
  <c r="K33" i="8"/>
  <c r="H33" i="8"/>
  <c r="E33" i="8"/>
  <c r="V58" i="9" l="1"/>
  <c r="V35" i="6"/>
  <c r="V39" i="6"/>
  <c r="V43" i="6"/>
  <c r="V47" i="6"/>
  <c r="K52" i="6"/>
  <c r="V34" i="6"/>
  <c r="V38" i="6"/>
  <c r="V42" i="6"/>
  <c r="V46" i="6"/>
  <c r="H52" i="4"/>
  <c r="T52" i="4"/>
  <c r="V35" i="4"/>
  <c r="V36" i="4"/>
  <c r="V39" i="4"/>
  <c r="V40" i="4"/>
  <c r="V43" i="4"/>
  <c r="V44" i="4"/>
  <c r="V48" i="4"/>
  <c r="V34" i="4"/>
  <c r="V38" i="4"/>
  <c r="V42" i="4"/>
  <c r="V46" i="4"/>
  <c r="V33" i="4"/>
  <c r="V37" i="4"/>
  <c r="V41" i="4"/>
  <c r="V45" i="4"/>
  <c r="V47" i="4"/>
  <c r="N52" i="7"/>
  <c r="K52" i="7"/>
  <c r="V34" i="7"/>
  <c r="V35" i="7"/>
  <c r="V38" i="7"/>
  <c r="V39" i="7"/>
  <c r="V42" i="7"/>
  <c r="V43" i="7"/>
  <c r="V46" i="7"/>
  <c r="V47" i="7"/>
  <c r="V50" i="7"/>
  <c r="H52" i="7"/>
  <c r="T52" i="7"/>
  <c r="V37" i="7"/>
  <c r="V41" i="7"/>
  <c r="V45" i="7"/>
  <c r="V49" i="7"/>
  <c r="V36" i="7"/>
  <c r="Q52" i="7"/>
  <c r="V40" i="7"/>
  <c r="V44" i="7"/>
  <c r="V48" i="7"/>
  <c r="E52" i="7"/>
  <c r="V33" i="7"/>
  <c r="K52" i="8"/>
  <c r="V35" i="8"/>
  <c r="V36" i="8"/>
  <c r="V39" i="8"/>
  <c r="V40" i="8"/>
  <c r="V43" i="8"/>
  <c r="V44" i="8"/>
  <c r="V47" i="8"/>
  <c r="V48" i="8"/>
  <c r="V51" i="8"/>
  <c r="V34" i="8"/>
  <c r="V38" i="8"/>
  <c r="V42" i="8"/>
  <c r="V46" i="8"/>
  <c r="V50" i="8"/>
  <c r="E52" i="8"/>
  <c r="Q52" i="8"/>
  <c r="V37" i="8"/>
  <c r="V41" i="8"/>
  <c r="V45" i="8"/>
  <c r="V49" i="8"/>
  <c r="H52" i="8"/>
  <c r="T52" i="8"/>
  <c r="N52" i="8"/>
  <c r="V33" i="8"/>
  <c r="V52" i="6" l="1"/>
  <c r="V52" i="4"/>
  <c r="V52" i="7"/>
  <c r="V52" i="8"/>
  <c r="V21" i="7" l="1"/>
  <c r="V55" i="7"/>
  <c r="V55" i="6"/>
  <c r="V21" i="6"/>
  <c r="V55" i="4"/>
  <c r="V22" i="4"/>
  <c r="V55" i="8"/>
  <c r="V21" i="8"/>
  <c r="U18" i="8" l="1"/>
  <c r="T17" i="8"/>
  <c r="Q17" i="8"/>
  <c r="N17" i="8"/>
  <c r="K17" i="8"/>
  <c r="H17" i="8"/>
  <c r="E17" i="8"/>
  <c r="T16" i="8"/>
  <c r="Q16" i="8"/>
  <c r="N16" i="8"/>
  <c r="K16" i="8"/>
  <c r="H16" i="8"/>
  <c r="E16" i="8"/>
  <c r="T15" i="8"/>
  <c r="Q15" i="8"/>
  <c r="N15" i="8"/>
  <c r="K15" i="8"/>
  <c r="H15" i="8"/>
  <c r="E15" i="8"/>
  <c r="T14" i="8"/>
  <c r="Q14" i="8"/>
  <c r="N14" i="8"/>
  <c r="K14" i="8"/>
  <c r="H14" i="8"/>
  <c r="E14" i="8"/>
  <c r="T13" i="8"/>
  <c r="Q13" i="8"/>
  <c r="N13" i="8"/>
  <c r="K13" i="8"/>
  <c r="H13" i="8"/>
  <c r="E13" i="8"/>
  <c r="T12" i="8"/>
  <c r="Q12" i="8"/>
  <c r="N12" i="8"/>
  <c r="K12" i="8"/>
  <c r="H12" i="8"/>
  <c r="E12" i="8"/>
  <c r="T11" i="8"/>
  <c r="Q11" i="8"/>
  <c r="N11" i="8"/>
  <c r="K11" i="8"/>
  <c r="H11" i="8"/>
  <c r="E11" i="8"/>
  <c r="T10" i="8"/>
  <c r="Q10" i="8"/>
  <c r="N10" i="8"/>
  <c r="K10" i="8"/>
  <c r="H10" i="8"/>
  <c r="E10" i="8"/>
  <c r="T9" i="8"/>
  <c r="Q9" i="8"/>
  <c r="N9" i="8"/>
  <c r="K9" i="8"/>
  <c r="H9" i="8"/>
  <c r="E9" i="8"/>
  <c r="T8" i="8"/>
  <c r="Q8" i="8"/>
  <c r="N8" i="8"/>
  <c r="K8" i="8"/>
  <c r="H8" i="8"/>
  <c r="E8" i="8"/>
  <c r="T7" i="8"/>
  <c r="Q7" i="8"/>
  <c r="N7" i="8"/>
  <c r="K7" i="8"/>
  <c r="H7" i="8"/>
  <c r="E7" i="8"/>
  <c r="T6" i="8"/>
  <c r="Q6" i="8"/>
  <c r="N6" i="8"/>
  <c r="K6" i="8"/>
  <c r="H6" i="8"/>
  <c r="E6" i="8"/>
  <c r="U18" i="7"/>
  <c r="T17" i="7"/>
  <c r="Q17" i="7"/>
  <c r="N17" i="7"/>
  <c r="K17" i="7"/>
  <c r="H17" i="7"/>
  <c r="E17" i="7"/>
  <c r="T16" i="7"/>
  <c r="Q16" i="7"/>
  <c r="N16" i="7"/>
  <c r="K16" i="7"/>
  <c r="H16" i="7"/>
  <c r="E16" i="7"/>
  <c r="T15" i="7"/>
  <c r="Q15" i="7"/>
  <c r="N15" i="7"/>
  <c r="K15" i="7"/>
  <c r="H15" i="7"/>
  <c r="E15" i="7"/>
  <c r="T14" i="7"/>
  <c r="Q14" i="7"/>
  <c r="N14" i="7"/>
  <c r="K14" i="7"/>
  <c r="H14" i="7"/>
  <c r="E14" i="7"/>
  <c r="T13" i="7"/>
  <c r="Q13" i="7"/>
  <c r="N13" i="7"/>
  <c r="K13" i="7"/>
  <c r="H13" i="7"/>
  <c r="E13" i="7"/>
  <c r="T12" i="7"/>
  <c r="Q12" i="7"/>
  <c r="N12" i="7"/>
  <c r="K12" i="7"/>
  <c r="H12" i="7"/>
  <c r="E12" i="7"/>
  <c r="T11" i="7"/>
  <c r="Q11" i="7"/>
  <c r="N11" i="7"/>
  <c r="K11" i="7"/>
  <c r="H11" i="7"/>
  <c r="E11" i="7"/>
  <c r="T10" i="7"/>
  <c r="Q10" i="7"/>
  <c r="N10" i="7"/>
  <c r="K10" i="7"/>
  <c r="H10" i="7"/>
  <c r="E10" i="7"/>
  <c r="T9" i="7"/>
  <c r="Q9" i="7"/>
  <c r="N9" i="7"/>
  <c r="K9" i="7"/>
  <c r="H9" i="7"/>
  <c r="E9" i="7"/>
  <c r="T8" i="7"/>
  <c r="Q8" i="7"/>
  <c r="N8" i="7"/>
  <c r="K8" i="7"/>
  <c r="H8" i="7"/>
  <c r="E8" i="7"/>
  <c r="T7" i="7"/>
  <c r="Q7" i="7"/>
  <c r="N7" i="7"/>
  <c r="K7" i="7"/>
  <c r="H7" i="7"/>
  <c r="E7" i="7"/>
  <c r="T6" i="7"/>
  <c r="Q6" i="7"/>
  <c r="N6" i="7"/>
  <c r="K6" i="7"/>
  <c r="H6" i="7"/>
  <c r="E6" i="7"/>
  <c r="U18" i="6"/>
  <c r="T17" i="6"/>
  <c r="Q17" i="6"/>
  <c r="N17" i="6"/>
  <c r="K17" i="6"/>
  <c r="H17" i="6"/>
  <c r="E17" i="6"/>
  <c r="T16" i="6"/>
  <c r="Q16" i="6"/>
  <c r="N16" i="6"/>
  <c r="K16" i="6"/>
  <c r="H16" i="6"/>
  <c r="E16" i="6"/>
  <c r="T15" i="6"/>
  <c r="Q15" i="6"/>
  <c r="N15" i="6"/>
  <c r="K15" i="6"/>
  <c r="H15" i="6"/>
  <c r="E15" i="6"/>
  <c r="T14" i="6"/>
  <c r="Q14" i="6"/>
  <c r="N14" i="6"/>
  <c r="K14" i="6"/>
  <c r="H14" i="6"/>
  <c r="E14" i="6"/>
  <c r="T13" i="6"/>
  <c r="Q13" i="6"/>
  <c r="N13" i="6"/>
  <c r="K13" i="6"/>
  <c r="H13" i="6"/>
  <c r="E13" i="6"/>
  <c r="T12" i="6"/>
  <c r="Q12" i="6"/>
  <c r="N12" i="6"/>
  <c r="K12" i="6"/>
  <c r="H12" i="6"/>
  <c r="E12" i="6"/>
  <c r="T11" i="6"/>
  <c r="Q11" i="6"/>
  <c r="N11" i="6"/>
  <c r="K11" i="6"/>
  <c r="H11" i="6"/>
  <c r="E11" i="6"/>
  <c r="T10" i="6"/>
  <c r="Q10" i="6"/>
  <c r="N10" i="6"/>
  <c r="K10" i="6"/>
  <c r="H10" i="6"/>
  <c r="E10" i="6"/>
  <c r="T9" i="6"/>
  <c r="Q9" i="6"/>
  <c r="N9" i="6"/>
  <c r="K9" i="6"/>
  <c r="H9" i="6"/>
  <c r="E9" i="6"/>
  <c r="T8" i="6"/>
  <c r="Q8" i="6"/>
  <c r="N8" i="6"/>
  <c r="K8" i="6"/>
  <c r="H8" i="6"/>
  <c r="E8" i="6"/>
  <c r="T7" i="6"/>
  <c r="Q7" i="6"/>
  <c r="N7" i="6"/>
  <c r="K7" i="6"/>
  <c r="H7" i="6"/>
  <c r="E7" i="6"/>
  <c r="T6" i="6"/>
  <c r="Q6" i="6"/>
  <c r="N6" i="6"/>
  <c r="N18" i="6" s="1"/>
  <c r="K6" i="6"/>
  <c r="H6" i="6"/>
  <c r="E6" i="6"/>
  <c r="U19" i="4"/>
  <c r="T18" i="4"/>
  <c r="Q18" i="4"/>
  <c r="N18" i="4"/>
  <c r="K18" i="4"/>
  <c r="H18" i="4"/>
  <c r="E18" i="4"/>
  <c r="T16" i="4"/>
  <c r="Q16" i="4"/>
  <c r="N16" i="4"/>
  <c r="K16" i="4"/>
  <c r="H16" i="4"/>
  <c r="E16" i="4"/>
  <c r="T15" i="4"/>
  <c r="Q15" i="4"/>
  <c r="N15" i="4"/>
  <c r="K15" i="4"/>
  <c r="H15" i="4"/>
  <c r="E15" i="4"/>
  <c r="T14" i="4"/>
  <c r="Q14" i="4"/>
  <c r="N14" i="4"/>
  <c r="K14" i="4"/>
  <c r="H14" i="4"/>
  <c r="E14" i="4"/>
  <c r="T13" i="4"/>
  <c r="Q13" i="4"/>
  <c r="N13" i="4"/>
  <c r="K13" i="4"/>
  <c r="H13" i="4"/>
  <c r="E13" i="4"/>
  <c r="T12" i="4"/>
  <c r="Q12" i="4"/>
  <c r="N12" i="4"/>
  <c r="K12" i="4"/>
  <c r="H12" i="4"/>
  <c r="E12" i="4"/>
  <c r="T11" i="4"/>
  <c r="Q11" i="4"/>
  <c r="N11" i="4"/>
  <c r="K11" i="4"/>
  <c r="H11" i="4"/>
  <c r="E11" i="4"/>
  <c r="T10" i="4"/>
  <c r="Q10" i="4"/>
  <c r="N10" i="4"/>
  <c r="K10" i="4"/>
  <c r="H10" i="4"/>
  <c r="E10" i="4"/>
  <c r="T9" i="4"/>
  <c r="Q9" i="4"/>
  <c r="N9" i="4"/>
  <c r="K9" i="4"/>
  <c r="H9" i="4"/>
  <c r="E9" i="4"/>
  <c r="T8" i="4"/>
  <c r="Q8" i="4"/>
  <c r="N8" i="4"/>
  <c r="K8" i="4"/>
  <c r="H8" i="4"/>
  <c r="E8" i="4"/>
  <c r="T7" i="4"/>
  <c r="Q7" i="4"/>
  <c r="N7" i="4"/>
  <c r="K7" i="4"/>
  <c r="H7" i="4"/>
  <c r="E7" i="4"/>
  <c r="T6" i="4"/>
  <c r="Q6" i="4"/>
  <c r="N6" i="4"/>
  <c r="K6" i="4"/>
  <c r="H6" i="4"/>
  <c r="E6" i="4"/>
  <c r="T18" i="6" l="1"/>
  <c r="V17" i="6"/>
  <c r="K18" i="7"/>
  <c r="V7" i="6"/>
  <c r="V11" i="6"/>
  <c r="V15" i="6"/>
  <c r="K18" i="6"/>
  <c r="V16" i="6"/>
  <c r="E18" i="6"/>
  <c r="Q18" i="6"/>
  <c r="V10" i="6"/>
  <c r="V14" i="6"/>
  <c r="V8" i="7"/>
  <c r="V11" i="7"/>
  <c r="V12" i="7"/>
  <c r="V15" i="7"/>
  <c r="V16" i="7"/>
  <c r="H18" i="7"/>
  <c r="T18" i="7"/>
  <c r="V17" i="7"/>
  <c r="V8" i="6"/>
  <c r="V9" i="6"/>
  <c r="V12" i="6"/>
  <c r="V13" i="6"/>
  <c r="Q18" i="7"/>
  <c r="N18" i="8"/>
  <c r="H18" i="8"/>
  <c r="T18" i="8"/>
  <c r="V9" i="8"/>
  <c r="V17" i="8"/>
  <c r="Q18" i="8"/>
  <c r="V13" i="8"/>
  <c r="K18" i="8"/>
  <c r="E18" i="8"/>
  <c r="V10" i="8"/>
  <c r="V14" i="8"/>
  <c r="V7" i="8"/>
  <c r="V8" i="8"/>
  <c r="V11" i="8"/>
  <c r="V12" i="8"/>
  <c r="V15" i="8"/>
  <c r="V16" i="8"/>
  <c r="V13" i="7"/>
  <c r="V9" i="7"/>
  <c r="V7" i="7"/>
  <c r="N18" i="7"/>
  <c r="E18" i="7"/>
  <c r="V10" i="7"/>
  <c r="V14" i="7"/>
  <c r="V6" i="7"/>
  <c r="V6" i="8"/>
  <c r="H18" i="6"/>
  <c r="V6" i="6"/>
  <c r="H19" i="4"/>
  <c r="T19" i="4"/>
  <c r="V7" i="4"/>
  <c r="V11" i="4"/>
  <c r="V16" i="4"/>
  <c r="V18" i="4"/>
  <c r="V13" i="4"/>
  <c r="V15" i="4"/>
  <c r="N19" i="4"/>
  <c r="V14" i="4"/>
  <c r="V12" i="4"/>
  <c r="V10" i="4"/>
  <c r="Q19" i="4"/>
  <c r="K19" i="4"/>
  <c r="V9" i="4"/>
  <c r="E19" i="4"/>
  <c r="V8" i="4"/>
  <c r="V6" i="4"/>
  <c r="V18" i="6" l="1"/>
  <c r="V20" i="6" s="1"/>
  <c r="V18" i="8"/>
  <c r="V20" i="8" s="1"/>
  <c r="V18" i="7"/>
  <c r="V20" i="7" s="1"/>
  <c r="V19" i="4"/>
  <c r="V21" i="4" s="1"/>
  <c r="V22" i="7" l="1"/>
  <c r="V54" i="7"/>
  <c r="V56" i="7" s="1"/>
  <c r="V54" i="6"/>
  <c r="V56" i="6" s="1"/>
  <c r="V22" i="6"/>
  <c r="V23" i="4"/>
  <c r="V54" i="4"/>
  <c r="V56" i="4" s="1"/>
  <c r="V22" i="8"/>
  <c r="V54" i="8"/>
  <c r="V56" i="8" s="1"/>
</calcChain>
</file>

<file path=xl/sharedStrings.xml><?xml version="1.0" encoding="utf-8"?>
<sst xmlns="http://schemas.openxmlformats.org/spreadsheetml/2006/main" count="510" uniqueCount="63">
  <si>
    <t>日数</t>
    <rPh sb="0" eb="2">
      <t>ニッスウ</t>
    </rPh>
    <phoneticPr fontId="2"/>
  </si>
  <si>
    <t>利用者名</t>
    <rPh sb="0" eb="3">
      <t>リヨウシャ</t>
    </rPh>
    <rPh sb="3" eb="4">
      <t>メイ</t>
    </rPh>
    <phoneticPr fontId="2"/>
  </si>
  <si>
    <t>合計</t>
    <rPh sb="0" eb="2">
      <t>ゴウケイ</t>
    </rPh>
    <phoneticPr fontId="2"/>
  </si>
  <si>
    <t>本人負担額</t>
    <rPh sb="0" eb="2">
      <t>ホンニン</t>
    </rPh>
    <rPh sb="2" eb="4">
      <t>フタン</t>
    </rPh>
    <rPh sb="4" eb="5">
      <t>ガク</t>
    </rPh>
    <phoneticPr fontId="2"/>
  </si>
  <si>
    <t>就労外</t>
    <rPh sb="0" eb="2">
      <t>シュウロウ</t>
    </rPh>
    <rPh sb="2" eb="3">
      <t>ガイ</t>
    </rPh>
    <phoneticPr fontId="2"/>
  </si>
  <si>
    <t>訪問支援特別加算</t>
    <rPh sb="0" eb="2">
      <t>ホウモン</t>
    </rPh>
    <rPh sb="2" eb="4">
      <t>シエン</t>
    </rPh>
    <rPh sb="4" eb="6">
      <t>トクベツ</t>
    </rPh>
    <rPh sb="6" eb="8">
      <t>カサン</t>
    </rPh>
    <phoneticPr fontId="2"/>
  </si>
  <si>
    <t>送迎</t>
    <rPh sb="0" eb="2">
      <t>ソウゲイ</t>
    </rPh>
    <phoneticPr fontId="2"/>
  </si>
  <si>
    <t>欠席対応</t>
    <rPh sb="0" eb="2">
      <t>ケッセキ</t>
    </rPh>
    <rPh sb="2" eb="4">
      <t>タイオウ</t>
    </rPh>
    <phoneticPr fontId="2"/>
  </si>
  <si>
    <t>就継初期</t>
    <rPh sb="0" eb="1">
      <t>ツ</t>
    </rPh>
    <rPh sb="1" eb="2">
      <t>ツ</t>
    </rPh>
    <rPh sb="2" eb="4">
      <t>ショキ</t>
    </rPh>
    <phoneticPr fontId="2"/>
  </si>
  <si>
    <t>就労継続Ｂ</t>
    <rPh sb="0" eb="2">
      <t>シュウロウ</t>
    </rPh>
    <rPh sb="2" eb="4">
      <t>ケイゾク</t>
    </rPh>
    <phoneticPr fontId="2"/>
  </si>
  <si>
    <t xml:space="preserve"> 月分</t>
    <rPh sb="1" eb="2">
      <t>ガツ</t>
    </rPh>
    <rPh sb="2" eb="3">
      <t>ブン</t>
    </rPh>
    <phoneticPr fontId="2"/>
  </si>
  <si>
    <t>平成29年度</t>
    <rPh sb="0" eb="2">
      <t>ヘイセイ</t>
    </rPh>
    <rPh sb="4" eb="5">
      <t>ネン</t>
    </rPh>
    <rPh sb="5" eb="6">
      <t>ド</t>
    </rPh>
    <phoneticPr fontId="2"/>
  </si>
  <si>
    <t>給付金請求明細</t>
    <rPh sb="0" eb="3">
      <t>キュウフキン</t>
    </rPh>
    <rPh sb="3" eb="5">
      <t>セイキュウ</t>
    </rPh>
    <rPh sb="5" eb="7">
      <t>メイサイ</t>
    </rPh>
    <phoneticPr fontId="2"/>
  </si>
  <si>
    <t>平成29年度3月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</si>
  <si>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矢原エリカ</t>
    <rPh sb="0" eb="2">
      <t>ヤハラ</t>
    </rPh>
    <phoneticPr fontId="2"/>
  </si>
  <si>
    <t>櫻武隆一</t>
    <rPh sb="0" eb="1">
      <t>サクラ</t>
    </rPh>
    <rPh sb="1" eb="2">
      <t>ブ</t>
    </rPh>
    <rPh sb="2" eb="4">
      <t>リュウイチ</t>
    </rPh>
    <phoneticPr fontId="2"/>
  </si>
  <si>
    <t>平成29年度1月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</si>
  <si>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服部弘美</t>
    <rPh sb="0" eb="2">
      <t>ハットリ</t>
    </rPh>
    <rPh sb="2" eb="4">
      <t>ヒロミ</t>
    </rPh>
    <phoneticPr fontId="2"/>
  </si>
  <si>
    <t>下田喜代子</t>
    <rPh sb="0" eb="2">
      <t>シモダ</t>
    </rPh>
    <rPh sb="2" eb="5">
      <t>キヨコ</t>
    </rPh>
    <phoneticPr fontId="2"/>
  </si>
  <si>
    <t>柏木憲太</t>
    <rPh sb="0" eb="2">
      <t>カシワギ</t>
    </rPh>
    <rPh sb="2" eb="4">
      <t>ケンタ</t>
    </rPh>
    <phoneticPr fontId="2"/>
  </si>
  <si>
    <t>神田幸弘</t>
    <rPh sb="0" eb="1">
      <t>ジン</t>
    </rPh>
    <rPh sb="1" eb="2">
      <t>デン</t>
    </rPh>
    <rPh sb="2" eb="4">
      <t>ユキヒロ</t>
    </rPh>
    <phoneticPr fontId="2"/>
  </si>
  <si>
    <t>若林雅子</t>
    <rPh sb="0" eb="2">
      <t>ワカバヤシ</t>
    </rPh>
    <rPh sb="2" eb="4">
      <t>マサコ</t>
    </rPh>
    <phoneticPr fontId="2"/>
  </si>
  <si>
    <t>小川麻耶</t>
    <rPh sb="0" eb="2">
      <t>オガワ</t>
    </rPh>
    <rPh sb="2" eb="4">
      <t>マヤ</t>
    </rPh>
    <phoneticPr fontId="2"/>
  </si>
  <si>
    <t>上松浩二</t>
    <rPh sb="0" eb="2">
      <t>ウエマツ</t>
    </rPh>
    <rPh sb="2" eb="4">
      <t>コウジ</t>
    </rPh>
    <phoneticPr fontId="2"/>
  </si>
  <si>
    <t>上松正和</t>
    <rPh sb="0" eb="2">
      <t>ウエマツ</t>
    </rPh>
    <rPh sb="2" eb="4">
      <t>マサカズ</t>
    </rPh>
    <phoneticPr fontId="2"/>
  </si>
  <si>
    <t>若林哲也</t>
    <rPh sb="0" eb="2">
      <t>ワカバヤシ</t>
    </rPh>
    <rPh sb="2" eb="4">
      <t>テツヤ</t>
    </rPh>
    <phoneticPr fontId="2"/>
  </si>
  <si>
    <t>安石秀樹</t>
    <rPh sb="0" eb="1">
      <t>ヤス</t>
    </rPh>
    <rPh sb="1" eb="2">
      <t>イシ</t>
    </rPh>
    <rPh sb="2" eb="4">
      <t>ヒデキ</t>
    </rPh>
    <phoneticPr fontId="2"/>
  </si>
  <si>
    <t>吉岡一夫</t>
    <rPh sb="0" eb="2">
      <t>ヨシオカ</t>
    </rPh>
    <rPh sb="2" eb="4">
      <t>カズオ</t>
    </rPh>
    <phoneticPr fontId="2"/>
  </si>
  <si>
    <t>平成29年度4月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</si>
  <si>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御調</t>
    <rPh sb="0" eb="2">
      <t>ミツギ</t>
    </rPh>
    <phoneticPr fontId="2"/>
  </si>
  <si>
    <t>三成</t>
    <rPh sb="0" eb="2">
      <t>ミツナリ</t>
    </rPh>
    <phoneticPr fontId="2"/>
  </si>
  <si>
    <t>中村忠</t>
    <rPh sb="0" eb="2">
      <t>ナカムラ</t>
    </rPh>
    <rPh sb="2" eb="3">
      <t>タダシ</t>
    </rPh>
    <phoneticPr fontId="2"/>
  </si>
  <si>
    <t>槇山忠義</t>
    <rPh sb="0" eb="2">
      <t>マキヤマ</t>
    </rPh>
    <rPh sb="2" eb="4">
      <t>タダヨシ</t>
    </rPh>
    <phoneticPr fontId="2"/>
  </si>
  <si>
    <t>坂本浩昭</t>
    <rPh sb="0" eb="2">
      <t>サカモト</t>
    </rPh>
    <rPh sb="2" eb="4">
      <t>ヒロアキ</t>
    </rPh>
    <phoneticPr fontId="2"/>
  </si>
  <si>
    <t>竹内かおる</t>
    <rPh sb="0" eb="2">
      <t>タケウチ</t>
    </rPh>
    <phoneticPr fontId="2"/>
  </si>
  <si>
    <t>川上智樹</t>
    <rPh sb="0" eb="2">
      <t>カワウエ</t>
    </rPh>
    <rPh sb="2" eb="3">
      <t>トモ</t>
    </rPh>
    <rPh sb="3" eb="4">
      <t>キ</t>
    </rPh>
    <phoneticPr fontId="2"/>
  </si>
  <si>
    <t>赤木正樹</t>
    <rPh sb="0" eb="2">
      <t>アカキ</t>
    </rPh>
    <rPh sb="2" eb="4">
      <t>マサキ</t>
    </rPh>
    <phoneticPr fontId="2"/>
  </si>
  <si>
    <t>三好直美</t>
    <rPh sb="0" eb="2">
      <t>ミヨシ</t>
    </rPh>
    <rPh sb="2" eb="4">
      <t>ナオミ</t>
    </rPh>
    <phoneticPr fontId="2"/>
  </si>
  <si>
    <t>今本彩子</t>
    <rPh sb="0" eb="2">
      <t>イマモト</t>
    </rPh>
    <rPh sb="2" eb="4">
      <t>アヤコ</t>
    </rPh>
    <phoneticPr fontId="2"/>
  </si>
  <si>
    <t>宇江寿江</t>
    <rPh sb="0" eb="1">
      <t>ウ</t>
    </rPh>
    <rPh sb="1" eb="2">
      <t>エ</t>
    </rPh>
    <rPh sb="2" eb="3">
      <t>コトブキ</t>
    </rPh>
    <rPh sb="3" eb="4">
      <t>エ</t>
    </rPh>
    <phoneticPr fontId="2"/>
  </si>
  <si>
    <t>元廣祥二</t>
    <rPh sb="0" eb="2">
      <t>モトヒロ</t>
    </rPh>
    <rPh sb="2" eb="4">
      <t>ショウジ</t>
    </rPh>
    <phoneticPr fontId="2"/>
  </si>
  <si>
    <t>早﨑　強</t>
    <rPh sb="0" eb="2">
      <t>ハヤサキ</t>
    </rPh>
    <rPh sb="3" eb="4">
      <t>ツヨ</t>
    </rPh>
    <phoneticPr fontId="2"/>
  </si>
  <si>
    <t>藤井文恵</t>
    <rPh sb="0" eb="2">
      <t>フジイ</t>
    </rPh>
    <rPh sb="2" eb="4">
      <t>フミエ</t>
    </rPh>
    <phoneticPr fontId="2"/>
  </si>
  <si>
    <t>田附勉</t>
    <rPh sb="0" eb="1">
      <t>タ</t>
    </rPh>
    <rPh sb="1" eb="2">
      <t>ツ</t>
    </rPh>
    <rPh sb="2" eb="3">
      <t>ツトム</t>
    </rPh>
    <phoneticPr fontId="2"/>
  </si>
  <si>
    <t>番田豊人</t>
    <rPh sb="0" eb="2">
      <t>バンダ</t>
    </rPh>
    <rPh sb="2" eb="4">
      <t>トヨト</t>
    </rPh>
    <phoneticPr fontId="2"/>
  </si>
  <si>
    <t>長井陸</t>
    <rPh sb="0" eb="2">
      <t>ナガイ</t>
    </rPh>
    <rPh sb="2" eb="3">
      <t>リク</t>
    </rPh>
    <phoneticPr fontId="2"/>
  </si>
  <si>
    <t>村上智昭</t>
    <rPh sb="0" eb="2">
      <t>ムラカミ</t>
    </rPh>
    <rPh sb="2" eb="4">
      <t>トモアキ</t>
    </rPh>
    <phoneticPr fontId="2"/>
  </si>
  <si>
    <t>大西英嗣</t>
    <rPh sb="0" eb="2">
      <t>オオニシ</t>
    </rPh>
    <rPh sb="2" eb="4">
      <t>エイジ</t>
    </rPh>
    <phoneticPr fontId="2"/>
  </si>
  <si>
    <t xml:space="preserve"> ２月分</t>
    <rPh sb="2" eb="3">
      <t>ガツ</t>
    </rPh>
    <rPh sb="3" eb="4">
      <t>ブン</t>
    </rPh>
    <phoneticPr fontId="2"/>
  </si>
  <si>
    <t xml:space="preserve"> 3月分</t>
    <rPh sb="2" eb="3">
      <t>ガツ</t>
    </rPh>
    <rPh sb="3" eb="4">
      <t>ブン</t>
    </rPh>
    <phoneticPr fontId="2"/>
  </si>
  <si>
    <t>2 月分</t>
    <rPh sb="2" eb="3">
      <t>ガツ</t>
    </rPh>
    <rPh sb="3" eb="4">
      <t>ブン</t>
    </rPh>
    <phoneticPr fontId="2"/>
  </si>
  <si>
    <t>1 月分</t>
    <rPh sb="2" eb="3">
      <t>ガツ</t>
    </rPh>
    <rPh sb="3" eb="4">
      <t>ブン</t>
    </rPh>
    <phoneticPr fontId="2"/>
  </si>
  <si>
    <t>櫻武隆一</t>
    <rPh sb="0" eb="2">
      <t>サクラブ</t>
    </rPh>
    <rPh sb="2" eb="4">
      <t>リュウイチ</t>
    </rPh>
    <phoneticPr fontId="2"/>
  </si>
  <si>
    <t>矢原エリカ</t>
    <rPh sb="0" eb="2">
      <t>ヤハラ</t>
    </rPh>
    <phoneticPr fontId="2"/>
  </si>
  <si>
    <t>平成29年度5月</t>
    <rPh sb="0" eb="2">
      <t>ヘイセイ</t>
    </rPh>
    <rPh sb="4" eb="5">
      <t>ネン</t>
    </rPh>
    <rPh sb="5" eb="6">
      <t>ド</t>
    </rPh>
    <rPh sb="7" eb="8">
      <t>ガツ</t>
    </rPh>
    <phoneticPr fontId="2"/>
  </si>
  <si>
    <t>三井智子</t>
    <rPh sb="0" eb="2">
      <t>ミツイ</t>
    </rPh>
    <rPh sb="2" eb="4">
      <t>トモコ</t>
    </rPh>
    <phoneticPr fontId="2"/>
  </si>
  <si>
    <t>桃谷雅子</t>
    <rPh sb="0" eb="2">
      <t>モモタニ</t>
    </rPh>
    <rPh sb="2" eb="4">
      <t>マサコ</t>
    </rPh>
    <phoneticPr fontId="2"/>
  </si>
  <si>
    <t>原田啓亮</t>
    <rPh sb="0" eb="2">
      <t>ハラダ</t>
    </rPh>
    <rPh sb="2" eb="3">
      <t>ケイ</t>
    </rPh>
    <rPh sb="3" eb="4">
      <t>リョウ</t>
    </rPh>
    <phoneticPr fontId="2"/>
  </si>
  <si>
    <t>末石富美子</t>
    <rPh sb="0" eb="2">
      <t>スエイシ</t>
    </rPh>
    <rPh sb="2" eb="5">
      <t>フミコ</t>
    </rPh>
    <phoneticPr fontId="2"/>
  </si>
  <si>
    <t>末石裕司</t>
    <rPh sb="0" eb="2">
      <t>スエイシ</t>
    </rPh>
    <rPh sb="2" eb="4">
      <t>ユウジ</t>
    </rPh>
    <phoneticPr fontId="2"/>
  </si>
  <si>
    <t>松田靖子</t>
    <rPh sb="0" eb="2">
      <t>マツダ</t>
    </rPh>
    <rPh sb="2" eb="4">
      <t>ヤスコ</t>
    </rPh>
    <phoneticPr fontId="2"/>
  </si>
  <si>
    <t>竹内　かおる</t>
    <rPh sb="0" eb="2">
      <t>タケウチ</t>
    </rPh>
    <phoneticPr fontId="2"/>
  </si>
  <si>
    <t>平成29年度10月</t>
    <rPh sb="0" eb="2">
      <t>ヘイセイ</t>
    </rPh>
    <rPh sb="4" eb="5">
      <t>ネン</t>
    </rPh>
    <rPh sb="5" eb="6">
      <t>ド</t>
    </rPh>
    <rPh sb="8" eb="9">
      <t>ガツ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</si>
</sst>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¥&quot;#,##0;[Red]&quot;¥&quot;\-#,##0"/>
  </numFmts>
  <fonts count="2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20"/>
      <color theme="1" tint="4.9989318521683403E-2"/>
      <name val="游ゴシック"/>
      <family val="2"/>
      <charset val="128"/>
      <scheme val="minor"/>
    </font>
    <font>
      <sz val="25"/>
      <color theme="1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5"/>
      <color theme="1"/>
      <name val="游ゴシック"/>
      <family val="3"/>
      <charset val="128"/>
      <scheme val="minor"/>
    </font>
    <font>
      <sz val="15"/>
      <color theme="1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b/>
      <sz val="16"/>
      <color indexed="8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8" fillId="0" borderId="0" xfId="0" applyFont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6" xfId="0" applyBorder="1" applyAlignment="1">
      <alignment vertical="center" shrinkToFit="1"/>
    </xf>
    <xf numFmtId="0" fontId="0" fillId="0" borderId="5" xfId="0" applyBorder="1" applyAlignment="1">
      <alignment vertical="center" shrinkToFit="1"/>
    </xf>
    <xf numFmtId="0" fontId="0" fillId="0" borderId="5" xfId="0" applyBorder="1" applyAlignment="1">
      <alignment horizontal="center" vertical="center" shrinkToFit="1"/>
    </xf>
    <xf numFmtId="0" fontId="8" fillId="0" borderId="5" xfId="0" applyFont="1" applyBorder="1" applyAlignment="1">
      <alignment vertical="center" shrinkToFit="1"/>
    </xf>
    <xf numFmtId="38" fontId="0" fillId="0" borderId="5" xfId="1" applyFont="1" applyBorder="1" applyAlignment="1">
      <alignment vertical="center" shrinkToFit="1"/>
    </xf>
    <xf numFmtId="0" fontId="9" fillId="0" borderId="1" xfId="0" applyFont="1" applyBorder="1" applyAlignment="1">
      <alignment vertical="center" shrinkToFit="1"/>
    </xf>
    <xf numFmtId="0" fontId="9" fillId="0" borderId="2" xfId="0" applyFont="1" applyBorder="1" applyAlignment="1">
      <alignment vertical="center" shrinkToFit="1"/>
    </xf>
    <xf numFmtId="38" fontId="16" fillId="0" borderId="2" xfId="1" applyFont="1" applyBorder="1" applyAlignment="1">
      <alignment vertical="center" shrinkToFit="1"/>
    </xf>
    <xf numFmtId="0" fontId="16" fillId="5" borderId="2" xfId="0" applyFont="1" applyFill="1" applyBorder="1" applyAlignment="1">
      <alignment vertical="center" shrinkToFit="1"/>
    </xf>
    <xf numFmtId="38" fontId="16" fillId="4" borderId="2" xfId="1" applyFont="1" applyFill="1" applyBorder="1" applyAlignment="1">
      <alignment vertical="center" shrinkToFit="1"/>
    </xf>
    <xf numFmtId="0" fontId="16" fillId="0" borderId="2" xfId="0" applyFont="1" applyBorder="1" applyAlignment="1">
      <alignment vertical="center" shrinkToFit="1"/>
    </xf>
    <xf numFmtId="0" fontId="16" fillId="4" borderId="2" xfId="0" applyFont="1" applyFill="1" applyBorder="1" applyAlignment="1">
      <alignment vertical="center" shrinkToFit="1"/>
    </xf>
    <xf numFmtId="38" fontId="0" fillId="0" borderId="3" xfId="1" applyFont="1" applyBorder="1" applyAlignment="1">
      <alignment vertical="center" shrinkToFit="1"/>
    </xf>
    <xf numFmtId="0" fontId="0" fillId="5" borderId="2" xfId="0" applyFill="1" applyBorder="1" applyAlignment="1">
      <alignment vertical="center" shrinkToFit="1"/>
    </xf>
    <xf numFmtId="38" fontId="5" fillId="4" borderId="2" xfId="1" applyFont="1" applyFill="1" applyBorder="1" applyAlignment="1">
      <alignment vertical="center" shrinkToFit="1"/>
    </xf>
    <xf numFmtId="38" fontId="12" fillId="0" borderId="2" xfId="1" applyFont="1" applyBorder="1" applyAlignment="1">
      <alignment vertical="center" shrinkToFit="1"/>
    </xf>
    <xf numFmtId="0" fontId="16" fillId="5" borderId="1" xfId="0" applyFont="1" applyFill="1" applyBorder="1" applyAlignment="1">
      <alignment vertical="center" shrinkToFit="1"/>
    </xf>
    <xf numFmtId="38" fontId="0" fillId="0" borderId="1" xfId="1" applyFont="1" applyBorder="1" applyAlignment="1">
      <alignment vertical="center" shrinkToFit="1"/>
    </xf>
    <xf numFmtId="0" fontId="0" fillId="5" borderId="1" xfId="0" applyFill="1" applyBorder="1" applyAlignment="1">
      <alignment vertical="center" shrinkToFit="1"/>
    </xf>
    <xf numFmtId="38" fontId="0" fillId="0" borderId="2" xfId="1" applyFont="1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38" fontId="16" fillId="0" borderId="1" xfId="1" applyFont="1" applyBorder="1" applyAlignment="1">
      <alignment vertical="center" shrinkToFit="1"/>
    </xf>
    <xf numFmtId="38" fontId="12" fillId="0" borderId="1" xfId="1" applyFont="1" applyBorder="1" applyAlignment="1">
      <alignment vertical="center" shrinkToFit="1"/>
    </xf>
    <xf numFmtId="6" fontId="8" fillId="2" borderId="0" xfId="2" applyFont="1" applyFill="1" applyAlignment="1">
      <alignment vertical="center" shrinkToFit="1"/>
    </xf>
    <xf numFmtId="6" fontId="4" fillId="2" borderId="1" xfId="2" applyFont="1" applyFill="1" applyBorder="1" applyAlignment="1">
      <alignment vertical="center" shrinkToFit="1"/>
    </xf>
    <xf numFmtId="38" fontId="14" fillId="3" borderId="1" xfId="0" applyNumberFormat="1" applyFont="1" applyFill="1" applyBorder="1" applyAlignment="1">
      <alignment vertical="center" shrinkToFit="1"/>
    </xf>
    <xf numFmtId="6" fontId="4" fillId="2" borderId="5" xfId="2" applyFont="1" applyFill="1" applyBorder="1" applyAlignment="1">
      <alignment vertical="center" shrinkToFit="1"/>
    </xf>
    <xf numFmtId="38" fontId="14" fillId="3" borderId="5" xfId="0" applyNumberFormat="1" applyFont="1" applyFill="1" applyBorder="1" applyAlignment="1">
      <alignment vertical="center" shrinkToFit="1"/>
    </xf>
    <xf numFmtId="0" fontId="8" fillId="2" borderId="2" xfId="0" applyFont="1" applyFill="1" applyBorder="1" applyAlignment="1">
      <alignment vertical="center" shrinkToFit="1"/>
    </xf>
    <xf numFmtId="38" fontId="14" fillId="3" borderId="2" xfId="0" applyNumberFormat="1" applyFont="1" applyFill="1" applyBorder="1" applyAlignment="1">
      <alignment vertical="center" shrinkToFit="1"/>
    </xf>
    <xf numFmtId="6" fontId="4" fillId="3" borderId="0" xfId="2" applyFont="1" applyFill="1" applyAlignment="1">
      <alignment vertical="center" shrinkToFit="1"/>
    </xf>
    <xf numFmtId="0" fontId="8" fillId="2" borderId="0" xfId="0" applyFont="1" applyFill="1" applyAlignment="1">
      <alignment vertical="center" shrinkToFit="1"/>
    </xf>
    <xf numFmtId="0" fontId="10" fillId="0" borderId="2" xfId="0" applyFont="1" applyBorder="1" applyAlignment="1">
      <alignment vertical="center" shrinkToFit="1"/>
    </xf>
    <xf numFmtId="38" fontId="11" fillId="0" borderId="2" xfId="1" applyFont="1" applyBorder="1" applyAlignment="1">
      <alignment vertical="center" shrinkToFit="1"/>
    </xf>
    <xf numFmtId="0" fontId="17" fillId="0" borderId="1" xfId="0" applyFont="1" applyBorder="1" applyAlignment="1">
      <alignment vertical="center" shrinkToFit="1"/>
    </xf>
    <xf numFmtId="38" fontId="16" fillId="0" borderId="5" xfId="1" applyFont="1" applyBorder="1" applyAlignment="1">
      <alignment vertical="center" shrinkToFit="1"/>
    </xf>
    <xf numFmtId="0" fontId="16" fillId="5" borderId="5" xfId="0" applyFont="1" applyFill="1" applyBorder="1" applyAlignment="1">
      <alignment vertical="center" shrinkToFit="1"/>
    </xf>
    <xf numFmtId="38" fontId="16" fillId="4" borderId="5" xfId="1" applyFont="1" applyFill="1" applyBorder="1" applyAlignment="1">
      <alignment vertical="center" shrinkToFit="1"/>
    </xf>
    <xf numFmtId="0" fontId="16" fillId="0" borderId="5" xfId="0" applyFont="1" applyBorder="1" applyAlignment="1">
      <alignment vertical="center" shrinkToFit="1"/>
    </xf>
    <xf numFmtId="0" fontId="16" fillId="4" borderId="5" xfId="0" applyFont="1" applyFill="1" applyBorder="1" applyAlignment="1">
      <alignment vertical="center" shrinkToFit="1"/>
    </xf>
    <xf numFmtId="0" fontId="0" fillId="5" borderId="5" xfId="0" applyFill="1" applyBorder="1" applyAlignment="1">
      <alignment vertical="center" shrinkToFit="1"/>
    </xf>
    <xf numFmtId="38" fontId="5" fillId="4" borderId="5" xfId="1" applyFont="1" applyFill="1" applyBorder="1" applyAlignment="1">
      <alignment vertical="center" shrinkToFit="1"/>
    </xf>
    <xf numFmtId="38" fontId="11" fillId="0" borderId="5" xfId="1" applyFont="1" applyBorder="1" applyAlignment="1">
      <alignment vertical="center" shrinkToFit="1"/>
    </xf>
    <xf numFmtId="0" fontId="11" fillId="0" borderId="2" xfId="0" applyFont="1" applyBorder="1" applyAlignment="1">
      <alignment vertical="center" shrinkToFit="1"/>
    </xf>
    <xf numFmtId="0" fontId="18" fillId="0" borderId="0" xfId="0" applyFont="1" applyAlignment="1">
      <alignment vertical="center" shrinkToFit="1"/>
    </xf>
    <xf numFmtId="6" fontId="19" fillId="2" borderId="1" xfId="2" applyFont="1" applyFill="1" applyBorder="1" applyAlignment="1">
      <alignment vertical="center" shrinkToFit="1"/>
    </xf>
    <xf numFmtId="38" fontId="13" fillId="3" borderId="1" xfId="0" applyNumberFormat="1" applyFont="1" applyFill="1" applyBorder="1" applyAlignment="1">
      <alignment vertical="center" shrinkToFit="1"/>
    </xf>
    <xf numFmtId="0" fontId="19" fillId="2" borderId="2" xfId="0" applyFont="1" applyFill="1" applyBorder="1" applyAlignment="1">
      <alignment vertical="center" shrinkToFit="1"/>
    </xf>
    <xf numFmtId="38" fontId="13" fillId="3" borderId="2" xfId="0" applyNumberFormat="1" applyFont="1" applyFill="1" applyBorder="1" applyAlignment="1">
      <alignment vertical="center" shrinkToFit="1"/>
    </xf>
    <xf numFmtId="6" fontId="19" fillId="2" borderId="5" xfId="2" applyFont="1" applyFill="1" applyBorder="1" applyAlignment="1">
      <alignment vertical="center" shrinkToFit="1"/>
    </xf>
    <xf numFmtId="38" fontId="13" fillId="3" borderId="5" xfId="0" applyNumberFormat="1" applyFont="1" applyFill="1" applyBorder="1" applyAlignment="1">
      <alignment vertical="center" shrinkToFit="1"/>
    </xf>
    <xf numFmtId="38" fontId="8" fillId="4" borderId="2" xfId="1" applyFont="1" applyFill="1" applyBorder="1" applyAlignment="1">
      <alignment vertical="center" shrinkToFit="1"/>
    </xf>
    <xf numFmtId="0" fontId="8" fillId="4" borderId="2" xfId="0" applyFont="1" applyFill="1" applyBorder="1" applyAlignment="1">
      <alignment vertical="center" shrinkToFit="1"/>
    </xf>
    <xf numFmtId="38" fontId="0" fillId="4" borderId="2" xfId="1" applyFont="1" applyFill="1" applyBorder="1" applyAlignment="1">
      <alignment vertical="center" shrinkToFit="1"/>
    </xf>
    <xf numFmtId="38" fontId="8" fillId="0" borderId="1" xfId="1" applyFont="1" applyBorder="1" applyAlignment="1">
      <alignment vertical="center" shrinkToFit="1"/>
    </xf>
    <xf numFmtId="38" fontId="11" fillId="0" borderId="1" xfId="1" applyFont="1" applyBorder="1" applyAlignment="1">
      <alignment vertical="center" shrinkToFit="1"/>
    </xf>
    <xf numFmtId="38" fontId="15" fillId="3" borderId="1" xfId="0" applyNumberFormat="1" applyFont="1" applyFill="1" applyBorder="1" applyAlignment="1">
      <alignment vertical="center" shrinkToFit="1"/>
    </xf>
    <xf numFmtId="38" fontId="15" fillId="3" borderId="5" xfId="0" applyNumberFormat="1" applyFont="1" applyFill="1" applyBorder="1" applyAlignment="1">
      <alignment vertical="center" shrinkToFit="1"/>
    </xf>
    <xf numFmtId="0" fontId="0" fillId="2" borderId="0" xfId="0" applyFill="1" applyAlignment="1">
      <alignment vertical="center" shrinkToFit="1"/>
    </xf>
    <xf numFmtId="38" fontId="15" fillId="3" borderId="2" xfId="0" applyNumberFormat="1" applyFont="1" applyFill="1" applyBorder="1" applyAlignment="1">
      <alignment vertical="center" shrinkToFit="1"/>
    </xf>
    <xf numFmtId="6" fontId="3" fillId="2" borderId="0" xfId="2" applyFont="1" applyFill="1" applyAlignment="1">
      <alignment vertical="center" shrinkToFit="1"/>
    </xf>
    <xf numFmtId="6" fontId="4" fillId="2" borderId="0" xfId="2" applyFont="1" applyFill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5" fillId="4" borderId="2" xfId="0" applyFont="1" applyFill="1" applyBorder="1" applyAlignment="1">
      <alignment vertical="center" shrinkToFit="1"/>
    </xf>
    <xf numFmtId="38" fontId="5" fillId="0" borderId="1" xfId="1" applyFont="1" applyBorder="1" applyAlignment="1">
      <alignment vertical="center" shrinkToFit="1"/>
    </xf>
    <xf numFmtId="0" fontId="20" fillId="0" borderId="5" xfId="0" applyFont="1" applyBorder="1" applyAlignment="1">
      <alignment vertical="center" shrinkToFit="1"/>
    </xf>
    <xf numFmtId="0" fontId="20" fillId="0" borderId="5" xfId="0" applyFont="1" applyBorder="1" applyAlignment="1">
      <alignment horizontal="center" vertical="center" shrinkToFit="1"/>
    </xf>
    <xf numFmtId="38" fontId="20" fillId="0" borderId="5" xfId="1" applyFont="1" applyBorder="1" applyAlignment="1">
      <alignment vertical="center" shrinkToFit="1"/>
    </xf>
    <xf numFmtId="6" fontId="18" fillId="3" borderId="2" xfId="2" applyFont="1" applyFill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0" fillId="0" borderId="7" xfId="0" applyFill="1" applyBorder="1" applyAlignment="1">
      <alignment horizontal="center" vertical="center" shrinkToFit="1"/>
    </xf>
    <xf numFmtId="0" fontId="0" fillId="0" borderId="4" xfId="0" applyFill="1" applyBorder="1" applyAlignment="1">
      <alignment horizontal="center" vertical="center" shrinkToFit="1"/>
    </xf>
    <xf numFmtId="6" fontId="18" fillId="3" borderId="1" xfId="2" applyFont="1" applyFill="1" applyBorder="1" applyAlignment="1">
      <alignment horizontal="center" vertical="center" shrinkToFit="1"/>
    </xf>
    <xf numFmtId="6" fontId="18" fillId="3" borderId="5" xfId="2" applyFont="1" applyFill="1" applyBorder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0" fillId="0" borderId="14" xfId="0" applyBorder="1" applyAlignment="1">
      <alignment horizontal="center" vertical="center" shrinkToFit="1"/>
    </xf>
    <xf numFmtId="0" fontId="0" fillId="0" borderId="13" xfId="0" applyBorder="1" applyAlignment="1">
      <alignment horizontal="center" vertical="center" shrinkToFit="1"/>
    </xf>
    <xf numFmtId="0" fontId="0" fillId="0" borderId="12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6" fontId="4" fillId="3" borderId="1" xfId="2" applyFont="1" applyFill="1" applyBorder="1" applyAlignment="1">
      <alignment horizontal="center" vertical="center" shrinkToFit="1"/>
    </xf>
    <xf numFmtId="6" fontId="4" fillId="3" borderId="5" xfId="2" applyFont="1" applyFill="1" applyBorder="1" applyAlignment="1">
      <alignment horizontal="center" vertical="center" shrinkToFit="1"/>
    </xf>
    <xf numFmtId="6" fontId="4" fillId="3" borderId="2" xfId="2" applyFont="1" applyFill="1" applyBorder="1" applyAlignment="1">
      <alignment horizontal="center" vertical="center" shrinkToFit="1"/>
    </xf>
    <xf numFmtId="0" fontId="11" fillId="0" borderId="15" xfId="0" applyFont="1" applyBorder="1" applyAlignment="1">
      <alignment horizontal="center" vertical="center" shrinkToFit="1"/>
    </xf>
    <xf numFmtId="0" fontId="9" fillId="0" borderId="15" xfId="0" applyFont="1" applyBorder="1" applyAlignment="1">
      <alignment horizontal="center" vertical="center" shrinkToFit="1"/>
    </xf>
    <xf numFmtId="0" fontId="20" fillId="0" borderId="7" xfId="0" applyFont="1" applyFill="1" applyBorder="1" applyAlignment="1">
      <alignment horizontal="center" vertical="center" shrinkToFit="1"/>
    </xf>
    <xf numFmtId="0" fontId="20" fillId="0" borderId="4" xfId="0" applyFont="1" applyFill="1" applyBorder="1" applyAlignment="1">
      <alignment horizontal="center" vertical="center" shrinkToFit="1"/>
    </xf>
    <xf numFmtId="6" fontId="4" fillId="3" borderId="10" xfId="2" applyFont="1" applyFill="1" applyBorder="1" applyAlignment="1">
      <alignment horizontal="center" vertical="center" shrinkToFit="1"/>
    </xf>
    <xf numFmtId="6" fontId="4" fillId="3" borderId="9" xfId="2" applyFont="1" applyFill="1" applyBorder="1" applyAlignment="1">
      <alignment horizontal="center" vertical="center" shrinkToFit="1"/>
    </xf>
    <xf numFmtId="6" fontId="4" fillId="3" borderId="8" xfId="2" applyFont="1" applyFill="1" applyBorder="1" applyAlignment="1">
      <alignment horizontal="center" vertical="center" shrinkToFit="1"/>
    </xf>
    <xf numFmtId="6" fontId="4" fillId="3" borderId="16" xfId="2" applyFont="1" applyFill="1" applyBorder="1" applyAlignment="1">
      <alignment horizontal="center" vertical="center" shrinkToFit="1"/>
    </xf>
    <xf numFmtId="6" fontId="4" fillId="3" borderId="17" xfId="2" applyFont="1" applyFill="1" applyBorder="1" applyAlignment="1">
      <alignment horizontal="center" vertical="center" shrinkToFit="1"/>
    </xf>
    <xf numFmtId="6" fontId="4" fillId="3" borderId="18" xfId="2" applyFont="1" applyFill="1" applyBorder="1" applyAlignment="1">
      <alignment horizontal="center" vertical="center" shrinkToFit="1"/>
    </xf>
    <xf numFmtId="6" fontId="4" fillId="3" borderId="19" xfId="2" applyFont="1" applyFill="1" applyBorder="1" applyAlignment="1">
      <alignment horizontal="center" vertical="center" shrinkToFit="1"/>
    </xf>
    <xf numFmtId="6" fontId="4" fillId="3" borderId="20" xfId="2" applyFont="1" applyFill="1" applyBorder="1" applyAlignment="1">
      <alignment horizontal="center" vertical="center" shrinkToFit="1"/>
    </xf>
    <xf numFmtId="6" fontId="4" fillId="3" borderId="21" xfId="2" applyFont="1" applyFill="1" applyBorder="1" applyAlignment="1">
      <alignment horizontal="center" vertical="center" shrinkToFit="1"/>
    </xf>
    <xf numFmtId="6" fontId="18" fillId="3" borderId="10" xfId="2" applyFont="1" applyFill="1" applyBorder="1" applyAlignment="1">
      <alignment horizontal="center" vertical="center" shrinkToFit="1"/>
    </xf>
    <xf numFmtId="6" fontId="18" fillId="3" borderId="9" xfId="2" applyFont="1" applyFill="1" applyBorder="1" applyAlignment="1">
      <alignment horizontal="center" vertical="center" shrinkToFit="1"/>
    </xf>
    <xf numFmtId="6" fontId="18" fillId="3" borderId="8" xfId="2" applyFont="1" applyFill="1" applyBorder="1" applyAlignment="1">
      <alignment horizontal="center" vertical="center" shrinkToFit="1"/>
    </xf>
    <xf numFmtId="6" fontId="18" fillId="3" borderId="16" xfId="2" applyFont="1" applyFill="1" applyBorder="1" applyAlignment="1">
      <alignment horizontal="center" vertical="center" shrinkToFit="1"/>
    </xf>
    <xf numFmtId="6" fontId="18" fillId="3" borderId="17" xfId="2" applyFont="1" applyFill="1" applyBorder="1" applyAlignment="1">
      <alignment horizontal="center" vertical="center" shrinkToFit="1"/>
    </xf>
    <xf numFmtId="6" fontId="18" fillId="3" borderId="18" xfId="2" applyFont="1" applyFill="1" applyBorder="1" applyAlignment="1">
      <alignment horizontal="center" vertical="center" shrinkToFit="1"/>
    </xf>
    <xf numFmtId="6" fontId="18" fillId="3" borderId="19" xfId="2" applyFont="1" applyFill="1" applyBorder="1" applyAlignment="1">
      <alignment horizontal="center" vertical="center" shrinkToFit="1"/>
    </xf>
    <xf numFmtId="6" fontId="18" fillId="3" borderId="20" xfId="2" applyFont="1" applyFill="1" applyBorder="1" applyAlignment="1">
      <alignment horizontal="center" vertical="center" shrinkToFit="1"/>
    </xf>
    <xf numFmtId="6" fontId="18" fillId="3" borderId="21" xfId="2" applyFont="1" applyFill="1" applyBorder="1" applyAlignment="1">
      <alignment horizontal="center" vertical="center" shrinkToFit="1"/>
    </xf>
    <xf numFmtId="0" fontId="0" fillId="0" borderId="10" xfId="0" applyFont="1" applyBorder="1" applyAlignment="1">
      <alignment horizontal="center" vertical="center" shrinkToFit="1"/>
    </xf>
    <xf numFmtId="0" fontId="20" fillId="0" borderId="9" xfId="0" applyFont="1" applyBorder="1" applyAlignment="1">
      <alignment horizontal="center" vertical="center" shrinkToFit="1"/>
    </xf>
    <xf numFmtId="0" fontId="20" fillId="0" borderId="8" xfId="0" applyFont="1" applyBorder="1" applyAlignment="1">
      <alignment horizontal="center" vertical="center" shrinkToFit="1"/>
    </xf>
    <xf numFmtId="0" fontId="20" fillId="0" borderId="7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4" zoomScale="60" zoomScaleNormal="100" workbookViewId="0">
      <selection activeCell="K37" sqref="K37"/>
    </sheetView>
  </sheetViews>
  <sheetFormatPr defaultRowHeight="17.25"/>
  <cols>
    <col min="1" max="1" width="4.5" style="1" bestFit="1" customWidth="1"/>
    <col min="2" max="2" width="12.75" style="1" customWidth="1"/>
    <col min="3" max="3" width="6.625" style="1" customWidth="1"/>
    <col min="4" max="4" width="5.25" style="1" bestFit="1" customWidth="1"/>
    <col min="5" max="5" width="10.875" style="2" customWidth="1"/>
    <col min="6" max="6" width="5.5" style="1" customWidth="1"/>
    <col min="7" max="7" width="5.25" style="1" bestFit="1" customWidth="1"/>
    <col min="8" max="8" width="9.125" style="2" customWidth="1"/>
    <col min="9" max="9" width="5.625" style="1" customWidth="1"/>
    <col min="10" max="10" width="5.25" style="1" bestFit="1" customWidth="1"/>
    <col min="11" max="11" width="10.625" style="2" customWidth="1"/>
    <col min="12" max="12" width="5.625" style="1" customWidth="1"/>
    <col min="13" max="13" width="5.25" style="1" bestFit="1" customWidth="1"/>
    <col min="14" max="14" width="9.125" style="2" customWidth="1"/>
    <col min="15" max="15" width="6" style="1" customWidth="1"/>
    <col min="16" max="16" width="4.125" style="1" customWidth="1"/>
    <col min="17" max="17" width="5.875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6" style="1" customWidth="1"/>
    <col min="23" max="16384" width="9" style="1"/>
  </cols>
  <sheetData>
    <row r="1" spans="1:22" ht="27" customHeight="1">
      <c r="D1" s="84" t="s">
        <v>12</v>
      </c>
      <c r="E1" s="85"/>
      <c r="F1" s="85"/>
      <c r="G1" s="85"/>
      <c r="H1" s="85"/>
    </row>
    <row r="2" spans="1:22" ht="18" customHeight="1">
      <c r="B2" s="1" t="s">
        <v>11</v>
      </c>
    </row>
    <row r="3" spans="1:22">
      <c r="A3" s="86" t="s">
        <v>51</v>
      </c>
      <c r="B3" s="87"/>
    </row>
    <row r="4" spans="1:22" ht="20.25" customHeight="1">
      <c r="A4" s="88"/>
      <c r="B4" s="89"/>
      <c r="C4" s="75" t="s">
        <v>9</v>
      </c>
      <c r="D4" s="76"/>
      <c r="E4" s="77"/>
      <c r="F4" s="75" t="s">
        <v>8</v>
      </c>
      <c r="G4" s="76"/>
      <c r="H4" s="77"/>
      <c r="I4" s="75" t="s">
        <v>7</v>
      </c>
      <c r="J4" s="76"/>
      <c r="K4" s="77"/>
      <c r="L4" s="75" t="s">
        <v>6</v>
      </c>
      <c r="M4" s="76"/>
      <c r="N4" s="77"/>
      <c r="O4" s="75" t="s">
        <v>5</v>
      </c>
      <c r="P4" s="76"/>
      <c r="Q4" s="77"/>
      <c r="R4" s="75" t="s">
        <v>4</v>
      </c>
      <c r="S4" s="76"/>
      <c r="T4" s="77"/>
      <c r="U4" s="78" t="s">
        <v>3</v>
      </c>
      <c r="V4" s="80" t="s">
        <v>2</v>
      </c>
    </row>
    <row r="5" spans="1:22" ht="25.5" customHeight="1" thickBot="1">
      <c r="A5" s="5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130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79"/>
      <c r="V5" s="81"/>
    </row>
    <row r="6" spans="1:22" ht="26.25" customHeight="1" thickTop="1">
      <c r="A6" s="10">
        <v>1</v>
      </c>
      <c r="B6" s="10" t="s">
        <v>17</v>
      </c>
      <c r="C6" s="23">
        <v>5840</v>
      </c>
      <c r="D6" s="17">
        <v>10</v>
      </c>
      <c r="E6" s="56">
        <f t="shared" ref="E6:E18" si="0">SUM(C6*D6)</f>
        <v>58400</v>
      </c>
      <c r="F6" s="3">
        <v>300</v>
      </c>
      <c r="G6" s="17"/>
      <c r="H6" s="56">
        <f t="shared" ref="H6:H18" si="1">SUM(F6*G6)</f>
        <v>0</v>
      </c>
      <c r="I6" s="3">
        <v>940</v>
      </c>
      <c r="J6" s="17">
        <v>4</v>
      </c>
      <c r="K6" s="56">
        <f t="shared" ref="K6:K18" si="2">SUM(I6*J6)</f>
        <v>3760</v>
      </c>
      <c r="L6" s="3">
        <v>270</v>
      </c>
      <c r="M6" s="17">
        <v>20</v>
      </c>
      <c r="N6" s="57">
        <f t="shared" ref="N6:N18" si="3">SUM(L6*M6)</f>
        <v>5400</v>
      </c>
      <c r="O6" s="23">
        <v>2800</v>
      </c>
      <c r="P6" s="17"/>
      <c r="Q6" s="58">
        <f t="shared" ref="Q6:Q18" si="4">SUM(O6*P6)</f>
        <v>0</v>
      </c>
      <c r="R6" s="16">
        <v>1000</v>
      </c>
      <c r="S6" s="17"/>
      <c r="T6" s="18">
        <f t="shared" ref="T6:T18" si="5">SUM(S6*R6)</f>
        <v>0</v>
      </c>
      <c r="U6" s="18"/>
      <c r="V6" s="38">
        <f t="shared" ref="V6:V13" si="6">SUM(E6+H6+K6+N6+Q6+T6)</f>
        <v>67560</v>
      </c>
    </row>
    <row r="7" spans="1:22" ht="26.25" customHeight="1">
      <c r="A7" s="9">
        <v>2</v>
      </c>
      <c r="B7" s="9" t="s">
        <v>18</v>
      </c>
      <c r="C7" s="23">
        <v>5840</v>
      </c>
      <c r="D7" s="17">
        <v>15</v>
      </c>
      <c r="E7" s="56">
        <f t="shared" si="0"/>
        <v>87600</v>
      </c>
      <c r="F7" s="3">
        <v>300</v>
      </c>
      <c r="G7" s="17"/>
      <c r="H7" s="56">
        <f t="shared" si="1"/>
        <v>0</v>
      </c>
      <c r="I7" s="3">
        <v>940</v>
      </c>
      <c r="J7" s="22">
        <v>4</v>
      </c>
      <c r="K7" s="56">
        <f t="shared" si="2"/>
        <v>3760</v>
      </c>
      <c r="L7" s="3">
        <v>270</v>
      </c>
      <c r="M7" s="22">
        <v>30</v>
      </c>
      <c r="N7" s="57">
        <f t="shared" si="3"/>
        <v>8100</v>
      </c>
      <c r="O7" s="23">
        <v>2800</v>
      </c>
      <c r="P7" s="22"/>
      <c r="Q7" s="58">
        <f t="shared" si="4"/>
        <v>0</v>
      </c>
      <c r="R7" s="21">
        <v>1000</v>
      </c>
      <c r="S7" s="22"/>
      <c r="T7" s="18">
        <f t="shared" si="5"/>
        <v>0</v>
      </c>
      <c r="U7" s="18"/>
      <c r="V7" s="38">
        <f t="shared" si="6"/>
        <v>99460</v>
      </c>
    </row>
    <row r="8" spans="1:22" ht="26.25" customHeight="1">
      <c r="A8" s="9">
        <v>3</v>
      </c>
      <c r="B8" s="9" t="s">
        <v>19</v>
      </c>
      <c r="C8" s="23">
        <v>5840</v>
      </c>
      <c r="D8" s="17">
        <v>23</v>
      </c>
      <c r="E8" s="56">
        <f t="shared" si="0"/>
        <v>134320</v>
      </c>
      <c r="F8" s="3">
        <v>300</v>
      </c>
      <c r="G8" s="17"/>
      <c r="H8" s="56">
        <f t="shared" si="1"/>
        <v>0</v>
      </c>
      <c r="I8" s="3">
        <v>940</v>
      </c>
      <c r="J8" s="22"/>
      <c r="K8" s="56">
        <f t="shared" si="2"/>
        <v>0</v>
      </c>
      <c r="L8" s="3">
        <v>270</v>
      </c>
      <c r="M8" s="22">
        <v>46</v>
      </c>
      <c r="N8" s="57">
        <f t="shared" si="3"/>
        <v>12420</v>
      </c>
      <c r="O8" s="23">
        <v>2800</v>
      </c>
      <c r="P8" s="22"/>
      <c r="Q8" s="58">
        <f t="shared" si="4"/>
        <v>0</v>
      </c>
      <c r="R8" s="21">
        <v>1000</v>
      </c>
      <c r="S8" s="22"/>
      <c r="T8" s="18">
        <f t="shared" si="5"/>
        <v>0</v>
      </c>
      <c r="U8" s="18"/>
      <c r="V8" s="38">
        <f t="shared" si="6"/>
        <v>146740</v>
      </c>
    </row>
    <row r="9" spans="1:22" ht="26.25" customHeight="1">
      <c r="A9" s="9">
        <v>4</v>
      </c>
      <c r="B9" s="9" t="s">
        <v>20</v>
      </c>
      <c r="C9" s="23">
        <v>5840</v>
      </c>
      <c r="D9" s="17">
        <v>23</v>
      </c>
      <c r="E9" s="56">
        <f t="shared" si="0"/>
        <v>134320</v>
      </c>
      <c r="F9" s="3">
        <v>300</v>
      </c>
      <c r="G9" s="17"/>
      <c r="H9" s="56">
        <f t="shared" si="1"/>
        <v>0</v>
      </c>
      <c r="I9" s="3">
        <v>940</v>
      </c>
      <c r="J9" s="22"/>
      <c r="K9" s="56">
        <f t="shared" si="2"/>
        <v>0</v>
      </c>
      <c r="L9" s="3">
        <v>270</v>
      </c>
      <c r="M9" s="22">
        <v>46</v>
      </c>
      <c r="N9" s="57">
        <f t="shared" si="3"/>
        <v>12420</v>
      </c>
      <c r="O9" s="23">
        <v>2800</v>
      </c>
      <c r="P9" s="22"/>
      <c r="Q9" s="58">
        <f t="shared" si="4"/>
        <v>0</v>
      </c>
      <c r="R9" s="21">
        <v>1000</v>
      </c>
      <c r="S9" s="22"/>
      <c r="T9" s="18">
        <f t="shared" si="5"/>
        <v>0</v>
      </c>
      <c r="U9" s="18"/>
      <c r="V9" s="38">
        <f t="shared" si="6"/>
        <v>146740</v>
      </c>
    </row>
    <row r="10" spans="1:22" ht="26.25" customHeight="1">
      <c r="A10" s="9">
        <v>5</v>
      </c>
      <c r="B10" s="9" t="s">
        <v>21</v>
      </c>
      <c r="C10" s="23">
        <v>5840</v>
      </c>
      <c r="D10" s="17">
        <v>22</v>
      </c>
      <c r="E10" s="56">
        <f t="shared" si="0"/>
        <v>128480</v>
      </c>
      <c r="F10" s="3">
        <v>300</v>
      </c>
      <c r="G10" s="17"/>
      <c r="H10" s="56">
        <f t="shared" si="1"/>
        <v>0</v>
      </c>
      <c r="I10" s="3">
        <v>940</v>
      </c>
      <c r="J10" s="22">
        <v>1</v>
      </c>
      <c r="K10" s="56">
        <f t="shared" si="2"/>
        <v>940</v>
      </c>
      <c r="L10" s="3">
        <v>270</v>
      </c>
      <c r="M10" s="22">
        <v>44</v>
      </c>
      <c r="N10" s="57">
        <f t="shared" si="3"/>
        <v>11880</v>
      </c>
      <c r="O10" s="23">
        <v>2800</v>
      </c>
      <c r="P10" s="22"/>
      <c r="Q10" s="58">
        <f t="shared" si="4"/>
        <v>0</v>
      </c>
      <c r="R10" s="21">
        <v>1000</v>
      </c>
      <c r="S10" s="22"/>
      <c r="T10" s="18">
        <f t="shared" si="5"/>
        <v>0</v>
      </c>
      <c r="U10" s="18"/>
      <c r="V10" s="38">
        <f t="shared" si="6"/>
        <v>141300</v>
      </c>
    </row>
    <row r="11" spans="1:22" ht="26.25" customHeight="1">
      <c r="A11" s="9">
        <v>6</v>
      </c>
      <c r="B11" s="9" t="s">
        <v>22</v>
      </c>
      <c r="C11" s="23">
        <v>5840</v>
      </c>
      <c r="D11" s="17">
        <v>23</v>
      </c>
      <c r="E11" s="56">
        <f t="shared" si="0"/>
        <v>134320</v>
      </c>
      <c r="F11" s="3">
        <v>300</v>
      </c>
      <c r="G11" s="17"/>
      <c r="H11" s="56">
        <f t="shared" si="1"/>
        <v>0</v>
      </c>
      <c r="I11" s="3">
        <v>940</v>
      </c>
      <c r="J11" s="22"/>
      <c r="K11" s="56">
        <f t="shared" si="2"/>
        <v>0</v>
      </c>
      <c r="L11" s="3">
        <v>270</v>
      </c>
      <c r="M11" s="22">
        <v>46</v>
      </c>
      <c r="N11" s="57">
        <f t="shared" si="3"/>
        <v>12420</v>
      </c>
      <c r="O11" s="23">
        <v>2800</v>
      </c>
      <c r="P11" s="22"/>
      <c r="Q11" s="58">
        <f t="shared" si="4"/>
        <v>0</v>
      </c>
      <c r="R11" s="21">
        <v>1000</v>
      </c>
      <c r="S11" s="22"/>
      <c r="T11" s="18">
        <f t="shared" si="5"/>
        <v>0</v>
      </c>
      <c r="U11" s="18"/>
      <c r="V11" s="38">
        <f t="shared" si="6"/>
        <v>146740</v>
      </c>
    </row>
    <row r="12" spans="1:22" ht="26.25" customHeight="1">
      <c r="A12" s="9">
        <v>7</v>
      </c>
      <c r="B12" s="9" t="s">
        <v>23</v>
      </c>
      <c r="C12" s="23">
        <v>5840</v>
      </c>
      <c r="D12" s="17">
        <v>23</v>
      </c>
      <c r="E12" s="56">
        <f t="shared" si="0"/>
        <v>134320</v>
      </c>
      <c r="F12" s="3">
        <v>300</v>
      </c>
      <c r="G12" s="17"/>
      <c r="H12" s="56">
        <f t="shared" si="1"/>
        <v>0</v>
      </c>
      <c r="I12" s="3">
        <v>940</v>
      </c>
      <c r="J12" s="22"/>
      <c r="K12" s="56">
        <f t="shared" si="2"/>
        <v>0</v>
      </c>
      <c r="L12" s="3">
        <v>270</v>
      </c>
      <c r="M12" s="22"/>
      <c r="N12" s="57">
        <f t="shared" si="3"/>
        <v>0</v>
      </c>
      <c r="O12" s="23">
        <v>2800</v>
      </c>
      <c r="P12" s="22"/>
      <c r="Q12" s="58">
        <f t="shared" si="4"/>
        <v>0</v>
      </c>
      <c r="R12" s="21">
        <v>1000</v>
      </c>
      <c r="S12" s="22"/>
      <c r="T12" s="18">
        <f t="shared" si="5"/>
        <v>0</v>
      </c>
      <c r="U12" s="18"/>
      <c r="V12" s="38">
        <f t="shared" si="6"/>
        <v>134320</v>
      </c>
    </row>
    <row r="13" spans="1:22" ht="26.25" customHeight="1">
      <c r="A13" s="9">
        <v>8</v>
      </c>
      <c r="B13" s="10" t="s">
        <v>24</v>
      </c>
      <c r="C13" s="23">
        <v>5840</v>
      </c>
      <c r="D13" s="17">
        <v>23</v>
      </c>
      <c r="E13" s="56">
        <f t="shared" si="0"/>
        <v>134320</v>
      </c>
      <c r="F13" s="3">
        <v>300</v>
      </c>
      <c r="G13" s="17"/>
      <c r="H13" s="56">
        <f t="shared" si="1"/>
        <v>0</v>
      </c>
      <c r="I13" s="3">
        <v>940</v>
      </c>
      <c r="J13" s="22"/>
      <c r="K13" s="56">
        <f t="shared" si="2"/>
        <v>0</v>
      </c>
      <c r="L13" s="3">
        <v>270</v>
      </c>
      <c r="M13" s="22"/>
      <c r="N13" s="57">
        <f t="shared" si="3"/>
        <v>0</v>
      </c>
      <c r="O13" s="23">
        <v>2800</v>
      </c>
      <c r="P13" s="22"/>
      <c r="Q13" s="58">
        <f t="shared" si="4"/>
        <v>0</v>
      </c>
      <c r="R13" s="21">
        <v>1000</v>
      </c>
      <c r="S13" s="22"/>
      <c r="T13" s="18">
        <f t="shared" si="5"/>
        <v>0</v>
      </c>
      <c r="U13" s="18"/>
      <c r="V13" s="38">
        <f t="shared" si="6"/>
        <v>134320</v>
      </c>
    </row>
    <row r="14" spans="1:22" ht="26.25" customHeight="1">
      <c r="A14" s="9">
        <v>9</v>
      </c>
      <c r="B14" s="10" t="s">
        <v>25</v>
      </c>
      <c r="C14" s="23">
        <v>5840</v>
      </c>
      <c r="D14" s="17">
        <v>18</v>
      </c>
      <c r="E14" s="56">
        <f t="shared" si="0"/>
        <v>105120</v>
      </c>
      <c r="F14" s="3">
        <v>300</v>
      </c>
      <c r="G14" s="17"/>
      <c r="H14" s="56">
        <f t="shared" si="1"/>
        <v>0</v>
      </c>
      <c r="I14" s="3">
        <v>940</v>
      </c>
      <c r="J14" s="17">
        <v>4</v>
      </c>
      <c r="K14" s="56">
        <f t="shared" si="2"/>
        <v>3760</v>
      </c>
      <c r="L14" s="3">
        <v>270</v>
      </c>
      <c r="M14" s="17">
        <v>36</v>
      </c>
      <c r="N14" s="57">
        <f t="shared" si="3"/>
        <v>9720</v>
      </c>
      <c r="O14" s="23">
        <v>2800</v>
      </c>
      <c r="P14" s="17"/>
      <c r="Q14" s="58">
        <f t="shared" si="4"/>
        <v>0</v>
      </c>
      <c r="R14" s="23">
        <v>1000</v>
      </c>
      <c r="S14" s="17"/>
      <c r="T14" s="18">
        <f t="shared" si="5"/>
        <v>0</v>
      </c>
      <c r="U14" s="18"/>
      <c r="V14" s="38">
        <f>SUM(E14+H14+K14+N14+Q14+T14)-U14</f>
        <v>118600</v>
      </c>
    </row>
    <row r="15" spans="1:22" ht="26.25" customHeight="1">
      <c r="A15" s="9">
        <v>10</v>
      </c>
      <c r="B15" s="9" t="s">
        <v>26</v>
      </c>
      <c r="C15" s="23">
        <v>5840</v>
      </c>
      <c r="D15" s="17">
        <v>16</v>
      </c>
      <c r="E15" s="56">
        <f t="shared" si="0"/>
        <v>93440</v>
      </c>
      <c r="F15" s="3">
        <v>300</v>
      </c>
      <c r="G15" s="17"/>
      <c r="H15" s="56">
        <f t="shared" si="1"/>
        <v>0</v>
      </c>
      <c r="I15" s="3">
        <v>940</v>
      </c>
      <c r="J15" s="22">
        <v>4</v>
      </c>
      <c r="K15" s="56">
        <f t="shared" si="2"/>
        <v>3760</v>
      </c>
      <c r="L15" s="3">
        <v>270</v>
      </c>
      <c r="M15" s="22">
        <v>32</v>
      </c>
      <c r="N15" s="57">
        <f t="shared" si="3"/>
        <v>8640</v>
      </c>
      <c r="O15" s="23">
        <v>2800</v>
      </c>
      <c r="P15" s="22"/>
      <c r="Q15" s="58">
        <f t="shared" si="4"/>
        <v>0</v>
      </c>
      <c r="R15" s="21">
        <v>1000</v>
      </c>
      <c r="S15" s="22"/>
      <c r="T15" s="18">
        <f t="shared" si="5"/>
        <v>0</v>
      </c>
      <c r="U15" s="18"/>
      <c r="V15" s="38">
        <f>SUM(E15+H15+K15+N15+Q15+T15)-U15</f>
        <v>105840</v>
      </c>
    </row>
    <row r="16" spans="1:22" ht="26.25" customHeight="1">
      <c r="A16" s="9">
        <v>12</v>
      </c>
      <c r="B16" s="9" t="s">
        <v>27</v>
      </c>
      <c r="C16" s="23">
        <v>5840</v>
      </c>
      <c r="D16" s="17"/>
      <c r="E16" s="56">
        <f t="shared" si="0"/>
        <v>0</v>
      </c>
      <c r="F16" s="3">
        <v>300</v>
      </c>
      <c r="G16" s="17"/>
      <c r="H16" s="56">
        <f t="shared" si="1"/>
        <v>0</v>
      </c>
      <c r="I16" s="3">
        <v>940</v>
      </c>
      <c r="J16" s="22"/>
      <c r="K16" s="56">
        <f t="shared" si="2"/>
        <v>0</v>
      </c>
      <c r="L16" s="3">
        <v>270</v>
      </c>
      <c r="M16" s="22"/>
      <c r="N16" s="57">
        <f t="shared" si="3"/>
        <v>0</v>
      </c>
      <c r="O16" s="23">
        <v>2800</v>
      </c>
      <c r="P16" s="22"/>
      <c r="Q16" s="58">
        <f t="shared" si="4"/>
        <v>0</v>
      </c>
      <c r="R16" s="21">
        <v>1000</v>
      </c>
      <c r="S16" s="22"/>
      <c r="T16" s="18">
        <f t="shared" si="5"/>
        <v>0</v>
      </c>
      <c r="U16" s="18"/>
      <c r="V16" s="38">
        <f>SUM(E16+H16+K16+N16+Q16+T16)-U16</f>
        <v>0</v>
      </c>
    </row>
    <row r="17" spans="1:22" ht="26.25" customHeight="1">
      <c r="A17" s="9">
        <v>13</v>
      </c>
      <c r="B17" s="9" t="s">
        <v>52</v>
      </c>
      <c r="C17" s="23">
        <v>5840</v>
      </c>
      <c r="D17" s="17">
        <v>16</v>
      </c>
      <c r="E17" s="56">
        <f t="shared" ref="E17" si="7">SUM(C17*D17)</f>
        <v>93440</v>
      </c>
      <c r="F17" s="3">
        <v>300</v>
      </c>
      <c r="G17" s="17"/>
      <c r="H17" s="56">
        <f t="shared" ref="H17" si="8">SUM(F17*G17)</f>
        <v>0</v>
      </c>
      <c r="I17" s="3">
        <v>940</v>
      </c>
      <c r="J17" s="22">
        <v>4</v>
      </c>
      <c r="K17" s="56">
        <f t="shared" ref="K17" si="9">SUM(I17*J17)</f>
        <v>3760</v>
      </c>
      <c r="L17" s="3">
        <v>270</v>
      </c>
      <c r="M17" s="22">
        <v>24</v>
      </c>
      <c r="N17" s="57">
        <f t="shared" ref="N17" si="10">SUM(L17*M17)</f>
        <v>6480</v>
      </c>
      <c r="O17" s="23">
        <v>2800</v>
      </c>
      <c r="P17" s="22"/>
      <c r="Q17" s="58">
        <f t="shared" ref="Q17" si="11">SUM(O17*P17)</f>
        <v>0</v>
      </c>
      <c r="R17" s="21">
        <v>1000</v>
      </c>
      <c r="S17" s="22"/>
      <c r="T17" s="18">
        <f t="shared" ref="T17" si="12">SUM(S17*R17)</f>
        <v>0</v>
      </c>
      <c r="U17" s="18"/>
      <c r="V17" s="38">
        <f>SUM(E17+H17+K17+N17+Q17+T17)-U17</f>
        <v>103680</v>
      </c>
    </row>
    <row r="18" spans="1:22" ht="26.25" customHeight="1">
      <c r="A18" s="9">
        <v>14</v>
      </c>
      <c r="B18" s="9" t="s">
        <v>53</v>
      </c>
      <c r="C18" s="23">
        <v>5840</v>
      </c>
      <c r="D18" s="17">
        <v>7</v>
      </c>
      <c r="E18" s="56">
        <f t="shared" si="0"/>
        <v>40880</v>
      </c>
      <c r="F18" s="3">
        <v>300</v>
      </c>
      <c r="G18" s="17"/>
      <c r="H18" s="56">
        <f t="shared" si="1"/>
        <v>0</v>
      </c>
      <c r="I18" s="3">
        <v>940</v>
      </c>
      <c r="J18" s="22">
        <v>4</v>
      </c>
      <c r="K18" s="56">
        <f t="shared" si="2"/>
        <v>3760</v>
      </c>
      <c r="L18" s="3">
        <v>270</v>
      </c>
      <c r="M18" s="22">
        <v>14</v>
      </c>
      <c r="N18" s="57">
        <f t="shared" si="3"/>
        <v>3780</v>
      </c>
      <c r="O18" s="23">
        <v>2800</v>
      </c>
      <c r="P18" s="22"/>
      <c r="Q18" s="58">
        <f t="shared" si="4"/>
        <v>0</v>
      </c>
      <c r="R18" s="21">
        <v>1000</v>
      </c>
      <c r="S18" s="22"/>
      <c r="T18" s="18">
        <f t="shared" si="5"/>
        <v>0</v>
      </c>
      <c r="U18" s="18"/>
      <c r="V18" s="38">
        <f t="shared" ref="V18" si="13">SUM(E18+H18+K18+N18+Q18+T18)-U18</f>
        <v>48420</v>
      </c>
    </row>
    <row r="19" spans="1:22" ht="26.25" customHeight="1">
      <c r="A19" s="24"/>
      <c r="B19" s="24"/>
      <c r="C19" s="24"/>
      <c r="D19" s="24"/>
      <c r="E19" s="59">
        <f>SUM(E6:E18)</f>
        <v>1278960</v>
      </c>
      <c r="F19" s="21"/>
      <c r="G19" s="21"/>
      <c r="H19" s="59">
        <f>SUM(H6:H18)</f>
        <v>0</v>
      </c>
      <c r="I19" s="21"/>
      <c r="J19" s="21"/>
      <c r="K19" s="59">
        <f>SUM(K6:K18)</f>
        <v>23500</v>
      </c>
      <c r="L19" s="21"/>
      <c r="M19" s="21"/>
      <c r="N19" s="59">
        <f>SUM(N6:N18)</f>
        <v>91260</v>
      </c>
      <c r="O19" s="21"/>
      <c r="P19" s="24"/>
      <c r="Q19" s="21">
        <f>SUM(Q6:Q18)</f>
        <v>0</v>
      </c>
      <c r="R19" s="24"/>
      <c r="S19" s="24"/>
      <c r="T19" s="21">
        <f>SUM(T6:T18)</f>
        <v>0</v>
      </c>
      <c r="U19" s="21">
        <f>SUM(U6:U18)</f>
        <v>0</v>
      </c>
      <c r="V19" s="60">
        <f>SUM(V6:V18)</f>
        <v>1393720</v>
      </c>
    </row>
    <row r="21" spans="1:22" ht="26.25" customHeight="1">
      <c r="N21" s="28"/>
      <c r="O21" s="90" t="s">
        <v>29</v>
      </c>
      <c r="P21" s="90"/>
      <c r="Q21" s="90"/>
      <c r="R21" s="29"/>
      <c r="S21" s="29"/>
      <c r="T21" s="29"/>
      <c r="U21" s="29"/>
      <c r="V21" s="61">
        <f>V19</f>
        <v>1393720</v>
      </c>
    </row>
    <row r="22" spans="1:22" ht="26.25" customHeight="1" thickBot="1">
      <c r="N22" s="36"/>
      <c r="O22" s="91" t="s">
        <v>30</v>
      </c>
      <c r="P22" s="91"/>
      <c r="Q22" s="91"/>
      <c r="R22" s="31"/>
      <c r="S22" s="31"/>
      <c r="T22" s="31"/>
      <c r="U22" s="31"/>
      <c r="V22" s="62">
        <f>V52</f>
        <v>1326740</v>
      </c>
    </row>
    <row r="23" spans="1:22" ht="26.25" customHeight="1" thickTop="1">
      <c r="N23" s="36"/>
      <c r="O23" s="92" t="s">
        <v>2</v>
      </c>
      <c r="P23" s="92"/>
      <c r="Q23" s="92"/>
      <c r="R23" s="33"/>
      <c r="S23" s="33"/>
      <c r="T23" s="33"/>
      <c r="U23" s="33"/>
      <c r="V23" s="64">
        <f>V21+V22</f>
        <v>2720460</v>
      </c>
    </row>
    <row r="24" spans="1:22" ht="0.75" customHeight="1"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13.5" hidden="1" customHeight="1">
      <c r="N25" s="36"/>
      <c r="O25" s="36"/>
      <c r="P25" s="36"/>
      <c r="Q25" s="36"/>
      <c r="R25" s="36"/>
      <c r="S25" s="36"/>
      <c r="T25" s="36"/>
      <c r="U25" s="36"/>
      <c r="V25" s="36"/>
    </row>
    <row r="26" spans="1:22" hidden="1"/>
    <row r="27" spans="1:22" hidden="1"/>
    <row r="28" spans="1:22" ht="27" customHeight="1">
      <c r="D28" s="84" t="s">
        <v>12</v>
      </c>
      <c r="E28" s="85"/>
      <c r="F28" s="85"/>
      <c r="G28" s="85"/>
      <c r="H28" s="85"/>
      <c r="K28" s="1"/>
      <c r="N28" s="1"/>
    </row>
    <row r="29" spans="1:22" ht="18" customHeight="1">
      <c r="B29" s="1" t="s">
        <v>16</v>
      </c>
      <c r="E29" s="1"/>
      <c r="H29" s="1"/>
      <c r="K29" s="1"/>
      <c r="N29" s="1"/>
    </row>
    <row r="30" spans="1:22" ht="13.5">
      <c r="A30" s="86" t="s">
        <v>10</v>
      </c>
      <c r="B30" s="8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</row>
    <row r="31" spans="1:22" ht="13.5">
      <c r="A31" s="88"/>
      <c r="B31" s="89"/>
      <c r="C31" s="75" t="s">
        <v>9</v>
      </c>
      <c r="D31" s="76"/>
      <c r="E31" s="77"/>
      <c r="F31" s="75" t="s">
        <v>8</v>
      </c>
      <c r="G31" s="76"/>
      <c r="H31" s="77"/>
      <c r="I31" s="75" t="s">
        <v>7</v>
      </c>
      <c r="J31" s="76"/>
      <c r="K31" s="77"/>
      <c r="L31" s="75" t="s">
        <v>6</v>
      </c>
      <c r="M31" s="76"/>
      <c r="N31" s="77"/>
      <c r="O31" s="75" t="s">
        <v>5</v>
      </c>
      <c r="P31" s="76"/>
      <c r="Q31" s="77"/>
      <c r="R31" s="75" t="s">
        <v>4</v>
      </c>
      <c r="S31" s="76"/>
      <c r="T31" s="77"/>
      <c r="U31" s="78" t="s">
        <v>3</v>
      </c>
      <c r="V31" s="80" t="s">
        <v>2</v>
      </c>
    </row>
    <row r="32" spans="1:22" ht="14.25" thickBot="1">
      <c r="A32" s="68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79"/>
      <c r="V32" s="81"/>
    </row>
    <row r="33" spans="1:22" ht="19.5" customHeight="1" thickTop="1">
      <c r="A33" s="3">
        <v>1</v>
      </c>
      <c r="B33" s="37" t="s">
        <v>31</v>
      </c>
      <c r="C33" s="23">
        <v>5840</v>
      </c>
      <c r="D33" s="17">
        <v>23</v>
      </c>
      <c r="E33" s="18">
        <f t="shared" ref="E33:E48" si="14">SUM(C33*D33)</f>
        <v>134320</v>
      </c>
      <c r="F33" s="3">
        <v>300</v>
      </c>
      <c r="G33" s="17"/>
      <c r="H33" s="18">
        <f t="shared" ref="H33:H48" si="15">SUM(F33*G33)</f>
        <v>0</v>
      </c>
      <c r="I33" s="3">
        <v>940</v>
      </c>
      <c r="J33" s="17"/>
      <c r="K33" s="58">
        <f t="shared" ref="K33:K48" si="16">SUM(I33*J33)</f>
        <v>0</v>
      </c>
      <c r="L33" s="3">
        <v>130</v>
      </c>
      <c r="M33" s="17">
        <v>46</v>
      </c>
      <c r="N33" s="69">
        <f t="shared" ref="N33:N48" si="17">SUM(L33*M33)</f>
        <v>5980</v>
      </c>
      <c r="O33" s="23">
        <v>2800</v>
      </c>
      <c r="P33" s="17"/>
      <c r="Q33" s="58">
        <f t="shared" ref="Q33:Q47" si="18">SUM(O33*P33)</f>
        <v>0</v>
      </c>
      <c r="R33" s="23">
        <v>1000</v>
      </c>
      <c r="S33" s="17"/>
      <c r="T33" s="18">
        <f t="shared" ref="T33:T47" si="19">SUM(S33*R33)</f>
        <v>0</v>
      </c>
      <c r="U33" s="18"/>
      <c r="V33" s="38">
        <f t="shared" ref="V33:V40" si="20">SUM(E33+H33+K33+N33+Q33+T33)</f>
        <v>140300</v>
      </c>
    </row>
    <row r="34" spans="1:22" ht="19.5" customHeight="1">
      <c r="A34" s="24">
        <v>2</v>
      </c>
      <c r="B34" s="39" t="s">
        <v>32</v>
      </c>
      <c r="C34" s="23">
        <v>5840</v>
      </c>
      <c r="D34" s="17">
        <v>22</v>
      </c>
      <c r="E34" s="18">
        <f t="shared" si="14"/>
        <v>128480</v>
      </c>
      <c r="F34" s="3">
        <v>300</v>
      </c>
      <c r="G34" s="17"/>
      <c r="H34" s="18">
        <f t="shared" si="15"/>
        <v>0</v>
      </c>
      <c r="I34" s="3">
        <v>940</v>
      </c>
      <c r="J34" s="22">
        <v>1</v>
      </c>
      <c r="K34" s="58">
        <f t="shared" si="16"/>
        <v>940</v>
      </c>
      <c r="L34" s="3">
        <v>130</v>
      </c>
      <c r="M34" s="22">
        <v>44</v>
      </c>
      <c r="N34" s="69">
        <f t="shared" si="17"/>
        <v>5720</v>
      </c>
      <c r="O34" s="23">
        <v>2800</v>
      </c>
      <c r="P34" s="22"/>
      <c r="Q34" s="58">
        <f t="shared" si="18"/>
        <v>0</v>
      </c>
      <c r="R34" s="21">
        <v>1000</v>
      </c>
      <c r="S34" s="22"/>
      <c r="T34" s="18">
        <f t="shared" si="19"/>
        <v>0</v>
      </c>
      <c r="U34" s="18"/>
      <c r="V34" s="38">
        <f t="shared" si="20"/>
        <v>135140</v>
      </c>
    </row>
    <row r="35" spans="1:22" ht="19.5" customHeight="1">
      <c r="A35" s="24">
        <v>3</v>
      </c>
      <c r="B35" s="39" t="s">
        <v>33</v>
      </c>
      <c r="C35" s="23">
        <v>5840</v>
      </c>
      <c r="D35" s="17">
        <v>6</v>
      </c>
      <c r="E35" s="18">
        <f t="shared" si="14"/>
        <v>35040</v>
      </c>
      <c r="F35" s="3">
        <v>300</v>
      </c>
      <c r="G35" s="17"/>
      <c r="H35" s="18">
        <f t="shared" si="15"/>
        <v>0</v>
      </c>
      <c r="I35" s="3">
        <v>940</v>
      </c>
      <c r="J35" s="22">
        <v>4</v>
      </c>
      <c r="K35" s="58">
        <f t="shared" si="16"/>
        <v>3760</v>
      </c>
      <c r="L35" s="3">
        <v>130</v>
      </c>
      <c r="M35" s="22">
        <v>12</v>
      </c>
      <c r="N35" s="69">
        <f t="shared" si="17"/>
        <v>1560</v>
      </c>
      <c r="O35" s="23">
        <v>2800</v>
      </c>
      <c r="P35" s="22">
        <v>1</v>
      </c>
      <c r="Q35" s="58">
        <f t="shared" si="18"/>
        <v>2800</v>
      </c>
      <c r="R35" s="21">
        <v>1000</v>
      </c>
      <c r="S35" s="22"/>
      <c r="T35" s="18">
        <f t="shared" si="19"/>
        <v>0</v>
      </c>
      <c r="U35" s="18"/>
      <c r="V35" s="38">
        <f t="shared" si="20"/>
        <v>43160</v>
      </c>
    </row>
    <row r="36" spans="1:22" ht="19.5" customHeight="1">
      <c r="A36" s="24">
        <v>4</v>
      </c>
      <c r="B36" s="39" t="s">
        <v>34</v>
      </c>
      <c r="C36" s="23">
        <v>5840</v>
      </c>
      <c r="D36" s="17">
        <v>1</v>
      </c>
      <c r="E36" s="18">
        <f t="shared" si="14"/>
        <v>5840</v>
      </c>
      <c r="F36" s="3">
        <v>300</v>
      </c>
      <c r="G36" s="17"/>
      <c r="H36" s="18">
        <f t="shared" si="15"/>
        <v>0</v>
      </c>
      <c r="I36" s="3">
        <v>940</v>
      </c>
      <c r="J36" s="22">
        <v>4</v>
      </c>
      <c r="K36" s="58">
        <f t="shared" si="16"/>
        <v>3760</v>
      </c>
      <c r="L36" s="3">
        <v>130</v>
      </c>
      <c r="M36" s="22">
        <v>2</v>
      </c>
      <c r="N36" s="69">
        <f t="shared" si="17"/>
        <v>260</v>
      </c>
      <c r="O36" s="23">
        <v>2800</v>
      </c>
      <c r="P36" s="22"/>
      <c r="Q36" s="58">
        <f t="shared" si="18"/>
        <v>0</v>
      </c>
      <c r="R36" s="21">
        <v>1000</v>
      </c>
      <c r="S36" s="22"/>
      <c r="T36" s="18">
        <f t="shared" si="19"/>
        <v>0</v>
      </c>
      <c r="U36" s="18"/>
      <c r="V36" s="38">
        <f t="shared" si="20"/>
        <v>9860</v>
      </c>
    </row>
    <row r="37" spans="1:22" ht="19.5" customHeight="1">
      <c r="A37" s="24">
        <v>5</v>
      </c>
      <c r="B37" s="39" t="s">
        <v>35</v>
      </c>
      <c r="C37" s="23">
        <v>5840</v>
      </c>
      <c r="D37" s="17">
        <v>16</v>
      </c>
      <c r="E37" s="18">
        <f t="shared" si="14"/>
        <v>93440</v>
      </c>
      <c r="F37" s="3">
        <v>300</v>
      </c>
      <c r="G37" s="17"/>
      <c r="H37" s="18">
        <f t="shared" si="15"/>
        <v>0</v>
      </c>
      <c r="I37" s="3">
        <v>940</v>
      </c>
      <c r="J37" s="22">
        <v>4</v>
      </c>
      <c r="K37" s="58">
        <f t="shared" si="16"/>
        <v>3760</v>
      </c>
      <c r="L37" s="3">
        <v>130</v>
      </c>
      <c r="M37" s="22"/>
      <c r="N37" s="69">
        <f t="shared" si="17"/>
        <v>0</v>
      </c>
      <c r="O37" s="23">
        <v>2800</v>
      </c>
      <c r="P37" s="22"/>
      <c r="Q37" s="58">
        <f t="shared" si="18"/>
        <v>0</v>
      </c>
      <c r="R37" s="21">
        <v>1000</v>
      </c>
      <c r="S37" s="22"/>
      <c r="T37" s="18">
        <f t="shared" si="19"/>
        <v>0</v>
      </c>
      <c r="U37" s="18"/>
      <c r="V37" s="38">
        <f t="shared" si="20"/>
        <v>97200</v>
      </c>
    </row>
    <row r="38" spans="1:22" ht="19.5" customHeight="1">
      <c r="A38" s="24">
        <v>6</v>
      </c>
      <c r="B38" s="39" t="s">
        <v>36</v>
      </c>
      <c r="C38" s="23">
        <v>5840</v>
      </c>
      <c r="D38" s="17">
        <v>21</v>
      </c>
      <c r="E38" s="18">
        <f t="shared" si="14"/>
        <v>122640</v>
      </c>
      <c r="F38" s="3">
        <v>300</v>
      </c>
      <c r="G38" s="17"/>
      <c r="H38" s="18">
        <f t="shared" si="15"/>
        <v>0</v>
      </c>
      <c r="I38" s="3">
        <v>940</v>
      </c>
      <c r="J38" s="22">
        <v>2</v>
      </c>
      <c r="K38" s="58">
        <f t="shared" si="16"/>
        <v>1880</v>
      </c>
      <c r="L38" s="3">
        <v>130</v>
      </c>
      <c r="M38" s="22">
        <v>42</v>
      </c>
      <c r="N38" s="69">
        <f t="shared" si="17"/>
        <v>5460</v>
      </c>
      <c r="O38" s="23">
        <v>2800</v>
      </c>
      <c r="P38" s="22"/>
      <c r="Q38" s="58">
        <f t="shared" si="18"/>
        <v>0</v>
      </c>
      <c r="R38" s="21">
        <v>1000</v>
      </c>
      <c r="S38" s="22"/>
      <c r="T38" s="18">
        <f t="shared" si="19"/>
        <v>0</v>
      </c>
      <c r="U38" s="18"/>
      <c r="V38" s="38">
        <f t="shared" si="20"/>
        <v>129980</v>
      </c>
    </row>
    <row r="39" spans="1:22" ht="19.5" customHeight="1">
      <c r="A39" s="24">
        <v>7</v>
      </c>
      <c r="B39" s="39" t="s">
        <v>37</v>
      </c>
      <c r="C39" s="23">
        <v>5840</v>
      </c>
      <c r="D39" s="17">
        <v>17</v>
      </c>
      <c r="E39" s="18">
        <f t="shared" si="14"/>
        <v>99280</v>
      </c>
      <c r="F39" s="3">
        <v>300</v>
      </c>
      <c r="G39" s="17"/>
      <c r="H39" s="18">
        <f t="shared" si="15"/>
        <v>0</v>
      </c>
      <c r="I39" s="3">
        <v>940</v>
      </c>
      <c r="J39" s="22">
        <v>4</v>
      </c>
      <c r="K39" s="58">
        <f t="shared" si="16"/>
        <v>3760</v>
      </c>
      <c r="L39" s="3">
        <v>130</v>
      </c>
      <c r="M39" s="22"/>
      <c r="N39" s="69">
        <f t="shared" si="17"/>
        <v>0</v>
      </c>
      <c r="O39" s="23">
        <v>2800</v>
      </c>
      <c r="P39" s="22"/>
      <c r="Q39" s="58">
        <f t="shared" si="18"/>
        <v>0</v>
      </c>
      <c r="R39" s="21">
        <v>1000</v>
      </c>
      <c r="S39" s="22"/>
      <c r="T39" s="18">
        <f t="shared" si="19"/>
        <v>0</v>
      </c>
      <c r="U39" s="18"/>
      <c r="V39" s="38">
        <f t="shared" si="20"/>
        <v>103040</v>
      </c>
    </row>
    <row r="40" spans="1:22" ht="19.5" customHeight="1">
      <c r="A40" s="24">
        <v>8</v>
      </c>
      <c r="B40" s="39" t="s">
        <v>38</v>
      </c>
      <c r="C40" s="23">
        <v>5840</v>
      </c>
      <c r="D40" s="17">
        <v>20</v>
      </c>
      <c r="E40" s="18">
        <f t="shared" si="14"/>
        <v>116800</v>
      </c>
      <c r="F40" s="3">
        <v>300</v>
      </c>
      <c r="G40" s="17"/>
      <c r="H40" s="18">
        <f t="shared" si="15"/>
        <v>0</v>
      </c>
      <c r="I40" s="3">
        <v>940</v>
      </c>
      <c r="J40" s="22">
        <v>3</v>
      </c>
      <c r="K40" s="58">
        <f t="shared" si="16"/>
        <v>2820</v>
      </c>
      <c r="L40" s="3">
        <v>130</v>
      </c>
      <c r="M40" s="22">
        <v>40</v>
      </c>
      <c r="N40" s="69">
        <f t="shared" si="17"/>
        <v>5200</v>
      </c>
      <c r="O40" s="23">
        <v>2800</v>
      </c>
      <c r="P40" s="22"/>
      <c r="Q40" s="58">
        <f t="shared" si="18"/>
        <v>0</v>
      </c>
      <c r="R40" s="21">
        <v>1000</v>
      </c>
      <c r="S40" s="22"/>
      <c r="T40" s="18">
        <f t="shared" si="19"/>
        <v>0</v>
      </c>
      <c r="U40" s="18"/>
      <c r="V40" s="38">
        <f t="shared" si="20"/>
        <v>124820</v>
      </c>
    </row>
    <row r="41" spans="1:22" ht="19.5" customHeight="1">
      <c r="A41" s="24">
        <v>9</v>
      </c>
      <c r="B41" s="37" t="s">
        <v>39</v>
      </c>
      <c r="C41" s="23">
        <v>5840</v>
      </c>
      <c r="D41" s="17">
        <v>14</v>
      </c>
      <c r="E41" s="18">
        <f t="shared" si="14"/>
        <v>81760</v>
      </c>
      <c r="F41" s="3">
        <v>300</v>
      </c>
      <c r="G41" s="17">
        <v>14</v>
      </c>
      <c r="H41" s="18">
        <f t="shared" si="15"/>
        <v>4200</v>
      </c>
      <c r="I41" s="3">
        <v>940</v>
      </c>
      <c r="J41" s="17">
        <v>4</v>
      </c>
      <c r="K41" s="58">
        <f t="shared" si="16"/>
        <v>3760</v>
      </c>
      <c r="L41" s="3">
        <v>130</v>
      </c>
      <c r="M41" s="17">
        <v>13</v>
      </c>
      <c r="N41" s="69">
        <f t="shared" si="17"/>
        <v>1690</v>
      </c>
      <c r="O41" s="23">
        <v>2800</v>
      </c>
      <c r="P41" s="17"/>
      <c r="Q41" s="58">
        <f t="shared" si="18"/>
        <v>0</v>
      </c>
      <c r="R41" s="23">
        <v>1000</v>
      </c>
      <c r="S41" s="17"/>
      <c r="T41" s="18">
        <f t="shared" si="19"/>
        <v>0</v>
      </c>
      <c r="U41" s="18"/>
      <c r="V41" s="38">
        <f>SUM(E41+H41+K41+N41+Q41+T41)-U41</f>
        <v>91410</v>
      </c>
    </row>
    <row r="42" spans="1:22" ht="19.5" customHeight="1">
      <c r="A42" s="24">
        <v>10</v>
      </c>
      <c r="B42" s="37" t="s">
        <v>40</v>
      </c>
      <c r="C42" s="23">
        <v>5840</v>
      </c>
      <c r="D42" s="17">
        <v>1</v>
      </c>
      <c r="E42" s="18">
        <f t="shared" si="14"/>
        <v>5840</v>
      </c>
      <c r="F42" s="3">
        <v>300</v>
      </c>
      <c r="G42" s="17"/>
      <c r="H42" s="18">
        <f t="shared" si="15"/>
        <v>0</v>
      </c>
      <c r="I42" s="3">
        <v>940</v>
      </c>
      <c r="J42" s="22"/>
      <c r="K42" s="58">
        <f t="shared" si="16"/>
        <v>0</v>
      </c>
      <c r="L42" s="3">
        <v>130</v>
      </c>
      <c r="M42" s="22">
        <v>2</v>
      </c>
      <c r="N42" s="69">
        <f t="shared" si="17"/>
        <v>260</v>
      </c>
      <c r="O42" s="23">
        <v>2800</v>
      </c>
      <c r="P42" s="22"/>
      <c r="Q42" s="58">
        <f t="shared" si="18"/>
        <v>0</v>
      </c>
      <c r="R42" s="21">
        <v>1000</v>
      </c>
      <c r="S42" s="22"/>
      <c r="T42" s="18">
        <f t="shared" si="19"/>
        <v>0</v>
      </c>
      <c r="U42" s="18"/>
      <c r="V42" s="38">
        <f>SUM(E42+H42+K42+N42+Q42+T42)-U42</f>
        <v>6100</v>
      </c>
    </row>
    <row r="43" spans="1:22" ht="19.5" customHeight="1">
      <c r="A43" s="24">
        <v>12</v>
      </c>
      <c r="B43" s="39" t="s">
        <v>41</v>
      </c>
      <c r="C43" s="23">
        <v>5840</v>
      </c>
      <c r="D43" s="17">
        <v>21</v>
      </c>
      <c r="E43" s="18">
        <f t="shared" si="14"/>
        <v>122640</v>
      </c>
      <c r="F43" s="3">
        <v>300</v>
      </c>
      <c r="G43" s="17"/>
      <c r="H43" s="18">
        <f t="shared" si="15"/>
        <v>0</v>
      </c>
      <c r="I43" s="3">
        <v>940</v>
      </c>
      <c r="J43" s="22">
        <v>2</v>
      </c>
      <c r="K43" s="58">
        <f t="shared" si="16"/>
        <v>1880</v>
      </c>
      <c r="L43" s="3">
        <v>130</v>
      </c>
      <c r="M43" s="22">
        <v>42</v>
      </c>
      <c r="N43" s="69">
        <f t="shared" si="17"/>
        <v>5460</v>
      </c>
      <c r="O43" s="23">
        <v>2800</v>
      </c>
      <c r="P43" s="22"/>
      <c r="Q43" s="58">
        <f t="shared" si="18"/>
        <v>0</v>
      </c>
      <c r="R43" s="21">
        <v>1000</v>
      </c>
      <c r="S43" s="22"/>
      <c r="T43" s="18">
        <f t="shared" si="19"/>
        <v>0</v>
      </c>
      <c r="U43" s="18"/>
      <c r="V43" s="38">
        <f>SUM(E43+H43+K43+N43+Q43+T43)-U43</f>
        <v>129980</v>
      </c>
    </row>
    <row r="44" spans="1:22" ht="19.5" customHeight="1">
      <c r="A44" s="24">
        <v>13</v>
      </c>
      <c r="B44" s="39" t="s">
        <v>42</v>
      </c>
      <c r="C44" s="23">
        <v>5840</v>
      </c>
      <c r="D44" s="17">
        <v>17</v>
      </c>
      <c r="E44" s="18">
        <f t="shared" si="14"/>
        <v>99280</v>
      </c>
      <c r="F44" s="3">
        <v>300</v>
      </c>
      <c r="G44" s="17"/>
      <c r="H44" s="18">
        <f t="shared" si="15"/>
        <v>0</v>
      </c>
      <c r="I44" s="3">
        <v>940</v>
      </c>
      <c r="J44" s="22">
        <v>4</v>
      </c>
      <c r="K44" s="58">
        <f t="shared" si="16"/>
        <v>3760</v>
      </c>
      <c r="L44" s="3">
        <v>130</v>
      </c>
      <c r="M44" s="22">
        <v>34</v>
      </c>
      <c r="N44" s="69">
        <f t="shared" si="17"/>
        <v>4420</v>
      </c>
      <c r="O44" s="23">
        <v>2800</v>
      </c>
      <c r="P44" s="22"/>
      <c r="Q44" s="58">
        <f t="shared" si="18"/>
        <v>0</v>
      </c>
      <c r="R44" s="21">
        <v>1000</v>
      </c>
      <c r="S44" s="22"/>
      <c r="T44" s="18">
        <f t="shared" si="19"/>
        <v>0</v>
      </c>
      <c r="U44" s="18"/>
      <c r="V44" s="38">
        <f t="shared" ref="V44:V45" si="21">SUM(E44+H44+K44+N44+Q44+T44)-U44</f>
        <v>107460</v>
      </c>
    </row>
    <row r="45" spans="1:22" ht="19.5" customHeight="1">
      <c r="A45" s="24">
        <v>14</v>
      </c>
      <c r="B45" s="39" t="s">
        <v>44</v>
      </c>
      <c r="C45" s="23">
        <v>5840</v>
      </c>
      <c r="D45" s="17">
        <v>9</v>
      </c>
      <c r="E45" s="18">
        <f t="shared" si="14"/>
        <v>52560</v>
      </c>
      <c r="F45" s="3">
        <v>300</v>
      </c>
      <c r="G45" s="17"/>
      <c r="H45" s="18">
        <f t="shared" si="15"/>
        <v>0</v>
      </c>
      <c r="I45" s="3">
        <v>940</v>
      </c>
      <c r="J45" s="22">
        <v>4</v>
      </c>
      <c r="K45" s="58">
        <f t="shared" si="16"/>
        <v>3760</v>
      </c>
      <c r="L45" s="3">
        <v>130</v>
      </c>
      <c r="M45" s="22">
        <v>0</v>
      </c>
      <c r="N45" s="69">
        <f t="shared" si="17"/>
        <v>0</v>
      </c>
      <c r="O45" s="23">
        <v>2800</v>
      </c>
      <c r="P45" s="22"/>
      <c r="Q45" s="58">
        <f t="shared" si="18"/>
        <v>0</v>
      </c>
      <c r="R45" s="21">
        <v>1000</v>
      </c>
      <c r="S45" s="22"/>
      <c r="T45" s="18">
        <f t="shared" si="19"/>
        <v>0</v>
      </c>
      <c r="U45" s="18"/>
      <c r="V45" s="38">
        <f t="shared" si="21"/>
        <v>56320</v>
      </c>
    </row>
    <row r="46" spans="1:22" ht="19.5" customHeight="1">
      <c r="A46" s="24">
        <v>15</v>
      </c>
      <c r="B46" s="39" t="s">
        <v>45</v>
      </c>
      <c r="C46" s="23">
        <v>8040</v>
      </c>
      <c r="D46" s="17"/>
      <c r="E46" s="18">
        <f t="shared" si="14"/>
        <v>0</v>
      </c>
      <c r="F46" s="3">
        <v>300</v>
      </c>
      <c r="G46" s="17"/>
      <c r="H46" s="18">
        <f t="shared" si="15"/>
        <v>0</v>
      </c>
      <c r="I46" s="3">
        <v>940</v>
      </c>
      <c r="J46" s="22"/>
      <c r="K46" s="58">
        <f t="shared" si="16"/>
        <v>0</v>
      </c>
      <c r="L46" s="3">
        <v>130</v>
      </c>
      <c r="M46" s="22"/>
      <c r="N46" s="69">
        <f t="shared" si="17"/>
        <v>0</v>
      </c>
      <c r="O46" s="23">
        <v>2800</v>
      </c>
      <c r="P46" s="22"/>
      <c r="Q46" s="58">
        <f t="shared" si="18"/>
        <v>0</v>
      </c>
      <c r="R46" s="21">
        <v>1000</v>
      </c>
      <c r="S46" s="22"/>
      <c r="T46" s="18">
        <f t="shared" si="19"/>
        <v>0</v>
      </c>
      <c r="U46" s="18"/>
      <c r="V46" s="38">
        <f>SUM(E46+H46+K46+N46+Q46+T46)</f>
        <v>0</v>
      </c>
    </row>
    <row r="47" spans="1:22" ht="19.5" customHeight="1">
      <c r="A47" s="24">
        <v>16</v>
      </c>
      <c r="B47" s="39" t="s">
        <v>46</v>
      </c>
      <c r="C47" s="23">
        <v>8040</v>
      </c>
      <c r="D47" s="17"/>
      <c r="E47" s="18">
        <f t="shared" si="14"/>
        <v>0</v>
      </c>
      <c r="F47" s="3">
        <v>300</v>
      </c>
      <c r="G47" s="17"/>
      <c r="H47" s="18">
        <f t="shared" si="15"/>
        <v>0</v>
      </c>
      <c r="I47" s="3">
        <v>940</v>
      </c>
      <c r="J47" s="22"/>
      <c r="K47" s="58">
        <f t="shared" si="16"/>
        <v>0</v>
      </c>
      <c r="L47" s="3">
        <v>130</v>
      </c>
      <c r="M47" s="22"/>
      <c r="N47" s="69">
        <f t="shared" si="17"/>
        <v>0</v>
      </c>
      <c r="O47" s="23">
        <v>2800</v>
      </c>
      <c r="P47" s="22"/>
      <c r="Q47" s="58">
        <f t="shared" si="18"/>
        <v>0</v>
      </c>
      <c r="R47" s="21">
        <v>1000</v>
      </c>
      <c r="S47" s="22"/>
      <c r="T47" s="18">
        <f t="shared" si="19"/>
        <v>0</v>
      </c>
      <c r="U47" s="18"/>
      <c r="V47" s="38">
        <f>SUM(E47+H47+K47+N47+Q47+T47)</f>
        <v>0</v>
      </c>
    </row>
    <row r="48" spans="1:22" ht="19.5" customHeight="1">
      <c r="A48" s="24">
        <v>15</v>
      </c>
      <c r="B48" s="39" t="s">
        <v>47</v>
      </c>
      <c r="C48" s="23">
        <v>8040</v>
      </c>
      <c r="D48" s="17">
        <v>18</v>
      </c>
      <c r="E48" s="18">
        <f t="shared" si="14"/>
        <v>144720</v>
      </c>
      <c r="F48" s="3">
        <v>300</v>
      </c>
      <c r="G48" s="17">
        <v>6</v>
      </c>
      <c r="H48" s="18">
        <f t="shared" si="15"/>
        <v>1800</v>
      </c>
      <c r="I48" s="3">
        <v>940</v>
      </c>
      <c r="J48" s="22">
        <v>4</v>
      </c>
      <c r="K48" s="58">
        <f t="shared" si="16"/>
        <v>3760</v>
      </c>
      <c r="L48" s="3">
        <v>130</v>
      </c>
      <c r="M48" s="22">
        <v>13</v>
      </c>
      <c r="N48" s="69">
        <f t="shared" si="17"/>
        <v>1690</v>
      </c>
      <c r="O48" s="23">
        <v>2800</v>
      </c>
      <c r="P48" s="22"/>
      <c r="Q48" s="58">
        <f t="shared" ref="Q48" si="22">SUM(O48*P48)</f>
        <v>0</v>
      </c>
      <c r="R48" s="21">
        <v>1000</v>
      </c>
      <c r="S48" s="22"/>
      <c r="T48" s="18">
        <f t="shared" ref="T48" si="23">SUM(S48*R48)</f>
        <v>0</v>
      </c>
      <c r="U48" s="18"/>
      <c r="V48" s="38">
        <f>SUM(E48+H48+K48+N48+Q48+T48)</f>
        <v>151970</v>
      </c>
    </row>
    <row r="49" spans="1:22" ht="19.5" customHeight="1">
      <c r="A49" s="24"/>
      <c r="B49" s="39"/>
      <c r="C49" s="11"/>
      <c r="D49" s="12"/>
      <c r="E49" s="13"/>
      <c r="F49" s="14"/>
      <c r="G49" s="12"/>
      <c r="H49" s="13"/>
      <c r="I49" s="14"/>
      <c r="J49" s="20"/>
      <c r="K49" s="13"/>
      <c r="L49" s="14"/>
      <c r="M49" s="20"/>
      <c r="N49" s="15"/>
      <c r="O49" s="11"/>
      <c r="P49" s="20"/>
      <c r="Q49" s="13"/>
      <c r="R49" s="21"/>
      <c r="S49" s="22"/>
      <c r="T49" s="18"/>
      <c r="U49" s="18"/>
      <c r="V49" s="38"/>
    </row>
    <row r="50" spans="1:22" ht="19.5" customHeight="1">
      <c r="A50" s="24"/>
      <c r="B50" s="39"/>
      <c r="C50" s="11"/>
      <c r="D50" s="12"/>
      <c r="E50" s="13"/>
      <c r="F50" s="14"/>
      <c r="G50" s="12"/>
      <c r="H50" s="13"/>
      <c r="I50" s="14"/>
      <c r="J50" s="20"/>
      <c r="K50" s="13"/>
      <c r="L50" s="14"/>
      <c r="M50" s="20"/>
      <c r="N50" s="15"/>
      <c r="O50" s="11"/>
      <c r="P50" s="20"/>
      <c r="Q50" s="13"/>
      <c r="R50" s="21"/>
      <c r="S50" s="22"/>
      <c r="T50" s="18"/>
      <c r="U50" s="18"/>
      <c r="V50" s="38"/>
    </row>
    <row r="51" spans="1:22" ht="19.5" customHeight="1" thickBot="1">
      <c r="A51" s="5"/>
      <c r="B51" s="5"/>
      <c r="C51" s="40"/>
      <c r="D51" s="41"/>
      <c r="E51" s="42"/>
      <c r="F51" s="43"/>
      <c r="G51" s="41"/>
      <c r="H51" s="42"/>
      <c r="I51" s="43"/>
      <c r="J51" s="41"/>
      <c r="K51" s="42"/>
      <c r="L51" s="43"/>
      <c r="M51" s="41"/>
      <c r="N51" s="44"/>
      <c r="O51" s="40"/>
      <c r="P51" s="41"/>
      <c r="Q51" s="42"/>
      <c r="R51" s="8"/>
      <c r="S51" s="45"/>
      <c r="T51" s="46"/>
      <c r="U51" s="46"/>
      <c r="V51" s="47"/>
    </row>
    <row r="52" spans="1:22" ht="19.5" customHeight="1" thickTop="1">
      <c r="A52" s="24"/>
      <c r="B52" s="24"/>
      <c r="C52" s="24"/>
      <c r="D52" s="24"/>
      <c r="E52" s="70">
        <f>SUM(E33:E51)</f>
        <v>1242640</v>
      </c>
      <c r="F52" s="21"/>
      <c r="G52" s="21"/>
      <c r="H52" s="21">
        <f>SUM(H35:H51)</f>
        <v>6000</v>
      </c>
      <c r="I52" s="21"/>
      <c r="J52" s="21"/>
      <c r="K52" s="21">
        <f>SUM(K33:K51)</f>
        <v>37600</v>
      </c>
      <c r="L52" s="21"/>
      <c r="M52" s="21"/>
      <c r="N52" s="21">
        <f>SUM(N33:N51)</f>
        <v>37700</v>
      </c>
      <c r="O52" s="21"/>
      <c r="P52" s="24"/>
      <c r="Q52" s="21">
        <f>SUM(Q33:Q51)</f>
        <v>2800</v>
      </c>
      <c r="R52" s="24"/>
      <c r="S52" s="24"/>
      <c r="T52" s="21">
        <f>SUM(T35:T51)</f>
        <v>0</v>
      </c>
      <c r="U52" s="21">
        <f>SUM(U35:U51)</f>
        <v>0</v>
      </c>
      <c r="V52" s="21">
        <f>SUM(V33:V51)</f>
        <v>1326740</v>
      </c>
    </row>
    <row r="53" spans="1:22" ht="19.5" customHeight="1">
      <c r="E53" s="1"/>
      <c r="H53" s="1"/>
      <c r="K53" s="1"/>
      <c r="N53" s="1"/>
    </row>
    <row r="54" spans="1:22" ht="19.5" customHeight="1">
      <c r="E54" s="1"/>
      <c r="H54" s="1"/>
      <c r="K54" s="1"/>
      <c r="N54" s="66"/>
      <c r="O54" s="82" t="s">
        <v>29</v>
      </c>
      <c r="P54" s="82"/>
      <c r="Q54" s="82"/>
      <c r="R54" s="50"/>
      <c r="S54" s="50"/>
      <c r="T54" s="50"/>
      <c r="U54" s="50"/>
      <c r="V54" s="51">
        <f>V21</f>
        <v>1393720</v>
      </c>
    </row>
    <row r="55" spans="1:22" ht="19.5" customHeight="1" thickBot="1">
      <c r="E55" s="1"/>
      <c r="H55" s="1"/>
      <c r="K55" s="1"/>
      <c r="N55" s="63"/>
      <c r="O55" s="83" t="s">
        <v>30</v>
      </c>
      <c r="P55" s="83"/>
      <c r="Q55" s="83"/>
      <c r="R55" s="54"/>
      <c r="S55" s="54"/>
      <c r="T55" s="54"/>
      <c r="U55" s="54"/>
      <c r="V55" s="55">
        <f>V52</f>
        <v>1326740</v>
      </c>
    </row>
    <row r="56" spans="1:22" ht="19.5" customHeight="1" thickTop="1">
      <c r="E56" s="1"/>
      <c r="H56" s="1"/>
      <c r="K56" s="1"/>
      <c r="N56" s="66"/>
      <c r="O56" s="74" t="s">
        <v>2</v>
      </c>
      <c r="P56" s="74"/>
      <c r="Q56" s="74"/>
      <c r="R56" s="52"/>
      <c r="S56" s="52"/>
      <c r="T56" s="52"/>
      <c r="U56" s="52"/>
      <c r="V56" s="53">
        <f>V54+V55</f>
        <v>2720460</v>
      </c>
    </row>
    <row r="57" spans="1:22" ht="13.5" customHeight="1">
      <c r="E57" s="1"/>
      <c r="H57" s="1"/>
      <c r="K57" s="1"/>
      <c r="N57" s="1"/>
      <c r="O57" s="66"/>
      <c r="P57" s="66"/>
      <c r="Q57" s="66"/>
      <c r="R57" s="66"/>
      <c r="S57" s="66"/>
      <c r="T57" s="66"/>
      <c r="U57" s="66"/>
      <c r="V57" s="66"/>
    </row>
    <row r="58" spans="1:22" ht="13.5" customHeight="1">
      <c r="E58" s="1"/>
      <c r="H58" s="1"/>
      <c r="K58" s="1"/>
      <c r="N58" s="1"/>
      <c r="R58" s="63"/>
      <c r="S58" s="65"/>
      <c r="T58" s="65"/>
      <c r="U58" s="65"/>
      <c r="V58" s="65"/>
    </row>
  </sheetData>
  <mergeCells count="26">
    <mergeCell ref="D1:H1"/>
    <mergeCell ref="A3:B4"/>
    <mergeCell ref="C4:E4"/>
    <mergeCell ref="F4:H4"/>
    <mergeCell ref="I4:K4"/>
    <mergeCell ref="L31:N31"/>
    <mergeCell ref="O4:Q4"/>
    <mergeCell ref="R4:T4"/>
    <mergeCell ref="U4:U5"/>
    <mergeCell ref="V4:V5"/>
    <mergeCell ref="O21:Q21"/>
    <mergeCell ref="O22:Q22"/>
    <mergeCell ref="O23:Q23"/>
    <mergeCell ref="L4:N4"/>
    <mergeCell ref="D28:H28"/>
    <mergeCell ref="A30:B31"/>
    <mergeCell ref="C31:E31"/>
    <mergeCell ref="F31:H31"/>
    <mergeCell ref="I31:K31"/>
    <mergeCell ref="O56:Q56"/>
    <mergeCell ref="O31:Q31"/>
    <mergeCell ref="R31:T31"/>
    <mergeCell ref="U31:U32"/>
    <mergeCell ref="V31:V32"/>
    <mergeCell ref="O54:Q54"/>
    <mergeCell ref="O55:Q55"/>
  </mergeCells>
  <phoneticPr fontId="2"/>
  <pageMargins left="0.39370078740157483" right="0" top="0.15748031496062992" bottom="0" header="0.19685039370078741" footer="0.19685039370078741"/>
  <pageSetup paperSize="9" fitToHeight="0" orientation="landscape" r:id="rId1"/>
  <headerFooter>
    <oddHeader>&amp;R&amp;K00-033カイト今治</oddHeader>
  </headerFooter>
  <rowBreaks count="1" manualBreakCount="1">
    <brk id="2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7" zoomScale="60" zoomScaleNormal="100" workbookViewId="0">
      <selection activeCell="K37" sqref="K37"/>
    </sheetView>
  </sheetViews>
  <sheetFormatPr defaultRowHeight="17.25"/>
  <cols>
    <col min="1" max="1" width="4.25" style="1" bestFit="1" customWidth="1"/>
    <col min="2" max="2" width="12.75" style="1" customWidth="1"/>
    <col min="3" max="3" width="6.625" style="1" customWidth="1"/>
    <col min="4" max="4" width="5.25" style="1" bestFit="1" customWidth="1"/>
    <col min="5" max="5" width="12.375" style="2" customWidth="1"/>
    <col min="6" max="6" width="5.5" style="1" customWidth="1"/>
    <col min="7" max="7" width="5.25" style="1" bestFit="1" customWidth="1"/>
    <col min="8" max="8" width="7.25" style="2" customWidth="1"/>
    <col min="9" max="9" width="5.625" style="1" customWidth="1"/>
    <col min="10" max="10" width="5.25" style="1" bestFit="1" customWidth="1"/>
    <col min="11" max="11" width="10.625" style="2" customWidth="1"/>
    <col min="12" max="12" width="5.625" style="1" customWidth="1"/>
    <col min="13" max="13" width="5.25" style="1" bestFit="1" customWidth="1"/>
    <col min="14" max="14" width="10.625" style="2" customWidth="1"/>
    <col min="15" max="15" width="6" style="1" customWidth="1"/>
    <col min="16" max="16" width="4.125" style="1" customWidth="1"/>
    <col min="17" max="17" width="5.875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7.5" style="1" customWidth="1"/>
    <col min="23" max="16384" width="9" style="1"/>
  </cols>
  <sheetData>
    <row r="1" spans="1:22" ht="27" customHeight="1">
      <c r="D1" s="84" t="s">
        <v>12</v>
      </c>
      <c r="E1" s="85"/>
      <c r="F1" s="85"/>
      <c r="G1" s="85"/>
      <c r="H1" s="85"/>
    </row>
    <row r="2" spans="1:22" ht="18" customHeight="1">
      <c r="B2" s="1" t="s">
        <v>11</v>
      </c>
    </row>
    <row r="3" spans="1:22">
      <c r="A3" s="86" t="s">
        <v>50</v>
      </c>
      <c r="B3" s="87"/>
    </row>
    <row r="4" spans="1:22" ht="20.25" customHeight="1">
      <c r="A4" s="88"/>
      <c r="B4" s="89"/>
      <c r="C4" s="75" t="s">
        <v>9</v>
      </c>
      <c r="D4" s="76"/>
      <c r="E4" s="77"/>
      <c r="F4" s="75" t="s">
        <v>8</v>
      </c>
      <c r="G4" s="76"/>
      <c r="H4" s="77"/>
      <c r="I4" s="75" t="s">
        <v>7</v>
      </c>
      <c r="J4" s="76"/>
      <c r="K4" s="77"/>
      <c r="L4" s="75" t="s">
        <v>6</v>
      </c>
      <c r="M4" s="76"/>
      <c r="N4" s="77"/>
      <c r="O4" s="75" t="s">
        <v>5</v>
      </c>
      <c r="P4" s="76"/>
      <c r="Q4" s="77"/>
      <c r="R4" s="75" t="s">
        <v>4</v>
      </c>
      <c r="S4" s="76"/>
      <c r="T4" s="77"/>
      <c r="U4" s="78" t="s">
        <v>3</v>
      </c>
      <c r="V4" s="80" t="s">
        <v>2</v>
      </c>
    </row>
    <row r="5" spans="1:22" ht="25.5" customHeight="1" thickBot="1">
      <c r="A5" s="3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270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79"/>
      <c r="V5" s="81"/>
    </row>
    <row r="6" spans="1:22" ht="25.5" customHeight="1" thickTop="1">
      <c r="A6" s="9">
        <v>1</v>
      </c>
      <c r="B6" s="10" t="s">
        <v>17</v>
      </c>
      <c r="C6" s="23">
        <v>5840</v>
      </c>
      <c r="D6" s="17">
        <v>15</v>
      </c>
      <c r="E6" s="56">
        <f t="shared" ref="E6:E17" si="0">SUM(C6*D6)</f>
        <v>87600</v>
      </c>
      <c r="F6" s="3">
        <v>300</v>
      </c>
      <c r="G6" s="17"/>
      <c r="H6" s="56">
        <f t="shared" ref="H6:H17" si="1">SUM(F6*G6)</f>
        <v>0</v>
      </c>
      <c r="I6" s="3">
        <v>940</v>
      </c>
      <c r="J6" s="17"/>
      <c r="K6" s="56">
        <f t="shared" ref="K6:K17" si="2">SUM(I6*J6)</f>
        <v>0</v>
      </c>
      <c r="L6" s="3">
        <v>270</v>
      </c>
      <c r="M6" s="17">
        <v>30</v>
      </c>
      <c r="N6" s="57">
        <f t="shared" ref="N6:N17" si="3">SUM(L6*M6)</f>
        <v>8100</v>
      </c>
      <c r="O6" s="23">
        <v>2800</v>
      </c>
      <c r="P6" s="17"/>
      <c r="Q6" s="58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38">
        <f t="shared" ref="V6:V13" si="6">SUM(E6+H6+K6+N6+Q6+T6)</f>
        <v>95700</v>
      </c>
    </row>
    <row r="7" spans="1:22" ht="25.5" customHeight="1">
      <c r="A7" s="9">
        <v>2</v>
      </c>
      <c r="B7" s="9" t="s">
        <v>18</v>
      </c>
      <c r="C7" s="23">
        <v>5840</v>
      </c>
      <c r="D7" s="17">
        <v>15</v>
      </c>
      <c r="E7" s="56">
        <f t="shared" si="0"/>
        <v>87600</v>
      </c>
      <c r="F7" s="3">
        <v>300</v>
      </c>
      <c r="G7" s="17"/>
      <c r="H7" s="56">
        <f t="shared" si="1"/>
        <v>0</v>
      </c>
      <c r="I7" s="3">
        <v>940</v>
      </c>
      <c r="J7" s="22">
        <v>4</v>
      </c>
      <c r="K7" s="56">
        <f t="shared" si="2"/>
        <v>3760</v>
      </c>
      <c r="L7" s="3">
        <v>270</v>
      </c>
      <c r="M7" s="22">
        <v>30</v>
      </c>
      <c r="N7" s="57">
        <f t="shared" si="3"/>
        <v>8100</v>
      </c>
      <c r="O7" s="23">
        <v>2800</v>
      </c>
      <c r="P7" s="22"/>
      <c r="Q7" s="58">
        <f t="shared" si="4"/>
        <v>0</v>
      </c>
      <c r="R7" s="21">
        <v>1000</v>
      </c>
      <c r="S7" s="22"/>
      <c r="T7" s="18">
        <f t="shared" si="5"/>
        <v>0</v>
      </c>
      <c r="U7" s="18"/>
      <c r="V7" s="38">
        <f t="shared" si="6"/>
        <v>99460</v>
      </c>
    </row>
    <row r="8" spans="1:22" ht="25.5" customHeight="1">
      <c r="A8" s="9">
        <v>3</v>
      </c>
      <c r="B8" s="9" t="s">
        <v>19</v>
      </c>
      <c r="C8" s="23">
        <v>5840</v>
      </c>
      <c r="D8" s="17">
        <v>20</v>
      </c>
      <c r="E8" s="56">
        <f t="shared" si="0"/>
        <v>116800</v>
      </c>
      <c r="F8" s="3">
        <v>300</v>
      </c>
      <c r="G8" s="17"/>
      <c r="H8" s="56">
        <f t="shared" si="1"/>
        <v>0</v>
      </c>
      <c r="I8" s="3">
        <v>940</v>
      </c>
      <c r="J8" s="22"/>
      <c r="K8" s="56">
        <f t="shared" si="2"/>
        <v>0</v>
      </c>
      <c r="L8" s="3">
        <v>270</v>
      </c>
      <c r="M8" s="22">
        <v>40</v>
      </c>
      <c r="N8" s="57">
        <f t="shared" si="3"/>
        <v>10800</v>
      </c>
      <c r="O8" s="23">
        <v>2800</v>
      </c>
      <c r="P8" s="22"/>
      <c r="Q8" s="58">
        <f t="shared" si="4"/>
        <v>0</v>
      </c>
      <c r="R8" s="21">
        <v>1000</v>
      </c>
      <c r="S8" s="22"/>
      <c r="T8" s="18">
        <f t="shared" si="5"/>
        <v>0</v>
      </c>
      <c r="U8" s="18"/>
      <c r="V8" s="38">
        <f t="shared" si="6"/>
        <v>127600</v>
      </c>
    </row>
    <row r="9" spans="1:22" ht="25.5" customHeight="1">
      <c r="A9" s="9">
        <v>4</v>
      </c>
      <c r="B9" s="9" t="s">
        <v>20</v>
      </c>
      <c r="C9" s="23">
        <v>5840</v>
      </c>
      <c r="D9" s="17">
        <v>19</v>
      </c>
      <c r="E9" s="56">
        <f t="shared" si="0"/>
        <v>110960</v>
      </c>
      <c r="F9" s="3">
        <v>300</v>
      </c>
      <c r="G9" s="17"/>
      <c r="H9" s="56">
        <f t="shared" si="1"/>
        <v>0</v>
      </c>
      <c r="I9" s="3">
        <v>940</v>
      </c>
      <c r="J9" s="22">
        <v>1</v>
      </c>
      <c r="K9" s="56">
        <f t="shared" si="2"/>
        <v>940</v>
      </c>
      <c r="L9" s="3">
        <v>270</v>
      </c>
      <c r="M9" s="22">
        <v>38</v>
      </c>
      <c r="N9" s="57">
        <f t="shared" si="3"/>
        <v>10260</v>
      </c>
      <c r="O9" s="23">
        <v>2800</v>
      </c>
      <c r="P9" s="22"/>
      <c r="Q9" s="58">
        <f t="shared" si="4"/>
        <v>0</v>
      </c>
      <c r="R9" s="21">
        <v>1000</v>
      </c>
      <c r="S9" s="22"/>
      <c r="T9" s="18">
        <f t="shared" si="5"/>
        <v>0</v>
      </c>
      <c r="U9" s="18"/>
      <c r="V9" s="38">
        <f t="shared" si="6"/>
        <v>122160</v>
      </c>
    </row>
    <row r="10" spans="1:22" ht="25.5" customHeight="1">
      <c r="A10" s="9">
        <v>5</v>
      </c>
      <c r="B10" s="9" t="s">
        <v>21</v>
      </c>
      <c r="C10" s="23">
        <v>5840</v>
      </c>
      <c r="D10" s="17">
        <v>18</v>
      </c>
      <c r="E10" s="56">
        <f t="shared" si="0"/>
        <v>105120</v>
      </c>
      <c r="F10" s="3">
        <v>300</v>
      </c>
      <c r="G10" s="17"/>
      <c r="H10" s="56">
        <f t="shared" si="1"/>
        <v>0</v>
      </c>
      <c r="I10" s="3">
        <v>940</v>
      </c>
      <c r="J10" s="22">
        <v>2</v>
      </c>
      <c r="K10" s="56">
        <f t="shared" si="2"/>
        <v>1880</v>
      </c>
      <c r="L10" s="3">
        <v>270</v>
      </c>
      <c r="M10" s="22">
        <v>36</v>
      </c>
      <c r="N10" s="57">
        <f t="shared" si="3"/>
        <v>9720</v>
      </c>
      <c r="O10" s="23">
        <v>2800</v>
      </c>
      <c r="P10" s="22"/>
      <c r="Q10" s="58">
        <f t="shared" si="4"/>
        <v>0</v>
      </c>
      <c r="R10" s="21">
        <v>1000</v>
      </c>
      <c r="S10" s="22"/>
      <c r="T10" s="18">
        <f t="shared" si="5"/>
        <v>0</v>
      </c>
      <c r="U10" s="18"/>
      <c r="V10" s="38">
        <f t="shared" si="6"/>
        <v>116720</v>
      </c>
    </row>
    <row r="11" spans="1:22" ht="25.5" customHeight="1">
      <c r="A11" s="9">
        <v>6</v>
      </c>
      <c r="B11" s="9" t="s">
        <v>22</v>
      </c>
      <c r="C11" s="23">
        <v>5840</v>
      </c>
      <c r="D11" s="17">
        <v>20</v>
      </c>
      <c r="E11" s="56">
        <f t="shared" si="0"/>
        <v>116800</v>
      </c>
      <c r="F11" s="3">
        <v>300</v>
      </c>
      <c r="G11" s="17"/>
      <c r="H11" s="56">
        <f t="shared" si="1"/>
        <v>0</v>
      </c>
      <c r="I11" s="3">
        <v>940</v>
      </c>
      <c r="J11" s="22"/>
      <c r="K11" s="56">
        <f t="shared" si="2"/>
        <v>0</v>
      </c>
      <c r="L11" s="3">
        <v>270</v>
      </c>
      <c r="M11" s="22">
        <v>40</v>
      </c>
      <c r="N11" s="57">
        <f t="shared" si="3"/>
        <v>10800</v>
      </c>
      <c r="O11" s="23">
        <v>2800</v>
      </c>
      <c r="P11" s="22"/>
      <c r="Q11" s="58">
        <f t="shared" si="4"/>
        <v>0</v>
      </c>
      <c r="R11" s="21">
        <v>1000</v>
      </c>
      <c r="S11" s="22"/>
      <c r="T11" s="18">
        <f t="shared" si="5"/>
        <v>0</v>
      </c>
      <c r="U11" s="18"/>
      <c r="V11" s="38">
        <f t="shared" si="6"/>
        <v>127600</v>
      </c>
    </row>
    <row r="12" spans="1:22" ht="25.5" customHeight="1">
      <c r="A12" s="9">
        <v>7</v>
      </c>
      <c r="B12" s="9" t="s">
        <v>23</v>
      </c>
      <c r="C12" s="23">
        <v>5840</v>
      </c>
      <c r="D12" s="17">
        <v>20</v>
      </c>
      <c r="E12" s="56">
        <f t="shared" si="0"/>
        <v>116800</v>
      </c>
      <c r="F12" s="3">
        <v>300</v>
      </c>
      <c r="G12" s="17"/>
      <c r="H12" s="56">
        <f t="shared" si="1"/>
        <v>0</v>
      </c>
      <c r="I12" s="3">
        <v>940</v>
      </c>
      <c r="J12" s="22"/>
      <c r="K12" s="56">
        <f t="shared" si="2"/>
        <v>0</v>
      </c>
      <c r="L12" s="3">
        <v>270</v>
      </c>
      <c r="M12" s="22"/>
      <c r="N12" s="57">
        <f t="shared" si="3"/>
        <v>0</v>
      </c>
      <c r="O12" s="23">
        <v>2800</v>
      </c>
      <c r="P12" s="22"/>
      <c r="Q12" s="58">
        <f t="shared" si="4"/>
        <v>0</v>
      </c>
      <c r="R12" s="21">
        <v>1000</v>
      </c>
      <c r="S12" s="22"/>
      <c r="T12" s="18">
        <f t="shared" si="5"/>
        <v>0</v>
      </c>
      <c r="U12" s="18"/>
      <c r="V12" s="38">
        <f t="shared" si="6"/>
        <v>116800</v>
      </c>
    </row>
    <row r="13" spans="1:22" ht="25.5" customHeight="1">
      <c r="A13" s="9">
        <v>8</v>
      </c>
      <c r="B13" s="10" t="s">
        <v>24</v>
      </c>
      <c r="C13" s="23">
        <v>5840</v>
      </c>
      <c r="D13" s="17">
        <v>20</v>
      </c>
      <c r="E13" s="56">
        <f t="shared" si="0"/>
        <v>116800</v>
      </c>
      <c r="F13" s="3">
        <v>300</v>
      </c>
      <c r="G13" s="17"/>
      <c r="H13" s="56">
        <f t="shared" si="1"/>
        <v>0</v>
      </c>
      <c r="I13" s="3">
        <v>940</v>
      </c>
      <c r="J13" s="22"/>
      <c r="K13" s="56">
        <f t="shared" si="2"/>
        <v>0</v>
      </c>
      <c r="L13" s="3">
        <v>270</v>
      </c>
      <c r="M13" s="22"/>
      <c r="N13" s="57">
        <f t="shared" si="3"/>
        <v>0</v>
      </c>
      <c r="O13" s="23">
        <v>2800</v>
      </c>
      <c r="P13" s="22"/>
      <c r="Q13" s="58">
        <f t="shared" si="4"/>
        <v>0</v>
      </c>
      <c r="R13" s="21">
        <v>1000</v>
      </c>
      <c r="S13" s="22"/>
      <c r="T13" s="18">
        <f t="shared" si="5"/>
        <v>0</v>
      </c>
      <c r="U13" s="18"/>
      <c r="V13" s="38">
        <f t="shared" si="6"/>
        <v>116800</v>
      </c>
    </row>
    <row r="14" spans="1:22" ht="25.5" customHeight="1">
      <c r="A14" s="9">
        <v>9</v>
      </c>
      <c r="B14" s="10" t="s">
        <v>25</v>
      </c>
      <c r="C14" s="23">
        <v>5840</v>
      </c>
      <c r="D14" s="17">
        <v>15</v>
      </c>
      <c r="E14" s="56">
        <f t="shared" si="0"/>
        <v>87600</v>
      </c>
      <c r="F14" s="3">
        <v>300</v>
      </c>
      <c r="G14" s="17"/>
      <c r="H14" s="56">
        <f t="shared" si="1"/>
        <v>0</v>
      </c>
      <c r="I14" s="3">
        <v>940</v>
      </c>
      <c r="J14" s="17">
        <v>4</v>
      </c>
      <c r="K14" s="56">
        <f t="shared" si="2"/>
        <v>3760</v>
      </c>
      <c r="L14" s="3">
        <v>270</v>
      </c>
      <c r="M14" s="17">
        <v>30</v>
      </c>
      <c r="N14" s="57">
        <f t="shared" si="3"/>
        <v>8100</v>
      </c>
      <c r="O14" s="23">
        <v>2800</v>
      </c>
      <c r="P14" s="17"/>
      <c r="Q14" s="58">
        <f t="shared" si="4"/>
        <v>0</v>
      </c>
      <c r="R14" s="23">
        <v>1000</v>
      </c>
      <c r="S14" s="17"/>
      <c r="T14" s="18">
        <f t="shared" si="5"/>
        <v>0</v>
      </c>
      <c r="U14" s="18"/>
      <c r="V14" s="38">
        <f>SUM(E14+H14+K14+N14+Q14+T14)-U14</f>
        <v>99460</v>
      </c>
    </row>
    <row r="15" spans="1:22" ht="25.5" customHeight="1">
      <c r="A15" s="9">
        <v>10</v>
      </c>
      <c r="B15" s="9" t="s">
        <v>26</v>
      </c>
      <c r="C15" s="23">
        <v>5840</v>
      </c>
      <c r="D15" s="17">
        <v>13</v>
      </c>
      <c r="E15" s="56">
        <f t="shared" si="0"/>
        <v>75920</v>
      </c>
      <c r="F15" s="3">
        <v>300</v>
      </c>
      <c r="G15" s="17"/>
      <c r="H15" s="56">
        <f t="shared" si="1"/>
        <v>0</v>
      </c>
      <c r="I15" s="3">
        <v>940</v>
      </c>
      <c r="J15" s="22">
        <v>4</v>
      </c>
      <c r="K15" s="56">
        <f t="shared" si="2"/>
        <v>3760</v>
      </c>
      <c r="L15" s="3">
        <v>270</v>
      </c>
      <c r="M15" s="22">
        <v>26</v>
      </c>
      <c r="N15" s="57">
        <f t="shared" si="3"/>
        <v>7020</v>
      </c>
      <c r="O15" s="23">
        <v>2800</v>
      </c>
      <c r="P15" s="22"/>
      <c r="Q15" s="58">
        <f t="shared" si="4"/>
        <v>0</v>
      </c>
      <c r="R15" s="21">
        <v>1000</v>
      </c>
      <c r="S15" s="22"/>
      <c r="T15" s="18">
        <f t="shared" si="5"/>
        <v>0</v>
      </c>
      <c r="U15" s="18"/>
      <c r="V15" s="38">
        <f>SUM(E15+H15+K15+N15+Q15+T15)-U15</f>
        <v>86700</v>
      </c>
    </row>
    <row r="16" spans="1:22" ht="25.5" customHeight="1">
      <c r="A16" s="9">
        <v>12</v>
      </c>
      <c r="B16" s="9" t="s">
        <v>27</v>
      </c>
      <c r="C16" s="23">
        <v>5840</v>
      </c>
      <c r="D16" s="17">
        <v>18</v>
      </c>
      <c r="E16" s="56">
        <f t="shared" si="0"/>
        <v>105120</v>
      </c>
      <c r="F16" s="3">
        <v>300</v>
      </c>
      <c r="G16" s="17"/>
      <c r="H16" s="56">
        <f t="shared" si="1"/>
        <v>0</v>
      </c>
      <c r="I16" s="3">
        <v>940</v>
      </c>
      <c r="J16" s="22">
        <v>0</v>
      </c>
      <c r="K16" s="56">
        <f t="shared" si="2"/>
        <v>0</v>
      </c>
      <c r="L16" s="3">
        <v>270</v>
      </c>
      <c r="M16" s="22">
        <v>36</v>
      </c>
      <c r="N16" s="57">
        <f t="shared" si="3"/>
        <v>9720</v>
      </c>
      <c r="O16" s="23">
        <v>2800</v>
      </c>
      <c r="P16" s="22"/>
      <c r="Q16" s="58">
        <f t="shared" si="4"/>
        <v>0</v>
      </c>
      <c r="R16" s="21">
        <v>1000</v>
      </c>
      <c r="S16" s="22"/>
      <c r="T16" s="18">
        <f t="shared" si="5"/>
        <v>0</v>
      </c>
      <c r="U16" s="18"/>
      <c r="V16" s="38">
        <f>SUM(E16+H16+K16+N16+Q16+T16)-U16</f>
        <v>114840</v>
      </c>
    </row>
    <row r="17" spans="1:22" ht="18" customHeight="1">
      <c r="A17" s="9">
        <v>13</v>
      </c>
      <c r="B17" s="9" t="s">
        <v>52</v>
      </c>
      <c r="C17" s="23">
        <v>5840</v>
      </c>
      <c r="D17" s="17">
        <v>20</v>
      </c>
      <c r="E17" s="56">
        <f t="shared" si="0"/>
        <v>116800</v>
      </c>
      <c r="F17" s="3">
        <v>300</v>
      </c>
      <c r="G17" s="17"/>
      <c r="H17" s="56">
        <f t="shared" si="1"/>
        <v>0</v>
      </c>
      <c r="I17" s="3">
        <v>940</v>
      </c>
      <c r="J17" s="22"/>
      <c r="K17" s="56">
        <f t="shared" si="2"/>
        <v>0</v>
      </c>
      <c r="L17" s="3">
        <v>270</v>
      </c>
      <c r="M17" s="22">
        <v>40</v>
      </c>
      <c r="N17" s="57">
        <f t="shared" si="3"/>
        <v>10800</v>
      </c>
      <c r="O17" s="23">
        <v>2800</v>
      </c>
      <c r="P17" s="22"/>
      <c r="Q17" s="58">
        <f t="shared" si="4"/>
        <v>0</v>
      </c>
      <c r="R17" s="21">
        <v>1000</v>
      </c>
      <c r="S17" s="22"/>
      <c r="T17" s="18">
        <f t="shared" si="5"/>
        <v>0</v>
      </c>
      <c r="U17" s="18"/>
      <c r="V17" s="38">
        <f t="shared" ref="V17" si="7">SUM(E17+H17+K17+N17+Q17+T17)-U17</f>
        <v>127600</v>
      </c>
    </row>
    <row r="18" spans="1:22" ht="30" customHeight="1">
      <c r="A18" s="24"/>
      <c r="B18" s="24"/>
      <c r="C18" s="24"/>
      <c r="D18" s="24"/>
      <c r="E18" s="59">
        <f>SUM(E6:E17)</f>
        <v>1243920</v>
      </c>
      <c r="F18" s="21"/>
      <c r="G18" s="21"/>
      <c r="H18" s="59">
        <f>SUM(H6:H17)</f>
        <v>0</v>
      </c>
      <c r="I18" s="21"/>
      <c r="J18" s="21"/>
      <c r="K18" s="59">
        <f>SUM(K6:K17)</f>
        <v>14100</v>
      </c>
      <c r="L18" s="21"/>
      <c r="M18" s="21"/>
      <c r="N18" s="59">
        <f>SUM(N6:N17)</f>
        <v>93420</v>
      </c>
      <c r="O18" s="21"/>
      <c r="P18" s="24"/>
      <c r="Q18" s="21">
        <f>SUM(Q6:Q17)</f>
        <v>0</v>
      </c>
      <c r="R18" s="24"/>
      <c r="S18" s="24"/>
      <c r="T18" s="21">
        <f>SUM(T6:T17)</f>
        <v>0</v>
      </c>
      <c r="U18" s="21">
        <f>SUM(U6:U17)</f>
        <v>0</v>
      </c>
      <c r="V18" s="60">
        <f>SUM(V6:V17)</f>
        <v>1351440</v>
      </c>
    </row>
    <row r="20" spans="1:22" ht="30" customHeight="1">
      <c r="N20" s="28"/>
      <c r="O20" s="90" t="s">
        <v>29</v>
      </c>
      <c r="P20" s="90"/>
      <c r="Q20" s="90"/>
      <c r="R20" s="29"/>
      <c r="S20" s="29"/>
      <c r="T20" s="29"/>
      <c r="U20" s="29"/>
      <c r="V20" s="61">
        <f>V18</f>
        <v>1351440</v>
      </c>
    </row>
    <row r="21" spans="1:22" ht="30" customHeight="1" thickBot="1">
      <c r="N21" s="36"/>
      <c r="O21" s="91" t="s">
        <v>30</v>
      </c>
      <c r="P21" s="91"/>
      <c r="Q21" s="91"/>
      <c r="R21" s="31"/>
      <c r="S21" s="31"/>
      <c r="T21" s="31"/>
      <c r="U21" s="31"/>
      <c r="V21" s="62">
        <f>V52</f>
        <v>1399020</v>
      </c>
    </row>
    <row r="22" spans="1:22" ht="30" customHeight="1" thickTop="1">
      <c r="N22" s="36"/>
      <c r="O22" s="92" t="s">
        <v>2</v>
      </c>
      <c r="P22" s="92"/>
      <c r="Q22" s="92"/>
      <c r="R22" s="33"/>
      <c r="S22" s="33"/>
      <c r="T22" s="33"/>
      <c r="U22" s="33"/>
      <c r="V22" s="64">
        <f>V20+V21</f>
        <v>2750460</v>
      </c>
    </row>
    <row r="23" spans="1:22" ht="13.5" customHeight="1">
      <c r="N23" s="36"/>
      <c r="O23" s="36"/>
      <c r="P23" s="36"/>
      <c r="Q23" s="36"/>
      <c r="R23" s="36"/>
      <c r="S23" s="36"/>
      <c r="T23" s="36"/>
      <c r="U23" s="36"/>
      <c r="V23" s="36"/>
    </row>
    <row r="24" spans="1:22" ht="9" customHeight="1">
      <c r="N24" s="36"/>
      <c r="O24" s="36"/>
      <c r="P24" s="36"/>
      <c r="Q24" s="36"/>
      <c r="R24" s="36"/>
      <c r="S24" s="36"/>
      <c r="T24" s="36"/>
      <c r="U24" s="36"/>
      <c r="V24" s="36"/>
    </row>
    <row r="25" spans="1:22" hidden="1"/>
    <row r="26" spans="1:22" hidden="1"/>
    <row r="27" spans="1:22" hidden="1"/>
    <row r="28" spans="1:22" ht="27" customHeight="1">
      <c r="D28" s="84" t="s">
        <v>12</v>
      </c>
      <c r="E28" s="85"/>
      <c r="F28" s="85"/>
      <c r="G28" s="85"/>
      <c r="H28" s="85"/>
    </row>
    <row r="29" spans="1:22" ht="18" customHeight="1">
      <c r="B29" s="1" t="s">
        <v>11</v>
      </c>
    </row>
    <row r="30" spans="1:22" ht="21.75" customHeight="1">
      <c r="A30" s="86" t="s">
        <v>48</v>
      </c>
      <c r="B30" s="8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</row>
    <row r="31" spans="1:22" ht="21.75" customHeight="1">
      <c r="A31" s="88"/>
      <c r="B31" s="89"/>
      <c r="C31" s="75" t="s">
        <v>9</v>
      </c>
      <c r="D31" s="76"/>
      <c r="E31" s="77"/>
      <c r="F31" s="75" t="s">
        <v>8</v>
      </c>
      <c r="G31" s="76"/>
      <c r="H31" s="77"/>
      <c r="I31" s="75" t="s">
        <v>7</v>
      </c>
      <c r="J31" s="76"/>
      <c r="K31" s="77"/>
      <c r="L31" s="75" t="s">
        <v>6</v>
      </c>
      <c r="M31" s="76"/>
      <c r="N31" s="77"/>
      <c r="O31" s="75" t="s">
        <v>5</v>
      </c>
      <c r="P31" s="76"/>
      <c r="Q31" s="77"/>
      <c r="R31" s="75" t="s">
        <v>4</v>
      </c>
      <c r="S31" s="76"/>
      <c r="T31" s="77"/>
      <c r="U31" s="78" t="s">
        <v>3</v>
      </c>
      <c r="V31" s="80" t="s">
        <v>2</v>
      </c>
    </row>
    <row r="32" spans="1:22" ht="21.75" customHeight="1" thickBot="1">
      <c r="A32" s="68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79"/>
      <c r="V32" s="81"/>
    </row>
    <row r="33" spans="1:22" ht="19.5" customHeight="1" thickTop="1">
      <c r="A33" s="3">
        <v>1</v>
      </c>
      <c r="B33" s="37" t="s">
        <v>31</v>
      </c>
      <c r="C33" s="23">
        <v>5840</v>
      </c>
      <c r="D33" s="17">
        <v>19</v>
      </c>
      <c r="E33" s="18">
        <f t="shared" ref="E33:E48" si="8">SUM(C33*D33)</f>
        <v>110960</v>
      </c>
      <c r="F33" s="3">
        <v>300</v>
      </c>
      <c r="G33" s="17"/>
      <c r="H33" s="18">
        <f t="shared" ref="H33:H48" si="9">SUM(F33*G33)</f>
        <v>0</v>
      </c>
      <c r="I33" s="3">
        <v>940</v>
      </c>
      <c r="J33" s="17">
        <v>1</v>
      </c>
      <c r="K33" s="58">
        <f t="shared" ref="K33:K48" si="10">SUM(I33*J33)</f>
        <v>940</v>
      </c>
      <c r="L33" s="3">
        <v>130</v>
      </c>
      <c r="M33" s="17">
        <v>38</v>
      </c>
      <c r="N33" s="69">
        <f t="shared" ref="N33:N48" si="11">SUM(L33*M33)</f>
        <v>4940</v>
      </c>
      <c r="O33" s="23">
        <v>2800</v>
      </c>
      <c r="P33" s="17"/>
      <c r="Q33" s="58">
        <f t="shared" ref="Q33:Q48" si="12">SUM(O33*P33)</f>
        <v>0</v>
      </c>
      <c r="R33" s="23">
        <v>1000</v>
      </c>
      <c r="S33" s="17"/>
      <c r="T33" s="18">
        <f t="shared" ref="T33:T48" si="13">SUM(S33*R33)</f>
        <v>0</v>
      </c>
      <c r="U33" s="18"/>
      <c r="V33" s="38">
        <f t="shared" ref="V33:V40" si="14">SUM(E33+H33+K33+N33+Q33+T33)</f>
        <v>116840</v>
      </c>
    </row>
    <row r="34" spans="1:22" ht="19.5" customHeight="1">
      <c r="A34" s="24">
        <v>2</v>
      </c>
      <c r="B34" s="39" t="s">
        <v>32</v>
      </c>
      <c r="C34" s="23">
        <v>5840</v>
      </c>
      <c r="D34" s="17">
        <v>20</v>
      </c>
      <c r="E34" s="18">
        <f t="shared" si="8"/>
        <v>116800</v>
      </c>
      <c r="F34" s="3">
        <v>300</v>
      </c>
      <c r="G34" s="17"/>
      <c r="H34" s="18">
        <f t="shared" si="9"/>
        <v>0</v>
      </c>
      <c r="I34" s="3">
        <v>940</v>
      </c>
      <c r="J34" s="22"/>
      <c r="K34" s="58">
        <f t="shared" si="10"/>
        <v>0</v>
      </c>
      <c r="L34" s="3">
        <v>130</v>
      </c>
      <c r="M34" s="22">
        <v>40</v>
      </c>
      <c r="N34" s="69">
        <f t="shared" si="11"/>
        <v>5200</v>
      </c>
      <c r="O34" s="23">
        <v>2800</v>
      </c>
      <c r="P34" s="22"/>
      <c r="Q34" s="58">
        <f t="shared" si="12"/>
        <v>0</v>
      </c>
      <c r="R34" s="21">
        <v>1000</v>
      </c>
      <c r="S34" s="22"/>
      <c r="T34" s="18">
        <f t="shared" si="13"/>
        <v>0</v>
      </c>
      <c r="U34" s="18"/>
      <c r="V34" s="38">
        <f t="shared" si="14"/>
        <v>122000</v>
      </c>
    </row>
    <row r="35" spans="1:22" ht="19.5" customHeight="1">
      <c r="A35" s="24">
        <v>3</v>
      </c>
      <c r="B35" s="39" t="s">
        <v>33</v>
      </c>
      <c r="C35" s="23">
        <v>5840</v>
      </c>
      <c r="D35" s="17">
        <v>6</v>
      </c>
      <c r="E35" s="18">
        <f t="shared" si="8"/>
        <v>35040</v>
      </c>
      <c r="F35" s="3">
        <v>300</v>
      </c>
      <c r="G35" s="17"/>
      <c r="H35" s="18">
        <f t="shared" si="9"/>
        <v>0</v>
      </c>
      <c r="I35" s="3">
        <v>940</v>
      </c>
      <c r="J35" s="22">
        <v>4</v>
      </c>
      <c r="K35" s="58">
        <f t="shared" si="10"/>
        <v>3760</v>
      </c>
      <c r="L35" s="3">
        <v>130</v>
      </c>
      <c r="M35" s="22">
        <v>12</v>
      </c>
      <c r="N35" s="69">
        <f t="shared" si="11"/>
        <v>1560</v>
      </c>
      <c r="O35" s="23">
        <v>2800</v>
      </c>
      <c r="P35" s="22"/>
      <c r="Q35" s="58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si="14"/>
        <v>40360</v>
      </c>
    </row>
    <row r="36" spans="1:22" ht="19.5" customHeight="1">
      <c r="A36" s="24">
        <v>4</v>
      </c>
      <c r="B36" s="39" t="s">
        <v>34</v>
      </c>
      <c r="C36" s="23">
        <v>5840</v>
      </c>
      <c r="D36" s="17">
        <v>7</v>
      </c>
      <c r="E36" s="18">
        <f t="shared" si="8"/>
        <v>40880</v>
      </c>
      <c r="F36" s="3">
        <v>300</v>
      </c>
      <c r="G36" s="17"/>
      <c r="H36" s="18">
        <f t="shared" si="9"/>
        <v>0</v>
      </c>
      <c r="I36" s="3">
        <v>940</v>
      </c>
      <c r="J36" s="22">
        <v>4</v>
      </c>
      <c r="K36" s="58">
        <f t="shared" si="10"/>
        <v>3760</v>
      </c>
      <c r="L36" s="3">
        <v>130</v>
      </c>
      <c r="M36" s="22">
        <v>14</v>
      </c>
      <c r="N36" s="69">
        <f t="shared" si="11"/>
        <v>1820</v>
      </c>
      <c r="O36" s="23">
        <v>2800</v>
      </c>
      <c r="P36" s="22"/>
      <c r="Q36" s="58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4"/>
        <v>46460</v>
      </c>
    </row>
    <row r="37" spans="1:22" ht="19.5" customHeight="1">
      <c r="A37" s="24">
        <v>5</v>
      </c>
      <c r="B37" s="39" t="s">
        <v>35</v>
      </c>
      <c r="C37" s="23">
        <v>5840</v>
      </c>
      <c r="D37" s="17">
        <v>12</v>
      </c>
      <c r="E37" s="18">
        <f t="shared" si="8"/>
        <v>70080</v>
      </c>
      <c r="F37" s="3">
        <v>300</v>
      </c>
      <c r="G37" s="17"/>
      <c r="H37" s="18">
        <f t="shared" si="9"/>
        <v>0</v>
      </c>
      <c r="I37" s="3">
        <v>940</v>
      </c>
      <c r="J37" s="22">
        <v>4</v>
      </c>
      <c r="K37" s="58">
        <f t="shared" si="10"/>
        <v>3760</v>
      </c>
      <c r="L37" s="3">
        <v>130</v>
      </c>
      <c r="M37" s="22"/>
      <c r="N37" s="69">
        <f t="shared" si="11"/>
        <v>0</v>
      </c>
      <c r="O37" s="23">
        <v>2800</v>
      </c>
      <c r="P37" s="22"/>
      <c r="Q37" s="58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4"/>
        <v>73840</v>
      </c>
    </row>
    <row r="38" spans="1:22" ht="19.5" customHeight="1">
      <c r="A38" s="24">
        <v>6</v>
      </c>
      <c r="B38" s="39" t="s">
        <v>36</v>
      </c>
      <c r="C38" s="23">
        <v>5840</v>
      </c>
      <c r="D38" s="17">
        <v>19</v>
      </c>
      <c r="E38" s="18">
        <f t="shared" si="8"/>
        <v>110960</v>
      </c>
      <c r="F38" s="3">
        <v>300</v>
      </c>
      <c r="G38" s="17"/>
      <c r="H38" s="18">
        <f t="shared" si="9"/>
        <v>0</v>
      </c>
      <c r="I38" s="3">
        <v>940</v>
      </c>
      <c r="J38" s="22">
        <v>1</v>
      </c>
      <c r="K38" s="58">
        <f t="shared" si="10"/>
        <v>940</v>
      </c>
      <c r="L38" s="3">
        <v>130</v>
      </c>
      <c r="M38" s="22">
        <v>38</v>
      </c>
      <c r="N38" s="69">
        <f t="shared" si="11"/>
        <v>4940</v>
      </c>
      <c r="O38" s="23">
        <v>2800</v>
      </c>
      <c r="P38" s="22"/>
      <c r="Q38" s="58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4"/>
        <v>116840</v>
      </c>
    </row>
    <row r="39" spans="1:22" ht="19.5" customHeight="1">
      <c r="A39" s="24">
        <v>7</v>
      </c>
      <c r="B39" s="39" t="s">
        <v>37</v>
      </c>
      <c r="C39" s="23">
        <v>5840</v>
      </c>
      <c r="D39" s="17">
        <v>19</v>
      </c>
      <c r="E39" s="18">
        <f t="shared" si="8"/>
        <v>110960</v>
      </c>
      <c r="F39" s="3">
        <v>300</v>
      </c>
      <c r="G39" s="17"/>
      <c r="H39" s="18">
        <f t="shared" si="9"/>
        <v>0</v>
      </c>
      <c r="I39" s="3">
        <v>940</v>
      </c>
      <c r="J39" s="22">
        <v>1</v>
      </c>
      <c r="K39" s="58">
        <f t="shared" si="10"/>
        <v>940</v>
      </c>
      <c r="L39" s="3">
        <v>130</v>
      </c>
      <c r="M39" s="22"/>
      <c r="N39" s="69">
        <f t="shared" si="11"/>
        <v>0</v>
      </c>
      <c r="O39" s="23">
        <v>2800</v>
      </c>
      <c r="P39" s="22"/>
      <c r="Q39" s="58">
        <f t="shared" si="12"/>
        <v>0</v>
      </c>
      <c r="R39" s="21">
        <v>1000</v>
      </c>
      <c r="S39" s="22"/>
      <c r="T39" s="18">
        <f t="shared" si="13"/>
        <v>0</v>
      </c>
      <c r="U39" s="18"/>
      <c r="V39" s="38">
        <f t="shared" si="14"/>
        <v>111900</v>
      </c>
    </row>
    <row r="40" spans="1:22" ht="19.5" customHeight="1">
      <c r="A40" s="24">
        <v>8</v>
      </c>
      <c r="B40" s="39" t="s">
        <v>38</v>
      </c>
      <c r="C40" s="23">
        <v>5840</v>
      </c>
      <c r="D40" s="17">
        <v>18</v>
      </c>
      <c r="E40" s="18">
        <f t="shared" si="8"/>
        <v>105120</v>
      </c>
      <c r="F40" s="3">
        <v>300</v>
      </c>
      <c r="G40" s="17"/>
      <c r="H40" s="18">
        <f t="shared" si="9"/>
        <v>0</v>
      </c>
      <c r="I40" s="3">
        <v>940</v>
      </c>
      <c r="J40" s="22">
        <v>2</v>
      </c>
      <c r="K40" s="58">
        <f t="shared" si="10"/>
        <v>1880</v>
      </c>
      <c r="L40" s="3">
        <v>130</v>
      </c>
      <c r="M40" s="22">
        <v>36</v>
      </c>
      <c r="N40" s="69">
        <f t="shared" si="11"/>
        <v>4680</v>
      </c>
      <c r="O40" s="23">
        <v>2800</v>
      </c>
      <c r="P40" s="22"/>
      <c r="Q40" s="58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4"/>
        <v>111680</v>
      </c>
    </row>
    <row r="41" spans="1:22" ht="19.5" customHeight="1">
      <c r="A41" s="24">
        <v>9</v>
      </c>
      <c r="B41" s="37" t="s">
        <v>39</v>
      </c>
      <c r="C41" s="23">
        <v>5840</v>
      </c>
      <c r="D41" s="17">
        <v>15</v>
      </c>
      <c r="E41" s="18">
        <f t="shared" si="8"/>
        <v>87600</v>
      </c>
      <c r="F41" s="3">
        <v>300</v>
      </c>
      <c r="G41" s="17"/>
      <c r="H41" s="18">
        <f t="shared" si="9"/>
        <v>0</v>
      </c>
      <c r="I41" s="3">
        <v>940</v>
      </c>
      <c r="J41" s="17">
        <v>4</v>
      </c>
      <c r="K41" s="58">
        <f t="shared" si="10"/>
        <v>3760</v>
      </c>
      <c r="L41" s="3">
        <v>130</v>
      </c>
      <c r="M41" s="17">
        <v>30</v>
      </c>
      <c r="N41" s="69">
        <f t="shared" si="11"/>
        <v>3900</v>
      </c>
      <c r="O41" s="23">
        <v>2800</v>
      </c>
      <c r="P41" s="17"/>
      <c r="Q41" s="58">
        <f t="shared" si="12"/>
        <v>0</v>
      </c>
      <c r="R41" s="23">
        <v>1000</v>
      </c>
      <c r="S41" s="17"/>
      <c r="T41" s="18">
        <f t="shared" si="13"/>
        <v>0</v>
      </c>
      <c r="U41" s="18"/>
      <c r="V41" s="38">
        <f>SUM(E41+H41+K41+N41+Q41+T41)-U41</f>
        <v>95260</v>
      </c>
    </row>
    <row r="42" spans="1:22" ht="19.5" customHeight="1">
      <c r="A42" s="24">
        <v>10</v>
      </c>
      <c r="B42" s="37" t="s">
        <v>40</v>
      </c>
      <c r="C42" s="23">
        <v>5840</v>
      </c>
      <c r="D42" s="17">
        <v>1</v>
      </c>
      <c r="E42" s="18">
        <f t="shared" si="8"/>
        <v>5840</v>
      </c>
      <c r="F42" s="3">
        <v>300</v>
      </c>
      <c r="G42" s="17"/>
      <c r="H42" s="18">
        <f t="shared" si="9"/>
        <v>0</v>
      </c>
      <c r="I42" s="3">
        <v>940</v>
      </c>
      <c r="J42" s="22"/>
      <c r="K42" s="58">
        <f t="shared" si="10"/>
        <v>0</v>
      </c>
      <c r="L42" s="3">
        <v>130</v>
      </c>
      <c r="M42" s="22">
        <v>2</v>
      </c>
      <c r="N42" s="69">
        <f t="shared" si="11"/>
        <v>260</v>
      </c>
      <c r="O42" s="23">
        <v>2800</v>
      </c>
      <c r="P42" s="22"/>
      <c r="Q42" s="58">
        <f t="shared" si="12"/>
        <v>0</v>
      </c>
      <c r="R42" s="21">
        <v>1000</v>
      </c>
      <c r="S42" s="22"/>
      <c r="T42" s="18">
        <f t="shared" si="13"/>
        <v>0</v>
      </c>
      <c r="U42" s="18"/>
      <c r="V42" s="38">
        <f>SUM(E42+H42+K42+N42+Q42+T42)-U42</f>
        <v>6100</v>
      </c>
    </row>
    <row r="43" spans="1:22" ht="19.5" customHeight="1">
      <c r="A43" s="24">
        <v>11</v>
      </c>
      <c r="B43" s="39" t="s">
        <v>41</v>
      </c>
      <c r="C43" s="23">
        <v>5840</v>
      </c>
      <c r="D43" s="17">
        <v>18</v>
      </c>
      <c r="E43" s="18">
        <f t="shared" si="8"/>
        <v>105120</v>
      </c>
      <c r="F43" s="3">
        <v>300</v>
      </c>
      <c r="G43" s="17"/>
      <c r="H43" s="18">
        <f t="shared" si="9"/>
        <v>0</v>
      </c>
      <c r="I43" s="3">
        <v>940</v>
      </c>
      <c r="J43" s="22">
        <v>2</v>
      </c>
      <c r="K43" s="58">
        <f t="shared" si="10"/>
        <v>1880</v>
      </c>
      <c r="L43" s="3">
        <v>130</v>
      </c>
      <c r="M43" s="22">
        <v>36</v>
      </c>
      <c r="N43" s="69">
        <f t="shared" si="11"/>
        <v>4680</v>
      </c>
      <c r="O43" s="23">
        <v>2800</v>
      </c>
      <c r="P43" s="22"/>
      <c r="Q43" s="58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>SUM(E43+H43+K43+N43+Q43+T43)-U43</f>
        <v>111680</v>
      </c>
    </row>
    <row r="44" spans="1:22" ht="19.5" customHeight="1">
      <c r="A44" s="24">
        <v>12</v>
      </c>
      <c r="B44" s="39" t="s">
        <v>42</v>
      </c>
      <c r="C44" s="23">
        <v>5840</v>
      </c>
      <c r="D44" s="17">
        <v>19</v>
      </c>
      <c r="E44" s="18">
        <f t="shared" si="8"/>
        <v>110960</v>
      </c>
      <c r="F44" s="3">
        <v>300</v>
      </c>
      <c r="G44" s="17"/>
      <c r="H44" s="18">
        <f t="shared" si="9"/>
        <v>0</v>
      </c>
      <c r="I44" s="3">
        <v>940</v>
      </c>
      <c r="J44" s="22">
        <v>1</v>
      </c>
      <c r="K44" s="58">
        <f t="shared" si="10"/>
        <v>940</v>
      </c>
      <c r="L44" s="3">
        <v>130</v>
      </c>
      <c r="M44" s="22">
        <v>38</v>
      </c>
      <c r="N44" s="69">
        <f t="shared" si="11"/>
        <v>4940</v>
      </c>
      <c r="O44" s="23">
        <v>2800</v>
      </c>
      <c r="P44" s="22"/>
      <c r="Q44" s="58">
        <f t="shared" si="12"/>
        <v>0</v>
      </c>
      <c r="R44" s="21">
        <v>1001</v>
      </c>
      <c r="S44" s="22"/>
      <c r="T44" s="18">
        <f t="shared" si="13"/>
        <v>0</v>
      </c>
      <c r="U44" s="18"/>
      <c r="V44" s="38">
        <f t="shared" ref="V44:V45" si="15">SUM(E44+H44+K44+N44+Q44+T44)-U44</f>
        <v>116840</v>
      </c>
    </row>
    <row r="45" spans="1:22" ht="19.5" customHeight="1">
      <c r="A45" s="24">
        <v>13</v>
      </c>
      <c r="B45" s="39" t="s">
        <v>44</v>
      </c>
      <c r="C45" s="23">
        <v>5840</v>
      </c>
      <c r="D45" s="17">
        <v>14</v>
      </c>
      <c r="E45" s="18">
        <f t="shared" si="8"/>
        <v>81760</v>
      </c>
      <c r="F45" s="3">
        <v>300</v>
      </c>
      <c r="G45" s="17"/>
      <c r="H45" s="18">
        <f t="shared" si="9"/>
        <v>0</v>
      </c>
      <c r="I45" s="3">
        <v>940</v>
      </c>
      <c r="J45" s="22">
        <v>4</v>
      </c>
      <c r="K45" s="58">
        <f t="shared" si="10"/>
        <v>3760</v>
      </c>
      <c r="L45" s="3">
        <v>130</v>
      </c>
      <c r="M45" s="22"/>
      <c r="N45" s="69">
        <f t="shared" si="11"/>
        <v>0</v>
      </c>
      <c r="O45" s="23">
        <v>2800</v>
      </c>
      <c r="P45" s="22"/>
      <c r="Q45" s="58">
        <f t="shared" si="12"/>
        <v>0</v>
      </c>
      <c r="R45" s="21">
        <v>1002</v>
      </c>
      <c r="S45" s="22"/>
      <c r="T45" s="18">
        <f t="shared" si="13"/>
        <v>0</v>
      </c>
      <c r="U45" s="18"/>
      <c r="V45" s="38">
        <f t="shared" si="15"/>
        <v>85520</v>
      </c>
    </row>
    <row r="46" spans="1:22" ht="19.5" customHeight="1">
      <c r="A46" s="24">
        <v>14</v>
      </c>
      <c r="B46" s="39" t="s">
        <v>45</v>
      </c>
      <c r="C46" s="23">
        <v>8040</v>
      </c>
      <c r="D46" s="17">
        <v>20</v>
      </c>
      <c r="E46" s="18">
        <f t="shared" si="8"/>
        <v>160800</v>
      </c>
      <c r="F46" s="3">
        <v>300</v>
      </c>
      <c r="G46" s="17">
        <v>20</v>
      </c>
      <c r="H46" s="18">
        <f t="shared" si="9"/>
        <v>6000</v>
      </c>
      <c r="I46" s="3">
        <v>940</v>
      </c>
      <c r="J46" s="22"/>
      <c r="K46" s="58">
        <f t="shared" si="10"/>
        <v>0</v>
      </c>
      <c r="L46" s="3">
        <v>130</v>
      </c>
      <c r="M46" s="22">
        <v>40</v>
      </c>
      <c r="N46" s="69">
        <f t="shared" si="11"/>
        <v>5200</v>
      </c>
      <c r="O46" s="23">
        <v>2800</v>
      </c>
      <c r="P46" s="22"/>
      <c r="Q46" s="58">
        <f t="shared" si="12"/>
        <v>0</v>
      </c>
      <c r="R46" s="21">
        <v>1000</v>
      </c>
      <c r="S46" s="22"/>
      <c r="T46" s="18">
        <f t="shared" si="13"/>
        <v>0</v>
      </c>
      <c r="U46" s="18"/>
      <c r="V46" s="38">
        <f>SUM(E46+H46+K46+N46+Q46+T46)</f>
        <v>172000</v>
      </c>
    </row>
    <row r="47" spans="1:22" ht="19.5" customHeight="1">
      <c r="A47" s="24">
        <v>15</v>
      </c>
      <c r="B47" s="39" t="s">
        <v>46</v>
      </c>
      <c r="C47" s="23">
        <v>8040</v>
      </c>
      <c r="D47" s="17">
        <v>17</v>
      </c>
      <c r="E47" s="18">
        <f t="shared" si="8"/>
        <v>136680</v>
      </c>
      <c r="F47" s="3">
        <v>300</v>
      </c>
      <c r="G47" s="17">
        <v>17</v>
      </c>
      <c r="H47" s="18">
        <f t="shared" si="9"/>
        <v>5100</v>
      </c>
      <c r="I47" s="3">
        <v>940</v>
      </c>
      <c r="J47" s="22">
        <v>1</v>
      </c>
      <c r="K47" s="58">
        <f t="shared" si="10"/>
        <v>940</v>
      </c>
      <c r="L47" s="3">
        <v>130</v>
      </c>
      <c r="M47" s="22">
        <v>34</v>
      </c>
      <c r="N47" s="69">
        <f t="shared" si="11"/>
        <v>4420</v>
      </c>
      <c r="O47" s="23">
        <v>2800</v>
      </c>
      <c r="P47" s="22"/>
      <c r="Q47" s="58">
        <f t="shared" si="12"/>
        <v>0</v>
      </c>
      <c r="R47" s="21">
        <v>1000</v>
      </c>
      <c r="S47" s="22"/>
      <c r="T47" s="18">
        <f t="shared" si="13"/>
        <v>0</v>
      </c>
      <c r="U47" s="18"/>
      <c r="V47" s="38">
        <f>SUM(E47+H47+K47+N47+Q47+T47)</f>
        <v>147140</v>
      </c>
    </row>
    <row r="48" spans="1:22" ht="19.5" customHeight="1">
      <c r="A48" s="24">
        <v>16</v>
      </c>
      <c r="B48" s="39" t="s">
        <v>47</v>
      </c>
      <c r="C48" s="23">
        <v>8040</v>
      </c>
      <c r="D48" s="17">
        <v>20</v>
      </c>
      <c r="E48" s="18">
        <f t="shared" si="8"/>
        <v>160800</v>
      </c>
      <c r="F48" s="3"/>
      <c r="G48" s="17"/>
      <c r="H48" s="18">
        <f t="shared" si="9"/>
        <v>0</v>
      </c>
      <c r="I48" s="3"/>
      <c r="J48" s="22"/>
      <c r="K48" s="58">
        <f t="shared" si="10"/>
        <v>0</v>
      </c>
      <c r="L48" s="3">
        <v>130</v>
      </c>
      <c r="M48" s="22">
        <v>20</v>
      </c>
      <c r="N48" s="69">
        <f t="shared" si="11"/>
        <v>2600</v>
      </c>
      <c r="O48" s="23"/>
      <c r="P48" s="22"/>
      <c r="Q48" s="58">
        <f t="shared" si="12"/>
        <v>0</v>
      </c>
      <c r="R48" s="21"/>
      <c r="S48" s="22"/>
      <c r="T48" s="18">
        <f t="shared" si="13"/>
        <v>0</v>
      </c>
      <c r="U48" s="18"/>
      <c r="V48" s="38">
        <f>SUM(E48+H48+K48+N48+Q48+T48)</f>
        <v>163400</v>
      </c>
    </row>
    <row r="49" spans="1:22" ht="19.5" customHeight="1">
      <c r="A49" s="24"/>
      <c r="B49" s="39"/>
      <c r="C49" s="11"/>
      <c r="D49" s="12"/>
      <c r="E49" s="13"/>
      <c r="F49" s="14"/>
      <c r="G49" s="12"/>
      <c r="H49" s="13"/>
      <c r="I49" s="14"/>
      <c r="J49" s="20"/>
      <c r="K49" s="13"/>
      <c r="L49" s="14"/>
      <c r="M49" s="20"/>
      <c r="N49" s="15"/>
      <c r="O49" s="11"/>
      <c r="P49" s="20"/>
      <c r="Q49" s="13"/>
      <c r="R49" s="21"/>
      <c r="S49" s="22"/>
      <c r="T49" s="18"/>
      <c r="U49" s="18"/>
      <c r="V49" s="38"/>
    </row>
    <row r="50" spans="1:22" ht="19.5" customHeight="1">
      <c r="A50" s="24"/>
      <c r="B50" s="39"/>
      <c r="C50" s="11"/>
      <c r="D50" s="12"/>
      <c r="E50" s="13"/>
      <c r="F50" s="14"/>
      <c r="G50" s="12"/>
      <c r="H50" s="13"/>
      <c r="I50" s="14"/>
      <c r="J50" s="20"/>
      <c r="K50" s="13"/>
      <c r="L50" s="14"/>
      <c r="M50" s="20"/>
      <c r="N50" s="15"/>
      <c r="O50" s="11"/>
      <c r="P50" s="20"/>
      <c r="Q50" s="13"/>
      <c r="R50" s="21"/>
      <c r="S50" s="22"/>
      <c r="T50" s="18"/>
      <c r="U50" s="18"/>
      <c r="V50" s="38"/>
    </row>
    <row r="51" spans="1:22" ht="19.5" customHeight="1" thickBot="1">
      <c r="A51" s="5"/>
      <c r="B51" s="5"/>
      <c r="C51" s="40"/>
      <c r="D51" s="41"/>
      <c r="E51" s="42"/>
      <c r="F51" s="43"/>
      <c r="G51" s="41"/>
      <c r="H51" s="42"/>
      <c r="I51" s="43"/>
      <c r="J51" s="41"/>
      <c r="K51" s="42"/>
      <c r="L51" s="43"/>
      <c r="M51" s="41"/>
      <c r="N51" s="44"/>
      <c r="O51" s="40"/>
      <c r="P51" s="41"/>
      <c r="Q51" s="42"/>
      <c r="R51" s="8"/>
      <c r="S51" s="45"/>
      <c r="T51" s="46"/>
      <c r="U51" s="46"/>
      <c r="V51" s="47"/>
    </row>
    <row r="52" spans="1:22" ht="19.5" customHeight="1" thickTop="1">
      <c r="A52" s="24"/>
      <c r="B52" s="24"/>
      <c r="C52" s="24"/>
      <c r="D52" s="24"/>
      <c r="E52" s="70">
        <f>SUM(E35:E51)</f>
        <v>1322600</v>
      </c>
      <c r="F52" s="21"/>
      <c r="G52" s="21"/>
      <c r="H52" s="21">
        <f>SUM(H35:H51)</f>
        <v>11100</v>
      </c>
      <c r="I52" s="21"/>
      <c r="J52" s="21"/>
      <c r="K52" s="21">
        <f>SUM(K35:K51)</f>
        <v>26320</v>
      </c>
      <c r="L52" s="21"/>
      <c r="M52" s="21"/>
      <c r="N52" s="21">
        <f>SUM(N35:N51)</f>
        <v>39000</v>
      </c>
      <c r="O52" s="21"/>
      <c r="P52" s="24"/>
      <c r="Q52" s="21">
        <f>SUM(Q35:Q51)</f>
        <v>0</v>
      </c>
      <c r="R52" s="24"/>
      <c r="S52" s="24"/>
      <c r="T52" s="21">
        <f>SUM(T35:T51)</f>
        <v>0</v>
      </c>
      <c r="U52" s="21">
        <f>SUM(U35:U51)</f>
        <v>0</v>
      </c>
      <c r="V52" s="21">
        <f>SUM(V35:V51)</f>
        <v>1399020</v>
      </c>
    </row>
    <row r="53" spans="1:22" ht="19.5" customHeight="1">
      <c r="E53" s="1"/>
      <c r="H53" s="1"/>
      <c r="K53" s="1"/>
      <c r="N53" s="1"/>
    </row>
    <row r="54" spans="1:22" ht="19.5" customHeight="1">
      <c r="E54" s="1"/>
      <c r="H54" s="1"/>
      <c r="K54" s="1"/>
      <c r="N54" s="66"/>
      <c r="O54" s="82" t="s">
        <v>29</v>
      </c>
      <c r="P54" s="82"/>
      <c r="Q54" s="82"/>
      <c r="R54" s="50"/>
      <c r="S54" s="50"/>
      <c r="T54" s="50"/>
      <c r="U54" s="50"/>
      <c r="V54" s="51">
        <f>V20</f>
        <v>1351440</v>
      </c>
    </row>
    <row r="55" spans="1:22" ht="19.5" customHeight="1" thickBot="1">
      <c r="E55" s="1"/>
      <c r="H55" s="1"/>
      <c r="K55" s="1"/>
      <c r="N55" s="63"/>
      <c r="O55" s="83" t="s">
        <v>30</v>
      </c>
      <c r="P55" s="83"/>
      <c r="Q55" s="83"/>
      <c r="R55" s="54"/>
      <c r="S55" s="54"/>
      <c r="T55" s="54"/>
      <c r="U55" s="54"/>
      <c r="V55" s="55">
        <f>V52</f>
        <v>1399020</v>
      </c>
    </row>
    <row r="56" spans="1:22" ht="19.5" customHeight="1" thickTop="1">
      <c r="E56" s="1"/>
      <c r="H56" s="1"/>
      <c r="K56" s="1"/>
      <c r="N56" s="66"/>
      <c r="O56" s="74" t="s">
        <v>2</v>
      </c>
      <c r="P56" s="74"/>
      <c r="Q56" s="74"/>
      <c r="R56" s="52"/>
      <c r="S56" s="52"/>
      <c r="T56" s="52"/>
      <c r="U56" s="52"/>
      <c r="V56" s="53">
        <f>V54+V55</f>
        <v>2750460</v>
      </c>
    </row>
    <row r="57" spans="1:22" ht="13.5" customHeight="1">
      <c r="E57" s="1"/>
      <c r="H57" s="1"/>
      <c r="K57" s="1"/>
      <c r="N57" s="1"/>
      <c r="O57" s="66"/>
      <c r="P57" s="66"/>
      <c r="Q57" s="66"/>
      <c r="R57" s="66"/>
      <c r="S57" s="66"/>
      <c r="T57" s="66"/>
      <c r="U57" s="66"/>
      <c r="V57" s="66"/>
    </row>
    <row r="58" spans="1:22" ht="13.5" customHeight="1">
      <c r="E58" s="1"/>
      <c r="H58" s="1"/>
      <c r="K58" s="1"/>
      <c r="N58" s="1"/>
      <c r="R58" s="63"/>
      <c r="S58" s="65"/>
      <c r="T58" s="65"/>
      <c r="U58" s="65"/>
      <c r="V58" s="65"/>
    </row>
  </sheetData>
  <mergeCells count="26">
    <mergeCell ref="L4:N4"/>
    <mergeCell ref="O4:Q4"/>
    <mergeCell ref="D1:H1"/>
    <mergeCell ref="A3:B4"/>
    <mergeCell ref="C4:E4"/>
    <mergeCell ref="F4:H4"/>
    <mergeCell ref="I4:K4"/>
    <mergeCell ref="R4:T4"/>
    <mergeCell ref="U4:U5"/>
    <mergeCell ref="V4:V5"/>
    <mergeCell ref="O20:Q20"/>
    <mergeCell ref="U31:U32"/>
    <mergeCell ref="V31:V32"/>
    <mergeCell ref="O21:Q21"/>
    <mergeCell ref="O22:Q22"/>
    <mergeCell ref="D28:H28"/>
    <mergeCell ref="A30:B31"/>
    <mergeCell ref="C31:E31"/>
    <mergeCell ref="F31:H31"/>
    <mergeCell ref="I31:K31"/>
    <mergeCell ref="O55:Q55"/>
    <mergeCell ref="O56:Q56"/>
    <mergeCell ref="L31:N31"/>
    <mergeCell ref="O31:Q31"/>
    <mergeCell ref="R31:T31"/>
    <mergeCell ref="O54:Q54"/>
  </mergeCells>
  <phoneticPr fontId="2"/>
  <pageMargins left="0.39370078740157483" right="0" top="0.15748031496062992" bottom="0" header="0.19685039370078741" footer="0.19685039370078741"/>
  <pageSetup paperSize="9" fitToHeight="0" orientation="landscape" r:id="rId1"/>
  <headerFooter>
    <oddHeader>&amp;R&amp;K00-033カイト今治</oddHeader>
  </headerFooter>
  <rowBreaks count="1" manualBreakCount="1">
    <brk id="23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7" zoomScale="60" zoomScaleNormal="100" workbookViewId="0">
      <selection activeCell="K37" sqref="K37"/>
    </sheetView>
  </sheetViews>
  <sheetFormatPr defaultRowHeight="17.25"/>
  <cols>
    <col min="1" max="1" width="4.875" style="1" bestFit="1" customWidth="1"/>
    <col min="2" max="2" width="12.75" style="1" customWidth="1"/>
    <col min="3" max="3" width="6.625" style="1" customWidth="1"/>
    <col min="4" max="4" width="5.375" style="1" bestFit="1" customWidth="1"/>
    <col min="5" max="5" width="12.375" style="2" customWidth="1"/>
    <col min="6" max="6" width="5.5" style="1" customWidth="1"/>
    <col min="7" max="7" width="5.25" style="1" bestFit="1" customWidth="1"/>
    <col min="8" max="8" width="7.875" style="2" customWidth="1"/>
    <col min="9" max="9" width="5.625" style="1" customWidth="1"/>
    <col min="10" max="10" width="5.375" style="1" bestFit="1" customWidth="1"/>
    <col min="11" max="11" width="10.625" style="2" customWidth="1"/>
    <col min="12" max="12" width="5.625" style="1" customWidth="1"/>
    <col min="13" max="13" width="5.375" style="1" bestFit="1" customWidth="1"/>
    <col min="14" max="14" width="10.625" style="2" customWidth="1"/>
    <col min="15" max="15" width="6" style="1" customWidth="1"/>
    <col min="16" max="16" width="4.125" style="1" customWidth="1"/>
    <col min="17" max="17" width="6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7.5" style="1" customWidth="1"/>
    <col min="23" max="16384" width="9" style="1"/>
  </cols>
  <sheetData>
    <row r="1" spans="1:22" ht="27" customHeight="1">
      <c r="D1" s="84" t="s">
        <v>12</v>
      </c>
      <c r="E1" s="85"/>
      <c r="F1" s="85"/>
      <c r="G1" s="85"/>
      <c r="H1" s="85"/>
    </row>
    <row r="2" spans="1:22" ht="18" customHeight="1">
      <c r="B2" s="1" t="s">
        <v>13</v>
      </c>
    </row>
    <row r="3" spans="1:22">
      <c r="A3" s="86" t="s">
        <v>10</v>
      </c>
      <c r="B3" s="87"/>
    </row>
    <row r="4" spans="1:22" ht="13.5">
      <c r="A4" s="88"/>
      <c r="B4" s="89"/>
      <c r="C4" s="75" t="s">
        <v>9</v>
      </c>
      <c r="D4" s="76"/>
      <c r="E4" s="77"/>
      <c r="F4" s="75" t="s">
        <v>8</v>
      </c>
      <c r="G4" s="76"/>
      <c r="H4" s="77"/>
      <c r="I4" s="75" t="s">
        <v>7</v>
      </c>
      <c r="J4" s="76"/>
      <c r="K4" s="77"/>
      <c r="L4" s="75" t="s">
        <v>6</v>
      </c>
      <c r="M4" s="76"/>
      <c r="N4" s="77"/>
      <c r="O4" s="75" t="s">
        <v>5</v>
      </c>
      <c r="P4" s="76"/>
      <c r="Q4" s="77"/>
      <c r="R4" s="75" t="s">
        <v>4</v>
      </c>
      <c r="S4" s="76"/>
      <c r="T4" s="77"/>
      <c r="U4" s="78" t="s">
        <v>3</v>
      </c>
      <c r="V4" s="80" t="s">
        <v>2</v>
      </c>
    </row>
    <row r="5" spans="1:22" ht="25.5" customHeight="1" thickBot="1">
      <c r="A5" s="3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130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79"/>
      <c r="V5" s="81"/>
    </row>
    <row r="6" spans="1:22" ht="25.5" customHeight="1" thickTop="1">
      <c r="A6" s="9">
        <v>1</v>
      </c>
      <c r="B6" s="10" t="s">
        <v>17</v>
      </c>
      <c r="C6" s="23">
        <v>5840</v>
      </c>
      <c r="D6" s="17">
        <v>20</v>
      </c>
      <c r="E6" s="56">
        <f t="shared" ref="E6:E17" si="0">SUM(C6*D6)</f>
        <v>116800</v>
      </c>
      <c r="F6" s="3">
        <v>300</v>
      </c>
      <c r="G6" s="17"/>
      <c r="H6" s="56">
        <f t="shared" ref="H6:H17" si="1">SUM(F6*G6)</f>
        <v>0</v>
      </c>
      <c r="I6" s="3">
        <v>940</v>
      </c>
      <c r="J6" s="17"/>
      <c r="K6" s="56">
        <f t="shared" ref="K6:K17" si="2">SUM(I6*J6)</f>
        <v>0</v>
      </c>
      <c r="L6" s="3">
        <v>270</v>
      </c>
      <c r="M6" s="17">
        <v>40</v>
      </c>
      <c r="N6" s="57">
        <f t="shared" ref="N6:N17" si="3">SUM(L6*M6)</f>
        <v>10800</v>
      </c>
      <c r="O6" s="23">
        <v>2800</v>
      </c>
      <c r="P6" s="17"/>
      <c r="Q6" s="58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38">
        <f t="shared" ref="V6:V13" si="6">SUM(E6+H6+K6+N6+Q6+T6)</f>
        <v>127600</v>
      </c>
    </row>
    <row r="7" spans="1:22" ht="25.5" customHeight="1">
      <c r="A7" s="9">
        <v>2</v>
      </c>
      <c r="B7" s="9" t="s">
        <v>18</v>
      </c>
      <c r="C7" s="23">
        <v>5840</v>
      </c>
      <c r="D7" s="17">
        <v>16</v>
      </c>
      <c r="E7" s="56">
        <f t="shared" si="0"/>
        <v>93440</v>
      </c>
      <c r="F7" s="3">
        <v>300</v>
      </c>
      <c r="G7" s="17"/>
      <c r="H7" s="56">
        <f t="shared" si="1"/>
        <v>0</v>
      </c>
      <c r="I7" s="3">
        <v>940</v>
      </c>
      <c r="J7" s="22">
        <v>4</v>
      </c>
      <c r="K7" s="56">
        <f t="shared" si="2"/>
        <v>3760</v>
      </c>
      <c r="L7" s="3">
        <v>270</v>
      </c>
      <c r="M7" s="22">
        <v>32</v>
      </c>
      <c r="N7" s="57">
        <f t="shared" si="3"/>
        <v>8640</v>
      </c>
      <c r="O7" s="23">
        <v>2800</v>
      </c>
      <c r="P7" s="22"/>
      <c r="Q7" s="58">
        <f t="shared" si="4"/>
        <v>0</v>
      </c>
      <c r="R7" s="21">
        <v>1000</v>
      </c>
      <c r="S7" s="22"/>
      <c r="T7" s="18">
        <f t="shared" si="5"/>
        <v>0</v>
      </c>
      <c r="U7" s="18"/>
      <c r="V7" s="38">
        <f t="shared" si="6"/>
        <v>105840</v>
      </c>
    </row>
    <row r="8" spans="1:22" ht="25.5" customHeight="1">
      <c r="A8" s="9">
        <v>3</v>
      </c>
      <c r="B8" s="9" t="s">
        <v>19</v>
      </c>
      <c r="C8" s="23">
        <v>5840</v>
      </c>
      <c r="D8" s="17">
        <v>23</v>
      </c>
      <c r="E8" s="56">
        <f t="shared" si="0"/>
        <v>134320</v>
      </c>
      <c r="F8" s="3">
        <v>300</v>
      </c>
      <c r="G8" s="17"/>
      <c r="H8" s="56">
        <f t="shared" si="1"/>
        <v>0</v>
      </c>
      <c r="I8" s="3">
        <v>940</v>
      </c>
      <c r="J8" s="22"/>
      <c r="K8" s="56">
        <f t="shared" si="2"/>
        <v>0</v>
      </c>
      <c r="L8" s="3">
        <v>270</v>
      </c>
      <c r="M8" s="22">
        <v>46</v>
      </c>
      <c r="N8" s="57">
        <f t="shared" si="3"/>
        <v>12420</v>
      </c>
      <c r="O8" s="23">
        <v>2800</v>
      </c>
      <c r="P8" s="22"/>
      <c r="Q8" s="58">
        <f t="shared" si="4"/>
        <v>0</v>
      </c>
      <c r="R8" s="21">
        <v>1000</v>
      </c>
      <c r="S8" s="22"/>
      <c r="T8" s="18">
        <f t="shared" si="5"/>
        <v>0</v>
      </c>
      <c r="U8" s="18"/>
      <c r="V8" s="38">
        <f t="shared" si="6"/>
        <v>146740</v>
      </c>
    </row>
    <row r="9" spans="1:22" ht="25.5" customHeight="1">
      <c r="A9" s="9">
        <v>4</v>
      </c>
      <c r="B9" s="9" t="s">
        <v>20</v>
      </c>
      <c r="C9" s="23">
        <v>5840</v>
      </c>
      <c r="D9" s="17">
        <v>19</v>
      </c>
      <c r="E9" s="56">
        <f t="shared" si="0"/>
        <v>110960</v>
      </c>
      <c r="F9" s="3">
        <v>300</v>
      </c>
      <c r="G9" s="17"/>
      <c r="H9" s="56">
        <f t="shared" si="1"/>
        <v>0</v>
      </c>
      <c r="I9" s="3">
        <v>940</v>
      </c>
      <c r="J9" s="22">
        <v>4</v>
      </c>
      <c r="K9" s="56">
        <f t="shared" si="2"/>
        <v>3760</v>
      </c>
      <c r="L9" s="3">
        <v>270</v>
      </c>
      <c r="M9" s="22">
        <v>38</v>
      </c>
      <c r="N9" s="57">
        <f t="shared" si="3"/>
        <v>10260</v>
      </c>
      <c r="O9" s="23">
        <v>2800</v>
      </c>
      <c r="P9" s="22"/>
      <c r="Q9" s="58">
        <f t="shared" si="4"/>
        <v>0</v>
      </c>
      <c r="R9" s="21">
        <v>1000</v>
      </c>
      <c r="S9" s="22"/>
      <c r="T9" s="18">
        <f t="shared" si="5"/>
        <v>0</v>
      </c>
      <c r="U9" s="18"/>
      <c r="V9" s="38">
        <f t="shared" si="6"/>
        <v>124980</v>
      </c>
    </row>
    <row r="10" spans="1:22" ht="25.5" customHeight="1">
      <c r="A10" s="9">
        <v>5</v>
      </c>
      <c r="B10" s="9" t="s">
        <v>21</v>
      </c>
      <c r="C10" s="23">
        <v>5840</v>
      </c>
      <c r="D10" s="17">
        <v>19</v>
      </c>
      <c r="E10" s="56">
        <f t="shared" si="0"/>
        <v>110960</v>
      </c>
      <c r="F10" s="3">
        <v>300</v>
      </c>
      <c r="G10" s="17"/>
      <c r="H10" s="56">
        <f t="shared" si="1"/>
        <v>0</v>
      </c>
      <c r="I10" s="3">
        <v>940</v>
      </c>
      <c r="J10" s="22">
        <v>4</v>
      </c>
      <c r="K10" s="56">
        <f t="shared" si="2"/>
        <v>3760</v>
      </c>
      <c r="L10" s="3">
        <v>270</v>
      </c>
      <c r="M10" s="22">
        <v>38</v>
      </c>
      <c r="N10" s="57">
        <f t="shared" si="3"/>
        <v>10260</v>
      </c>
      <c r="O10" s="23">
        <v>2800</v>
      </c>
      <c r="P10" s="22"/>
      <c r="Q10" s="58">
        <f t="shared" si="4"/>
        <v>0</v>
      </c>
      <c r="R10" s="21">
        <v>1000</v>
      </c>
      <c r="S10" s="22"/>
      <c r="T10" s="18">
        <f t="shared" si="5"/>
        <v>0</v>
      </c>
      <c r="U10" s="18"/>
      <c r="V10" s="38">
        <f t="shared" si="6"/>
        <v>124980</v>
      </c>
    </row>
    <row r="11" spans="1:22" ht="25.5" customHeight="1">
      <c r="A11" s="9">
        <v>6</v>
      </c>
      <c r="B11" s="9" t="s">
        <v>22</v>
      </c>
      <c r="C11" s="23">
        <v>5840</v>
      </c>
      <c r="D11" s="17">
        <v>23</v>
      </c>
      <c r="E11" s="56">
        <f t="shared" si="0"/>
        <v>134320</v>
      </c>
      <c r="F11" s="3">
        <v>300</v>
      </c>
      <c r="G11" s="17"/>
      <c r="H11" s="56">
        <f t="shared" si="1"/>
        <v>0</v>
      </c>
      <c r="I11" s="3">
        <v>940</v>
      </c>
      <c r="J11" s="22"/>
      <c r="K11" s="56">
        <f t="shared" si="2"/>
        <v>0</v>
      </c>
      <c r="L11" s="3">
        <v>270</v>
      </c>
      <c r="M11" s="22">
        <v>46</v>
      </c>
      <c r="N11" s="57">
        <f t="shared" si="3"/>
        <v>12420</v>
      </c>
      <c r="O11" s="23">
        <v>2800</v>
      </c>
      <c r="P11" s="22"/>
      <c r="Q11" s="58">
        <f t="shared" si="4"/>
        <v>0</v>
      </c>
      <c r="R11" s="21">
        <v>1000</v>
      </c>
      <c r="S11" s="22"/>
      <c r="T11" s="18">
        <f t="shared" si="5"/>
        <v>0</v>
      </c>
      <c r="U11" s="18"/>
      <c r="V11" s="38">
        <f t="shared" si="6"/>
        <v>146740</v>
      </c>
    </row>
    <row r="12" spans="1:22" ht="25.5" customHeight="1">
      <c r="A12" s="9">
        <v>7</v>
      </c>
      <c r="B12" s="9" t="s">
        <v>23</v>
      </c>
      <c r="C12" s="23">
        <v>5840</v>
      </c>
      <c r="D12" s="17">
        <v>23</v>
      </c>
      <c r="E12" s="56">
        <f t="shared" si="0"/>
        <v>134320</v>
      </c>
      <c r="F12" s="3">
        <v>300</v>
      </c>
      <c r="G12" s="17"/>
      <c r="H12" s="56">
        <f t="shared" si="1"/>
        <v>0</v>
      </c>
      <c r="I12" s="3">
        <v>940</v>
      </c>
      <c r="J12" s="22"/>
      <c r="K12" s="56">
        <f t="shared" si="2"/>
        <v>0</v>
      </c>
      <c r="L12" s="3">
        <v>270</v>
      </c>
      <c r="M12" s="22"/>
      <c r="N12" s="57">
        <f t="shared" si="3"/>
        <v>0</v>
      </c>
      <c r="O12" s="23">
        <v>2800</v>
      </c>
      <c r="P12" s="22"/>
      <c r="Q12" s="58">
        <f t="shared" si="4"/>
        <v>0</v>
      </c>
      <c r="R12" s="21">
        <v>1000</v>
      </c>
      <c r="S12" s="22"/>
      <c r="T12" s="18">
        <f t="shared" si="5"/>
        <v>0</v>
      </c>
      <c r="U12" s="18"/>
      <c r="V12" s="38">
        <f t="shared" si="6"/>
        <v>134320</v>
      </c>
    </row>
    <row r="13" spans="1:22" ht="25.5" customHeight="1">
      <c r="A13" s="9">
        <v>8</v>
      </c>
      <c r="B13" s="10" t="s">
        <v>24</v>
      </c>
      <c r="C13" s="23">
        <v>5840</v>
      </c>
      <c r="D13" s="17">
        <v>23</v>
      </c>
      <c r="E13" s="56">
        <f t="shared" si="0"/>
        <v>134320</v>
      </c>
      <c r="F13" s="3">
        <v>300</v>
      </c>
      <c r="G13" s="17"/>
      <c r="H13" s="56">
        <f t="shared" si="1"/>
        <v>0</v>
      </c>
      <c r="I13" s="3">
        <v>940</v>
      </c>
      <c r="J13" s="22"/>
      <c r="K13" s="56">
        <f t="shared" si="2"/>
        <v>0</v>
      </c>
      <c r="L13" s="3">
        <v>270</v>
      </c>
      <c r="M13" s="22"/>
      <c r="N13" s="57">
        <f t="shared" si="3"/>
        <v>0</v>
      </c>
      <c r="O13" s="23">
        <v>2800</v>
      </c>
      <c r="P13" s="22"/>
      <c r="Q13" s="58">
        <f t="shared" si="4"/>
        <v>0</v>
      </c>
      <c r="R13" s="21">
        <v>1000</v>
      </c>
      <c r="S13" s="22"/>
      <c r="T13" s="18">
        <f t="shared" si="5"/>
        <v>0</v>
      </c>
      <c r="U13" s="18"/>
      <c r="V13" s="38">
        <f t="shared" si="6"/>
        <v>134320</v>
      </c>
    </row>
    <row r="14" spans="1:22" ht="25.5" customHeight="1">
      <c r="A14" s="9">
        <v>9</v>
      </c>
      <c r="B14" s="10" t="s">
        <v>25</v>
      </c>
      <c r="C14" s="23">
        <v>5840</v>
      </c>
      <c r="D14" s="17">
        <v>17</v>
      </c>
      <c r="E14" s="56">
        <f t="shared" si="0"/>
        <v>99280</v>
      </c>
      <c r="F14" s="3">
        <v>300</v>
      </c>
      <c r="G14" s="17"/>
      <c r="H14" s="56">
        <f t="shared" si="1"/>
        <v>0</v>
      </c>
      <c r="I14" s="3">
        <v>940</v>
      </c>
      <c r="J14" s="17">
        <v>4</v>
      </c>
      <c r="K14" s="56">
        <f t="shared" si="2"/>
        <v>3760</v>
      </c>
      <c r="L14" s="3">
        <v>270</v>
      </c>
      <c r="M14" s="17">
        <v>34</v>
      </c>
      <c r="N14" s="57">
        <f t="shared" si="3"/>
        <v>9180</v>
      </c>
      <c r="O14" s="23">
        <v>2800</v>
      </c>
      <c r="P14" s="17"/>
      <c r="Q14" s="58">
        <f t="shared" si="4"/>
        <v>0</v>
      </c>
      <c r="R14" s="23">
        <v>1000</v>
      </c>
      <c r="S14" s="17"/>
      <c r="T14" s="18">
        <f t="shared" si="5"/>
        <v>0</v>
      </c>
      <c r="U14" s="18"/>
      <c r="V14" s="38">
        <f>SUM(E14+H14+K14+N14+Q14+T14)-U14</f>
        <v>112220</v>
      </c>
    </row>
    <row r="15" spans="1:22" ht="25.5" customHeight="1">
      <c r="A15" s="9">
        <v>10</v>
      </c>
      <c r="B15" s="9" t="s">
        <v>26</v>
      </c>
      <c r="C15" s="23">
        <v>5840</v>
      </c>
      <c r="D15" s="17">
        <v>16</v>
      </c>
      <c r="E15" s="56">
        <f t="shared" si="0"/>
        <v>93440</v>
      </c>
      <c r="F15" s="3">
        <v>300</v>
      </c>
      <c r="G15" s="17"/>
      <c r="H15" s="56">
        <f t="shared" si="1"/>
        <v>0</v>
      </c>
      <c r="I15" s="3">
        <v>940</v>
      </c>
      <c r="J15" s="22">
        <v>4</v>
      </c>
      <c r="K15" s="56">
        <f t="shared" si="2"/>
        <v>3760</v>
      </c>
      <c r="L15" s="3">
        <v>270</v>
      </c>
      <c r="M15" s="22">
        <v>32</v>
      </c>
      <c r="N15" s="57">
        <f t="shared" si="3"/>
        <v>8640</v>
      </c>
      <c r="O15" s="23">
        <v>2800</v>
      </c>
      <c r="P15" s="22"/>
      <c r="Q15" s="58">
        <f t="shared" si="4"/>
        <v>0</v>
      </c>
      <c r="R15" s="21">
        <v>1000</v>
      </c>
      <c r="S15" s="22"/>
      <c r="T15" s="18">
        <f t="shared" si="5"/>
        <v>0</v>
      </c>
      <c r="U15" s="18"/>
      <c r="V15" s="38">
        <f>SUM(E15+H15+K15+N15+Q15+T15)-U15</f>
        <v>105840</v>
      </c>
    </row>
    <row r="16" spans="1:22" ht="25.5" customHeight="1">
      <c r="A16" s="9">
        <v>12</v>
      </c>
      <c r="B16" s="9" t="s">
        <v>27</v>
      </c>
      <c r="C16" s="23">
        <v>5840</v>
      </c>
      <c r="D16" s="17">
        <v>19</v>
      </c>
      <c r="E16" s="56">
        <f t="shared" si="0"/>
        <v>110960</v>
      </c>
      <c r="F16" s="3">
        <v>300</v>
      </c>
      <c r="G16" s="17"/>
      <c r="H16" s="56">
        <f t="shared" si="1"/>
        <v>0</v>
      </c>
      <c r="I16" s="3">
        <v>940</v>
      </c>
      <c r="J16" s="22"/>
      <c r="K16" s="56">
        <f t="shared" si="2"/>
        <v>0</v>
      </c>
      <c r="L16" s="3">
        <v>270</v>
      </c>
      <c r="M16" s="22">
        <v>38</v>
      </c>
      <c r="N16" s="57">
        <f t="shared" si="3"/>
        <v>10260</v>
      </c>
      <c r="O16" s="23">
        <v>2800</v>
      </c>
      <c r="P16" s="22"/>
      <c r="Q16" s="58">
        <f t="shared" si="4"/>
        <v>0</v>
      </c>
      <c r="R16" s="21">
        <v>1000</v>
      </c>
      <c r="S16" s="22"/>
      <c r="T16" s="18">
        <f t="shared" si="5"/>
        <v>0</v>
      </c>
      <c r="U16" s="18"/>
      <c r="V16" s="38">
        <f>SUM(E16+H16+K16+N16+Q16+T16)-U16</f>
        <v>121220</v>
      </c>
    </row>
    <row r="17" spans="1:22" ht="18" customHeight="1">
      <c r="A17" s="9">
        <v>13</v>
      </c>
      <c r="B17" s="9"/>
      <c r="C17" s="23">
        <v>5840</v>
      </c>
      <c r="D17" s="17"/>
      <c r="E17" s="56">
        <f t="shared" si="0"/>
        <v>0</v>
      </c>
      <c r="F17" s="3">
        <v>300</v>
      </c>
      <c r="G17" s="17"/>
      <c r="H17" s="56">
        <f t="shared" si="1"/>
        <v>0</v>
      </c>
      <c r="I17" s="3">
        <v>940</v>
      </c>
      <c r="J17" s="22"/>
      <c r="K17" s="56">
        <f t="shared" si="2"/>
        <v>0</v>
      </c>
      <c r="L17" s="3">
        <v>270</v>
      </c>
      <c r="M17" s="22"/>
      <c r="N17" s="57">
        <f t="shared" si="3"/>
        <v>0</v>
      </c>
      <c r="O17" s="23">
        <v>2800</v>
      </c>
      <c r="P17" s="22"/>
      <c r="Q17" s="58">
        <f t="shared" si="4"/>
        <v>0</v>
      </c>
      <c r="R17" s="21">
        <v>1000</v>
      </c>
      <c r="S17" s="22"/>
      <c r="T17" s="18">
        <f t="shared" si="5"/>
        <v>0</v>
      </c>
      <c r="U17" s="18"/>
      <c r="V17" s="38">
        <f t="shared" ref="V17" si="7">SUM(E17+H17+K17+N17+Q17+T17)-U17</f>
        <v>0</v>
      </c>
    </row>
    <row r="18" spans="1:22" ht="30" customHeight="1">
      <c r="A18" s="24"/>
      <c r="B18" s="24"/>
      <c r="C18" s="24"/>
      <c r="D18" s="24"/>
      <c r="E18" s="59">
        <f>SUM(E6:E17)</f>
        <v>1273120</v>
      </c>
      <c r="F18" s="21"/>
      <c r="G18" s="21"/>
      <c r="H18" s="59">
        <f>SUM(H6:H17)</f>
        <v>0</v>
      </c>
      <c r="I18" s="21"/>
      <c r="J18" s="21"/>
      <c r="K18" s="59">
        <f>SUM(K6:K17)</f>
        <v>18800</v>
      </c>
      <c r="L18" s="21"/>
      <c r="M18" s="21"/>
      <c r="N18" s="59">
        <f>SUM(N6:N17)</f>
        <v>92880</v>
      </c>
      <c r="O18" s="21"/>
      <c r="P18" s="24"/>
      <c r="Q18" s="21">
        <f>SUM(Q6:Q17)</f>
        <v>0</v>
      </c>
      <c r="R18" s="24"/>
      <c r="S18" s="24"/>
      <c r="T18" s="21">
        <f>SUM(T6:T17)</f>
        <v>0</v>
      </c>
      <c r="U18" s="21">
        <f>SUM(U6:U17)</f>
        <v>0</v>
      </c>
      <c r="V18" s="60">
        <f>SUM(V6:V17)</f>
        <v>1384800</v>
      </c>
    </row>
    <row r="20" spans="1:22" ht="30" customHeight="1">
      <c r="N20" s="28"/>
      <c r="O20" s="90" t="s">
        <v>29</v>
      </c>
      <c r="P20" s="90"/>
      <c r="Q20" s="90"/>
      <c r="R20" s="29"/>
      <c r="S20" s="29"/>
      <c r="T20" s="29"/>
      <c r="U20" s="29"/>
      <c r="V20" s="61">
        <f>V18</f>
        <v>1384800</v>
      </c>
    </row>
    <row r="21" spans="1:22" ht="30" customHeight="1" thickBot="1">
      <c r="N21" s="36"/>
      <c r="O21" s="91" t="s">
        <v>30</v>
      </c>
      <c r="P21" s="91"/>
      <c r="Q21" s="91"/>
      <c r="R21" s="31"/>
      <c r="S21" s="31"/>
      <c r="T21" s="31"/>
      <c r="U21" s="31"/>
      <c r="V21" s="62">
        <f>V52</f>
        <v>2110520</v>
      </c>
    </row>
    <row r="22" spans="1:22" ht="30" customHeight="1" thickTop="1">
      <c r="N22" s="36"/>
      <c r="O22" s="92" t="s">
        <v>2</v>
      </c>
      <c r="P22" s="92"/>
      <c r="Q22" s="92"/>
      <c r="R22" s="33"/>
      <c r="S22" s="33"/>
      <c r="T22" s="33"/>
      <c r="U22" s="33"/>
      <c r="V22" s="64">
        <f>V20+V21</f>
        <v>3495320</v>
      </c>
    </row>
    <row r="23" spans="1:22" ht="13.5" customHeight="1">
      <c r="N23" s="36"/>
      <c r="O23" s="36"/>
      <c r="P23" s="36"/>
      <c r="Q23" s="36"/>
      <c r="R23" s="36"/>
      <c r="S23" s="36"/>
      <c r="T23" s="36"/>
      <c r="U23" s="36"/>
      <c r="V23" s="36"/>
    </row>
    <row r="24" spans="1:22" ht="13.5" customHeight="1">
      <c r="N24" s="36"/>
      <c r="O24" s="36"/>
      <c r="P24" s="36"/>
      <c r="Q24" s="36"/>
      <c r="R24" s="36"/>
      <c r="S24" s="36"/>
      <c r="T24" s="36"/>
      <c r="U24" s="36"/>
      <c r="V24" s="36"/>
    </row>
    <row r="26" spans="1:22" hidden="1"/>
    <row r="27" spans="1:22" hidden="1"/>
    <row r="28" spans="1:22" ht="27" customHeight="1">
      <c r="D28" s="84" t="s">
        <v>12</v>
      </c>
      <c r="E28" s="85"/>
      <c r="F28" s="85"/>
      <c r="G28" s="85"/>
      <c r="H28" s="85"/>
    </row>
    <row r="29" spans="1:22" ht="21.75" customHeight="1">
      <c r="A29" s="93" t="s">
        <v>11</v>
      </c>
      <c r="B29" s="93"/>
      <c r="E29" s="1"/>
      <c r="H29" s="1"/>
      <c r="K29" s="1"/>
      <c r="N29" s="1"/>
    </row>
    <row r="30" spans="1:22" ht="21.75" customHeight="1">
      <c r="A30" s="86" t="s">
        <v>49</v>
      </c>
      <c r="B30" s="87"/>
      <c r="E30" s="1"/>
      <c r="H30" s="1"/>
      <c r="K30" s="1"/>
      <c r="N30" s="1"/>
    </row>
    <row r="31" spans="1:22" ht="21.75" customHeight="1">
      <c r="A31" s="88"/>
      <c r="B31" s="89"/>
      <c r="C31" s="75" t="s">
        <v>9</v>
      </c>
      <c r="D31" s="76"/>
      <c r="E31" s="77"/>
      <c r="F31" s="75" t="s">
        <v>8</v>
      </c>
      <c r="G31" s="76"/>
      <c r="H31" s="77"/>
      <c r="I31" s="75" t="s">
        <v>7</v>
      </c>
      <c r="J31" s="76"/>
      <c r="K31" s="77"/>
      <c r="L31" s="75" t="s">
        <v>6</v>
      </c>
      <c r="M31" s="76"/>
      <c r="N31" s="77"/>
      <c r="O31" s="75" t="s">
        <v>5</v>
      </c>
      <c r="P31" s="76"/>
      <c r="Q31" s="77"/>
      <c r="R31" s="75" t="s">
        <v>4</v>
      </c>
      <c r="S31" s="76"/>
      <c r="T31" s="77"/>
      <c r="U31" s="78" t="s">
        <v>3</v>
      </c>
      <c r="V31" s="80" t="s">
        <v>2</v>
      </c>
    </row>
    <row r="32" spans="1:22" ht="21.75" customHeight="1" thickBot="1">
      <c r="A32" s="3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79"/>
      <c r="V32" s="81"/>
    </row>
    <row r="33" spans="1:22" ht="19.5" customHeight="1" thickTop="1">
      <c r="A33" s="24">
        <v>1</v>
      </c>
      <c r="B33" s="37" t="s">
        <v>31</v>
      </c>
      <c r="C33" s="11">
        <v>5840</v>
      </c>
      <c r="D33" s="12">
        <v>22</v>
      </c>
      <c r="E33" s="13">
        <f t="shared" ref="E33:E50" si="8">SUM(C33*D33)</f>
        <v>128480</v>
      </c>
      <c r="F33" s="14">
        <v>300</v>
      </c>
      <c r="G33" s="12"/>
      <c r="H33" s="13">
        <f t="shared" ref="H33:H50" si="9">SUM(F33*G33)</f>
        <v>0</v>
      </c>
      <c r="I33" s="14">
        <v>940</v>
      </c>
      <c r="J33" s="12">
        <v>1</v>
      </c>
      <c r="K33" s="13">
        <f t="shared" ref="K33:K50" si="10">SUM(I33*J33)</f>
        <v>940</v>
      </c>
      <c r="L33" s="14">
        <v>130</v>
      </c>
      <c r="M33" s="12">
        <v>44</v>
      </c>
      <c r="N33" s="15">
        <f t="shared" ref="N33:N50" si="11">SUM(L33*M33)</f>
        <v>5720</v>
      </c>
      <c r="O33" s="11">
        <v>2800</v>
      </c>
      <c r="P33" s="12"/>
      <c r="Q33" s="13">
        <f t="shared" ref="Q33:Q50" si="12">SUM(O33*P33)</f>
        <v>0</v>
      </c>
      <c r="R33" s="16">
        <v>1000</v>
      </c>
      <c r="S33" s="17"/>
      <c r="T33" s="18">
        <f t="shared" ref="T33:T50" si="13">SUM(S33*R33)</f>
        <v>0</v>
      </c>
      <c r="U33" s="18"/>
      <c r="V33" s="38">
        <f t="shared" ref="V33:V41" si="14">SUM(E33+H33+K33+N33+Q33+T33)</f>
        <v>135140</v>
      </c>
    </row>
    <row r="34" spans="1:22" ht="19.5" customHeight="1">
      <c r="A34" s="24">
        <v>2</v>
      </c>
      <c r="B34" s="39" t="s">
        <v>32</v>
      </c>
      <c r="C34" s="11">
        <v>5840</v>
      </c>
      <c r="D34" s="12">
        <v>22</v>
      </c>
      <c r="E34" s="13">
        <f t="shared" si="8"/>
        <v>128480</v>
      </c>
      <c r="F34" s="14">
        <v>300</v>
      </c>
      <c r="G34" s="12"/>
      <c r="H34" s="13">
        <f t="shared" si="9"/>
        <v>0</v>
      </c>
      <c r="I34" s="14">
        <v>940</v>
      </c>
      <c r="J34" s="20">
        <v>1</v>
      </c>
      <c r="K34" s="13">
        <f t="shared" si="10"/>
        <v>940</v>
      </c>
      <c r="L34" s="14">
        <v>130</v>
      </c>
      <c r="M34" s="20">
        <v>44</v>
      </c>
      <c r="N34" s="15">
        <f t="shared" si="11"/>
        <v>5720</v>
      </c>
      <c r="O34" s="11">
        <v>2800</v>
      </c>
      <c r="P34" s="20"/>
      <c r="Q34" s="13">
        <f t="shared" si="12"/>
        <v>0</v>
      </c>
      <c r="R34" s="21">
        <v>1000</v>
      </c>
      <c r="S34" s="22"/>
      <c r="T34" s="18">
        <f t="shared" si="13"/>
        <v>0</v>
      </c>
      <c r="U34" s="18"/>
      <c r="V34" s="38">
        <f t="shared" si="14"/>
        <v>135140</v>
      </c>
    </row>
    <row r="35" spans="1:22" ht="19.5" customHeight="1">
      <c r="A35" s="24">
        <v>3</v>
      </c>
      <c r="B35" s="39" t="s">
        <v>33</v>
      </c>
      <c r="C35" s="11">
        <v>5840</v>
      </c>
      <c r="D35" s="12">
        <v>10</v>
      </c>
      <c r="E35" s="13">
        <f t="shared" si="8"/>
        <v>58400</v>
      </c>
      <c r="F35" s="14">
        <v>300</v>
      </c>
      <c r="G35" s="12"/>
      <c r="H35" s="13">
        <f t="shared" si="9"/>
        <v>0</v>
      </c>
      <c r="I35" s="14">
        <v>940</v>
      </c>
      <c r="J35" s="20">
        <v>4</v>
      </c>
      <c r="K35" s="13">
        <f t="shared" si="10"/>
        <v>3760</v>
      </c>
      <c r="L35" s="14">
        <v>130</v>
      </c>
      <c r="M35" s="20">
        <v>20</v>
      </c>
      <c r="N35" s="15">
        <f t="shared" si="11"/>
        <v>2600</v>
      </c>
      <c r="O35" s="11">
        <v>2800</v>
      </c>
      <c r="P35" s="20"/>
      <c r="Q35" s="13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si="14"/>
        <v>64760</v>
      </c>
    </row>
    <row r="36" spans="1:22" ht="19.5" customHeight="1">
      <c r="A36" s="24">
        <v>4</v>
      </c>
      <c r="B36" s="39" t="s">
        <v>14</v>
      </c>
      <c r="C36" s="11">
        <v>5840</v>
      </c>
      <c r="D36" s="12">
        <v>21</v>
      </c>
      <c r="E36" s="13">
        <f t="shared" si="8"/>
        <v>122640</v>
      </c>
      <c r="F36" s="14">
        <v>300</v>
      </c>
      <c r="G36" s="12">
        <v>21</v>
      </c>
      <c r="H36" s="13">
        <f t="shared" si="9"/>
        <v>6300</v>
      </c>
      <c r="I36" s="14">
        <v>940</v>
      </c>
      <c r="J36" s="20">
        <v>0</v>
      </c>
      <c r="K36" s="13">
        <f t="shared" si="10"/>
        <v>0</v>
      </c>
      <c r="L36" s="14">
        <v>130</v>
      </c>
      <c r="M36" s="20">
        <v>42</v>
      </c>
      <c r="N36" s="15">
        <f t="shared" si="11"/>
        <v>5460</v>
      </c>
      <c r="O36" s="11">
        <v>2800</v>
      </c>
      <c r="P36" s="20"/>
      <c r="Q36" s="13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4"/>
        <v>134400</v>
      </c>
    </row>
    <row r="37" spans="1:22" ht="19.5" customHeight="1">
      <c r="A37" s="24">
        <v>5</v>
      </c>
      <c r="B37" s="39" t="s">
        <v>34</v>
      </c>
      <c r="C37" s="11">
        <v>5840</v>
      </c>
      <c r="D37" s="12">
        <v>8</v>
      </c>
      <c r="E37" s="13">
        <f t="shared" si="8"/>
        <v>46720</v>
      </c>
      <c r="F37" s="14">
        <v>300</v>
      </c>
      <c r="G37" s="12"/>
      <c r="H37" s="13">
        <f t="shared" si="9"/>
        <v>0</v>
      </c>
      <c r="I37" s="14">
        <v>940</v>
      </c>
      <c r="J37" s="20"/>
      <c r="K37" s="13">
        <f t="shared" si="10"/>
        <v>0</v>
      </c>
      <c r="L37" s="14">
        <v>130</v>
      </c>
      <c r="M37" s="20">
        <v>16</v>
      </c>
      <c r="N37" s="15">
        <f t="shared" si="11"/>
        <v>2080</v>
      </c>
      <c r="O37" s="11">
        <v>2800</v>
      </c>
      <c r="P37" s="20"/>
      <c r="Q37" s="13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4"/>
        <v>48800</v>
      </c>
    </row>
    <row r="38" spans="1:22" ht="19.5" customHeight="1">
      <c r="A38" s="24">
        <v>6</v>
      </c>
      <c r="B38" s="39" t="s">
        <v>35</v>
      </c>
      <c r="C38" s="11">
        <v>5840</v>
      </c>
      <c r="D38" s="12">
        <v>18</v>
      </c>
      <c r="E38" s="13">
        <f t="shared" si="8"/>
        <v>105120</v>
      </c>
      <c r="F38" s="14">
        <v>300</v>
      </c>
      <c r="G38" s="12"/>
      <c r="H38" s="13">
        <f t="shared" si="9"/>
        <v>0</v>
      </c>
      <c r="I38" s="14">
        <v>940</v>
      </c>
      <c r="J38" s="20"/>
      <c r="K38" s="13">
        <f t="shared" si="10"/>
        <v>0</v>
      </c>
      <c r="L38" s="14">
        <v>130</v>
      </c>
      <c r="M38" s="20">
        <v>4</v>
      </c>
      <c r="N38" s="15">
        <f t="shared" si="11"/>
        <v>520</v>
      </c>
      <c r="O38" s="11">
        <v>2800</v>
      </c>
      <c r="P38" s="20"/>
      <c r="Q38" s="13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4"/>
        <v>105640</v>
      </c>
    </row>
    <row r="39" spans="1:22" ht="19.5" customHeight="1">
      <c r="A39" s="24">
        <v>7</v>
      </c>
      <c r="B39" s="39" t="s">
        <v>36</v>
      </c>
      <c r="C39" s="11">
        <v>5840</v>
      </c>
      <c r="D39" s="12">
        <v>2</v>
      </c>
      <c r="E39" s="13">
        <f t="shared" si="8"/>
        <v>11680</v>
      </c>
      <c r="F39" s="14">
        <v>300</v>
      </c>
      <c r="G39" s="12"/>
      <c r="H39" s="13">
        <f t="shared" si="9"/>
        <v>0</v>
      </c>
      <c r="I39" s="14">
        <v>940</v>
      </c>
      <c r="J39" s="20">
        <v>4</v>
      </c>
      <c r="K39" s="13">
        <f t="shared" si="10"/>
        <v>3760</v>
      </c>
      <c r="L39" s="14">
        <v>130</v>
      </c>
      <c r="M39" s="20">
        <v>4</v>
      </c>
      <c r="N39" s="15">
        <f t="shared" si="11"/>
        <v>520</v>
      </c>
      <c r="O39" s="11">
        <v>2800</v>
      </c>
      <c r="P39" s="20">
        <v>1</v>
      </c>
      <c r="Q39" s="13">
        <f t="shared" si="12"/>
        <v>2800</v>
      </c>
      <c r="R39" s="21">
        <v>1000</v>
      </c>
      <c r="S39" s="22"/>
      <c r="T39" s="18">
        <f t="shared" si="13"/>
        <v>0</v>
      </c>
      <c r="U39" s="18"/>
      <c r="V39" s="38">
        <f t="shared" si="14"/>
        <v>18760</v>
      </c>
    </row>
    <row r="40" spans="1:22" ht="19.5" customHeight="1">
      <c r="A40" s="24">
        <v>8</v>
      </c>
      <c r="B40" s="39" t="s">
        <v>37</v>
      </c>
      <c r="C40" s="11">
        <v>5840</v>
      </c>
      <c r="D40" s="12">
        <v>23</v>
      </c>
      <c r="E40" s="13">
        <f t="shared" si="8"/>
        <v>134320</v>
      </c>
      <c r="F40" s="14">
        <v>300</v>
      </c>
      <c r="G40" s="12"/>
      <c r="H40" s="13">
        <f t="shared" si="9"/>
        <v>0</v>
      </c>
      <c r="I40" s="14">
        <v>940</v>
      </c>
      <c r="J40" s="20"/>
      <c r="K40" s="13">
        <f t="shared" si="10"/>
        <v>0</v>
      </c>
      <c r="L40" s="14">
        <v>130</v>
      </c>
      <c r="M40" s="20"/>
      <c r="N40" s="15">
        <f t="shared" si="11"/>
        <v>0</v>
      </c>
      <c r="O40" s="11">
        <v>2800</v>
      </c>
      <c r="P40" s="20"/>
      <c r="Q40" s="13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4"/>
        <v>134320</v>
      </c>
    </row>
    <row r="41" spans="1:22" ht="19.5" customHeight="1">
      <c r="A41" s="24">
        <v>9</v>
      </c>
      <c r="B41" s="37" t="s">
        <v>38</v>
      </c>
      <c r="C41" s="11">
        <v>5840</v>
      </c>
      <c r="D41" s="12">
        <v>21</v>
      </c>
      <c r="E41" s="13">
        <f t="shared" si="8"/>
        <v>122640</v>
      </c>
      <c r="F41" s="14">
        <v>300</v>
      </c>
      <c r="G41" s="12"/>
      <c r="H41" s="13">
        <f t="shared" si="9"/>
        <v>0</v>
      </c>
      <c r="I41" s="14">
        <v>940</v>
      </c>
      <c r="J41" s="20">
        <v>2</v>
      </c>
      <c r="K41" s="13">
        <f t="shared" si="10"/>
        <v>1880</v>
      </c>
      <c r="L41" s="14">
        <v>130</v>
      </c>
      <c r="M41" s="20">
        <v>42</v>
      </c>
      <c r="N41" s="15">
        <f t="shared" si="11"/>
        <v>5460</v>
      </c>
      <c r="O41" s="11">
        <v>2800</v>
      </c>
      <c r="P41" s="20"/>
      <c r="Q41" s="13">
        <f t="shared" si="12"/>
        <v>0</v>
      </c>
      <c r="R41" s="21">
        <v>1000</v>
      </c>
      <c r="S41" s="22"/>
      <c r="T41" s="18">
        <f t="shared" si="13"/>
        <v>0</v>
      </c>
      <c r="U41" s="18"/>
      <c r="V41" s="38">
        <f t="shared" si="14"/>
        <v>129980</v>
      </c>
    </row>
    <row r="42" spans="1:22" ht="19.5" customHeight="1">
      <c r="A42" s="24">
        <v>10</v>
      </c>
      <c r="B42" s="37" t="s">
        <v>39</v>
      </c>
      <c r="C42" s="11">
        <v>5840</v>
      </c>
      <c r="D42" s="12">
        <v>17</v>
      </c>
      <c r="E42" s="13">
        <f t="shared" si="8"/>
        <v>99280</v>
      </c>
      <c r="F42" s="14">
        <v>300</v>
      </c>
      <c r="G42" s="12"/>
      <c r="H42" s="13">
        <f t="shared" si="9"/>
        <v>0</v>
      </c>
      <c r="I42" s="14">
        <v>940</v>
      </c>
      <c r="J42" s="12">
        <v>4</v>
      </c>
      <c r="K42" s="13">
        <f t="shared" si="10"/>
        <v>3760</v>
      </c>
      <c r="L42" s="14">
        <v>130</v>
      </c>
      <c r="M42" s="12">
        <v>34</v>
      </c>
      <c r="N42" s="15">
        <f t="shared" si="11"/>
        <v>4420</v>
      </c>
      <c r="O42" s="11">
        <v>2800</v>
      </c>
      <c r="P42" s="12"/>
      <c r="Q42" s="13">
        <f t="shared" si="12"/>
        <v>0</v>
      </c>
      <c r="R42" s="23">
        <v>1000</v>
      </c>
      <c r="S42" s="17"/>
      <c r="T42" s="18">
        <f t="shared" si="13"/>
        <v>0</v>
      </c>
      <c r="U42" s="18"/>
      <c r="V42" s="38">
        <f>SUM(E42+H42+K42+N42+Q42+T42)-U42</f>
        <v>107460</v>
      </c>
    </row>
    <row r="43" spans="1:22" ht="19.5" customHeight="1">
      <c r="A43" s="24">
        <v>11</v>
      </c>
      <c r="B43" s="39" t="s">
        <v>40</v>
      </c>
      <c r="C43" s="11">
        <v>5840</v>
      </c>
      <c r="D43" s="12">
        <v>4</v>
      </c>
      <c r="E43" s="13">
        <f t="shared" si="8"/>
        <v>23360</v>
      </c>
      <c r="F43" s="14">
        <v>300</v>
      </c>
      <c r="G43" s="12"/>
      <c r="H43" s="13">
        <f t="shared" si="9"/>
        <v>0</v>
      </c>
      <c r="I43" s="14">
        <v>940</v>
      </c>
      <c r="J43" s="20"/>
      <c r="K43" s="13">
        <f t="shared" si="10"/>
        <v>0</v>
      </c>
      <c r="L43" s="14">
        <v>130</v>
      </c>
      <c r="M43" s="20">
        <v>8</v>
      </c>
      <c r="N43" s="15">
        <f t="shared" si="11"/>
        <v>1040</v>
      </c>
      <c r="O43" s="11">
        <v>2800</v>
      </c>
      <c r="P43" s="20"/>
      <c r="Q43" s="13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>SUM(E43+H43+K43+N43+Q43+T43)-U43</f>
        <v>24400</v>
      </c>
    </row>
    <row r="44" spans="1:22" ht="19.5" customHeight="1">
      <c r="A44" s="24">
        <v>12</v>
      </c>
      <c r="B44" s="39" t="s">
        <v>41</v>
      </c>
      <c r="C44" s="11">
        <v>5840</v>
      </c>
      <c r="D44" s="12">
        <v>21</v>
      </c>
      <c r="E44" s="13">
        <f t="shared" si="8"/>
        <v>122640</v>
      </c>
      <c r="F44" s="14">
        <v>300</v>
      </c>
      <c r="G44" s="12"/>
      <c r="H44" s="13">
        <f t="shared" si="9"/>
        <v>0</v>
      </c>
      <c r="I44" s="14">
        <v>940</v>
      </c>
      <c r="J44" s="20">
        <v>2</v>
      </c>
      <c r="K44" s="13">
        <f t="shared" si="10"/>
        <v>1880</v>
      </c>
      <c r="L44" s="14">
        <v>130</v>
      </c>
      <c r="M44" s="20">
        <v>42</v>
      </c>
      <c r="N44" s="15">
        <f t="shared" si="11"/>
        <v>5460</v>
      </c>
      <c r="O44" s="11">
        <v>2800</v>
      </c>
      <c r="P44" s="20"/>
      <c r="Q44" s="13">
        <f t="shared" si="12"/>
        <v>0</v>
      </c>
      <c r="R44" s="21">
        <v>1000</v>
      </c>
      <c r="S44" s="22"/>
      <c r="T44" s="18">
        <f t="shared" si="13"/>
        <v>0</v>
      </c>
      <c r="U44" s="18"/>
      <c r="V44" s="38">
        <f>SUM(E44+H44+K44+N44+Q44+T44)-U44</f>
        <v>129980</v>
      </c>
    </row>
    <row r="45" spans="1:22" ht="19.5" customHeight="1">
      <c r="A45" s="24">
        <v>13</v>
      </c>
      <c r="B45" s="39" t="s">
        <v>42</v>
      </c>
      <c r="C45" s="11">
        <v>5840</v>
      </c>
      <c r="D45" s="12">
        <v>21</v>
      </c>
      <c r="E45" s="13">
        <f t="shared" si="8"/>
        <v>122640</v>
      </c>
      <c r="F45" s="14">
        <v>300</v>
      </c>
      <c r="G45" s="12"/>
      <c r="H45" s="13">
        <f t="shared" si="9"/>
        <v>0</v>
      </c>
      <c r="I45" s="14">
        <v>940</v>
      </c>
      <c r="J45" s="20">
        <v>2</v>
      </c>
      <c r="K45" s="13">
        <f t="shared" si="10"/>
        <v>1880</v>
      </c>
      <c r="L45" s="14">
        <v>130</v>
      </c>
      <c r="M45" s="20">
        <v>42</v>
      </c>
      <c r="N45" s="15">
        <f t="shared" si="11"/>
        <v>5460</v>
      </c>
      <c r="O45" s="11">
        <v>2800</v>
      </c>
      <c r="P45" s="20"/>
      <c r="Q45" s="13">
        <f t="shared" si="12"/>
        <v>0</v>
      </c>
      <c r="R45" s="21">
        <v>1001</v>
      </c>
      <c r="S45" s="22"/>
      <c r="T45" s="18">
        <f t="shared" si="13"/>
        <v>0</v>
      </c>
      <c r="U45" s="18"/>
      <c r="V45" s="38">
        <f t="shared" ref="V45:V46" si="15">SUM(E45+H45+K45+N45+Q45+T45)-U45</f>
        <v>129980</v>
      </c>
    </row>
    <row r="46" spans="1:22" ht="19.5" customHeight="1">
      <c r="A46" s="24">
        <v>14</v>
      </c>
      <c r="B46" s="39" t="s">
        <v>44</v>
      </c>
      <c r="C46" s="11">
        <v>5840</v>
      </c>
      <c r="D46" s="12">
        <v>15</v>
      </c>
      <c r="E46" s="13">
        <f t="shared" si="8"/>
        <v>87600</v>
      </c>
      <c r="F46" s="14">
        <v>300</v>
      </c>
      <c r="G46" s="12"/>
      <c r="H46" s="13">
        <f t="shared" si="9"/>
        <v>0</v>
      </c>
      <c r="I46" s="14">
        <v>940</v>
      </c>
      <c r="J46" s="20">
        <v>4</v>
      </c>
      <c r="K46" s="13">
        <f t="shared" si="10"/>
        <v>3760</v>
      </c>
      <c r="L46" s="14">
        <v>130</v>
      </c>
      <c r="M46" s="20"/>
      <c r="N46" s="15">
        <f t="shared" si="11"/>
        <v>0</v>
      </c>
      <c r="O46" s="11">
        <v>2800</v>
      </c>
      <c r="P46" s="20"/>
      <c r="Q46" s="13">
        <f t="shared" si="12"/>
        <v>0</v>
      </c>
      <c r="R46" s="21">
        <v>1002</v>
      </c>
      <c r="S46" s="22"/>
      <c r="T46" s="18">
        <f t="shared" si="13"/>
        <v>0</v>
      </c>
      <c r="U46" s="18"/>
      <c r="V46" s="38">
        <f t="shared" si="15"/>
        <v>91360</v>
      </c>
    </row>
    <row r="47" spans="1:22" ht="19.5" customHeight="1">
      <c r="A47" s="24">
        <v>15</v>
      </c>
      <c r="B47" s="39" t="s">
        <v>15</v>
      </c>
      <c r="C47" s="11">
        <v>8040</v>
      </c>
      <c r="D47" s="12">
        <v>22</v>
      </c>
      <c r="E47" s="13">
        <f t="shared" si="8"/>
        <v>176880</v>
      </c>
      <c r="F47" s="14">
        <v>300</v>
      </c>
      <c r="G47" s="12"/>
      <c r="H47" s="13">
        <f t="shared" si="9"/>
        <v>0</v>
      </c>
      <c r="I47" s="14">
        <v>940</v>
      </c>
      <c r="J47" s="20">
        <v>1</v>
      </c>
      <c r="K47" s="13">
        <f t="shared" si="10"/>
        <v>940</v>
      </c>
      <c r="L47" s="14">
        <v>130</v>
      </c>
      <c r="M47" s="20">
        <v>44</v>
      </c>
      <c r="N47" s="15">
        <f t="shared" si="11"/>
        <v>5720</v>
      </c>
      <c r="O47" s="11">
        <v>2800</v>
      </c>
      <c r="P47" s="20"/>
      <c r="Q47" s="13">
        <f t="shared" si="12"/>
        <v>0</v>
      </c>
      <c r="R47" s="21">
        <v>1000</v>
      </c>
      <c r="S47" s="22"/>
      <c r="T47" s="18">
        <f t="shared" si="13"/>
        <v>0</v>
      </c>
      <c r="U47" s="18"/>
      <c r="V47" s="38">
        <f>SUM(E47+H47+K47+N47+Q47+T47)</f>
        <v>183540</v>
      </c>
    </row>
    <row r="48" spans="1:22" ht="19.5" customHeight="1">
      <c r="A48" s="24">
        <v>16</v>
      </c>
      <c r="B48" s="39" t="s">
        <v>45</v>
      </c>
      <c r="C48" s="11">
        <v>8040</v>
      </c>
      <c r="D48" s="12">
        <v>21</v>
      </c>
      <c r="E48" s="13">
        <f t="shared" si="8"/>
        <v>168840</v>
      </c>
      <c r="F48" s="14">
        <v>300</v>
      </c>
      <c r="G48" s="12"/>
      <c r="H48" s="13">
        <f t="shared" si="9"/>
        <v>0</v>
      </c>
      <c r="I48" s="14">
        <v>940</v>
      </c>
      <c r="J48" s="20">
        <v>1</v>
      </c>
      <c r="K48" s="13">
        <f t="shared" si="10"/>
        <v>940</v>
      </c>
      <c r="L48" s="14">
        <v>130</v>
      </c>
      <c r="M48" s="20">
        <v>42</v>
      </c>
      <c r="N48" s="15">
        <f t="shared" si="11"/>
        <v>5460</v>
      </c>
      <c r="O48" s="11">
        <v>2800</v>
      </c>
      <c r="P48" s="20"/>
      <c r="Q48" s="13">
        <f t="shared" si="12"/>
        <v>0</v>
      </c>
      <c r="R48" s="21">
        <v>1000</v>
      </c>
      <c r="S48" s="22"/>
      <c r="T48" s="18">
        <f t="shared" si="13"/>
        <v>0</v>
      </c>
      <c r="U48" s="18"/>
      <c r="V48" s="38">
        <f>SUM(E48+H48+K48+N48+Q48+T48)</f>
        <v>175240</v>
      </c>
    </row>
    <row r="49" spans="1:22" ht="19.5" customHeight="1">
      <c r="A49" s="24">
        <v>17</v>
      </c>
      <c r="B49" s="39" t="s">
        <v>46</v>
      </c>
      <c r="C49" s="11">
        <v>8040</v>
      </c>
      <c r="D49" s="12">
        <v>23</v>
      </c>
      <c r="E49" s="13">
        <f t="shared" si="8"/>
        <v>184920</v>
      </c>
      <c r="F49" s="14">
        <v>300</v>
      </c>
      <c r="G49" s="12"/>
      <c r="H49" s="13">
        <f t="shared" si="9"/>
        <v>0</v>
      </c>
      <c r="I49" s="14">
        <v>940</v>
      </c>
      <c r="J49" s="20"/>
      <c r="K49" s="13">
        <f t="shared" si="10"/>
        <v>0</v>
      </c>
      <c r="L49" s="14">
        <v>130</v>
      </c>
      <c r="M49" s="20">
        <v>46</v>
      </c>
      <c r="N49" s="15">
        <f t="shared" si="11"/>
        <v>5980</v>
      </c>
      <c r="O49" s="11">
        <v>2800</v>
      </c>
      <c r="P49" s="20"/>
      <c r="Q49" s="13">
        <f t="shared" si="12"/>
        <v>0</v>
      </c>
      <c r="R49" s="21">
        <v>1000</v>
      </c>
      <c r="S49" s="22"/>
      <c r="T49" s="18">
        <f t="shared" si="13"/>
        <v>0</v>
      </c>
      <c r="U49" s="18"/>
      <c r="V49" s="38">
        <f>SUM(E49+H49+K49+N49+Q49+T49)</f>
        <v>190900</v>
      </c>
    </row>
    <row r="50" spans="1:22" ht="19.5" customHeight="1">
      <c r="A50" s="24">
        <v>18</v>
      </c>
      <c r="B50" s="39" t="s">
        <v>47</v>
      </c>
      <c r="C50" s="11">
        <v>8040</v>
      </c>
      <c r="D50" s="12">
        <v>21</v>
      </c>
      <c r="E50" s="13">
        <f t="shared" si="8"/>
        <v>168840</v>
      </c>
      <c r="F50" s="14">
        <v>300</v>
      </c>
      <c r="G50" s="12"/>
      <c r="H50" s="13">
        <f t="shared" si="9"/>
        <v>0</v>
      </c>
      <c r="I50" s="14">
        <v>940</v>
      </c>
      <c r="J50" s="20">
        <v>2</v>
      </c>
      <c r="K50" s="13">
        <f t="shared" si="10"/>
        <v>1880</v>
      </c>
      <c r="L50" s="14">
        <v>130</v>
      </c>
      <c r="M50" s="20"/>
      <c r="N50" s="15">
        <f t="shared" si="11"/>
        <v>0</v>
      </c>
      <c r="O50" s="11"/>
      <c r="P50" s="20"/>
      <c r="Q50" s="13">
        <f t="shared" si="12"/>
        <v>0</v>
      </c>
      <c r="R50" s="21"/>
      <c r="S50" s="22"/>
      <c r="T50" s="18">
        <f t="shared" si="13"/>
        <v>0</v>
      </c>
      <c r="U50" s="18"/>
      <c r="V50" s="38">
        <f>SUM(E50+H50+K50+N50+Q50+T50)</f>
        <v>170720</v>
      </c>
    </row>
    <row r="51" spans="1:22" ht="19.5" customHeight="1" thickBot="1">
      <c r="A51" s="5"/>
      <c r="B51" s="5"/>
      <c r="C51" s="40"/>
      <c r="D51" s="41"/>
      <c r="E51" s="42"/>
      <c r="F51" s="43"/>
      <c r="G51" s="41"/>
      <c r="H51" s="42"/>
      <c r="I51" s="43"/>
      <c r="J51" s="41"/>
      <c r="K51" s="42"/>
      <c r="L51" s="43"/>
      <c r="M51" s="41"/>
      <c r="N51" s="44"/>
      <c r="O51" s="40"/>
      <c r="P51" s="41"/>
      <c r="Q51" s="42"/>
      <c r="R51" s="8"/>
      <c r="S51" s="45"/>
      <c r="T51" s="46"/>
      <c r="U51" s="46"/>
      <c r="V51" s="47"/>
    </row>
    <row r="52" spans="1:22" ht="19.5" customHeight="1" thickTop="1">
      <c r="A52" s="48"/>
      <c r="B52" s="48"/>
      <c r="C52" s="48"/>
      <c r="D52" s="48"/>
      <c r="E52" s="38">
        <f>SUM(E33:E50)</f>
        <v>2013480</v>
      </c>
      <c r="F52" s="38"/>
      <c r="G52" s="38"/>
      <c r="H52" s="38">
        <f>SUM(H33:H50)</f>
        <v>6300</v>
      </c>
      <c r="I52" s="38"/>
      <c r="J52" s="38"/>
      <c r="K52" s="38">
        <f>SUM(K33:K50)</f>
        <v>26320</v>
      </c>
      <c r="L52" s="38"/>
      <c r="M52" s="38"/>
      <c r="N52" s="38">
        <f>SUM(N33:N50)</f>
        <v>61620</v>
      </c>
      <c r="O52" s="38"/>
      <c r="P52" s="48"/>
      <c r="Q52" s="38">
        <f>SUM(Q33:Q50)</f>
        <v>2800</v>
      </c>
      <c r="R52" s="48"/>
      <c r="S52" s="48"/>
      <c r="T52" s="38">
        <f>SUM(T33:T50)</f>
        <v>0</v>
      </c>
      <c r="U52" s="38">
        <f>SUM(U33:U50)</f>
        <v>0</v>
      </c>
      <c r="V52" s="38">
        <f>SUM(V33:V50)</f>
        <v>2110520</v>
      </c>
    </row>
    <row r="53" spans="1:22" ht="19.5" customHeight="1">
      <c r="E53" s="1"/>
      <c r="H53" s="1"/>
      <c r="K53" s="1"/>
      <c r="N53" s="1"/>
    </row>
    <row r="54" spans="1:22" ht="19.5" customHeight="1">
      <c r="E54" s="1"/>
      <c r="H54" s="1"/>
      <c r="K54" s="1"/>
      <c r="N54" s="66"/>
      <c r="O54" s="82" t="s">
        <v>29</v>
      </c>
      <c r="P54" s="82"/>
      <c r="Q54" s="82"/>
      <c r="R54" s="50"/>
      <c r="S54" s="50"/>
      <c r="T54" s="50"/>
      <c r="U54" s="50"/>
      <c r="V54" s="51">
        <f>V20</f>
        <v>1384800</v>
      </c>
    </row>
    <row r="55" spans="1:22" ht="19.5" customHeight="1" thickBot="1">
      <c r="E55" s="1"/>
      <c r="H55" s="1"/>
      <c r="K55" s="1"/>
      <c r="N55" s="63"/>
      <c r="O55" s="83" t="s">
        <v>30</v>
      </c>
      <c r="P55" s="83"/>
      <c r="Q55" s="83"/>
      <c r="R55" s="54"/>
      <c r="S55" s="54"/>
      <c r="T55" s="54"/>
      <c r="U55" s="54"/>
      <c r="V55" s="55">
        <f>V52</f>
        <v>2110520</v>
      </c>
    </row>
    <row r="56" spans="1:22" ht="19.5" customHeight="1" thickTop="1">
      <c r="E56" s="1"/>
      <c r="H56" s="1"/>
      <c r="K56" s="1"/>
      <c r="N56" s="66"/>
      <c r="O56" s="74" t="s">
        <v>2</v>
      </c>
      <c r="P56" s="74"/>
      <c r="Q56" s="74"/>
      <c r="R56" s="52"/>
      <c r="S56" s="52"/>
      <c r="T56" s="52"/>
      <c r="U56" s="52"/>
      <c r="V56" s="53">
        <f>V54+V55</f>
        <v>3495320</v>
      </c>
    </row>
    <row r="57" spans="1:22" ht="13.5" customHeight="1">
      <c r="E57" s="1"/>
      <c r="H57" s="1"/>
      <c r="K57" s="1"/>
      <c r="N57" s="1"/>
      <c r="O57" s="66"/>
      <c r="P57" s="66"/>
      <c r="Q57" s="66"/>
      <c r="R57" s="66"/>
      <c r="S57" s="66"/>
      <c r="T57" s="66"/>
      <c r="U57" s="66"/>
      <c r="V57" s="66"/>
    </row>
    <row r="58" spans="1:22" ht="13.5" customHeight="1">
      <c r="E58" s="1"/>
      <c r="H58" s="1"/>
      <c r="K58" s="1"/>
      <c r="N58" s="1"/>
      <c r="R58" s="63"/>
      <c r="S58" s="65"/>
      <c r="T58" s="65"/>
      <c r="U58" s="65"/>
      <c r="V58" s="65"/>
    </row>
  </sheetData>
  <mergeCells count="27">
    <mergeCell ref="A3:B4"/>
    <mergeCell ref="C4:E4"/>
    <mergeCell ref="F4:H4"/>
    <mergeCell ref="I4:K4"/>
    <mergeCell ref="L4:N4"/>
    <mergeCell ref="O4:Q4"/>
    <mergeCell ref="R4:T4"/>
    <mergeCell ref="U4:U5"/>
    <mergeCell ref="V4:V5"/>
    <mergeCell ref="D1:H1"/>
    <mergeCell ref="D28:H28"/>
    <mergeCell ref="A30:B31"/>
    <mergeCell ref="C31:E31"/>
    <mergeCell ref="F31:H31"/>
    <mergeCell ref="I31:K31"/>
    <mergeCell ref="R31:T31"/>
    <mergeCell ref="U31:U32"/>
    <mergeCell ref="V31:V32"/>
    <mergeCell ref="O20:Q20"/>
    <mergeCell ref="O21:Q21"/>
    <mergeCell ref="O22:Q22"/>
    <mergeCell ref="O54:Q54"/>
    <mergeCell ref="O55:Q55"/>
    <mergeCell ref="O56:Q56"/>
    <mergeCell ref="A29:B29"/>
    <mergeCell ref="L31:N31"/>
    <mergeCell ref="O31:Q31"/>
  </mergeCells>
  <phoneticPr fontId="2"/>
  <pageMargins left="0.39370078740157483" right="0" top="0.15748031496062992" bottom="0" header="0.19685039370078741" footer="0.19685039370078741"/>
  <pageSetup paperSize="9" fitToHeight="0" orientation="landscape" r:id="rId1"/>
  <headerFooter>
    <oddHeader>&amp;R&amp;K00-033カイト今治</oddHeader>
  </headerFooter>
  <rowBreaks count="1" manualBreakCount="1">
    <brk id="24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6"/>
  <sheetViews>
    <sheetView view="pageBreakPreview" topLeftCell="A22" zoomScale="60" zoomScaleNormal="100" workbookViewId="0">
      <selection activeCell="K37" sqref="K37"/>
    </sheetView>
  </sheetViews>
  <sheetFormatPr defaultRowHeight="17.25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6.625" style="1" bestFit="1" customWidth="1"/>
    <col min="18" max="18" width="0.125" style="1" customWidth="1"/>
    <col min="19" max="19" width="4.125" style="1" hidden="1" customWidth="1"/>
    <col min="20" max="20" width="5.375" style="1" hidden="1" customWidth="1"/>
    <col min="21" max="21" width="5.625" style="1" hidden="1" customWidth="1"/>
    <col min="22" max="22" width="17.5" style="1" customWidth="1"/>
    <col min="23" max="16384" width="9" style="1"/>
  </cols>
  <sheetData>
    <row r="1" spans="1:22" ht="21.75" customHeight="1">
      <c r="D1" s="84" t="s">
        <v>12</v>
      </c>
      <c r="E1" s="85"/>
      <c r="F1" s="85"/>
      <c r="G1" s="85"/>
      <c r="H1" s="85"/>
    </row>
    <row r="2" spans="1:22" ht="21.75" customHeight="1">
      <c r="A2" s="94" t="s">
        <v>28</v>
      </c>
      <c r="B2" s="94"/>
    </row>
    <row r="3" spans="1:22" ht="21.75" customHeight="1">
      <c r="A3" s="86" t="s">
        <v>10</v>
      </c>
      <c r="B3" s="87"/>
    </row>
    <row r="4" spans="1:22" ht="21.75" customHeight="1">
      <c r="A4" s="88"/>
      <c r="B4" s="89"/>
      <c r="C4" s="75" t="s">
        <v>9</v>
      </c>
      <c r="D4" s="76"/>
      <c r="E4" s="77"/>
      <c r="F4" s="75" t="s">
        <v>8</v>
      </c>
      <c r="G4" s="76"/>
      <c r="H4" s="77"/>
      <c r="I4" s="75" t="s">
        <v>7</v>
      </c>
      <c r="J4" s="76"/>
      <c r="K4" s="77"/>
      <c r="L4" s="75" t="s">
        <v>6</v>
      </c>
      <c r="M4" s="76"/>
      <c r="N4" s="77"/>
      <c r="O4" s="75" t="s">
        <v>5</v>
      </c>
      <c r="P4" s="76"/>
      <c r="Q4" s="77"/>
      <c r="R4" s="75" t="s">
        <v>4</v>
      </c>
      <c r="S4" s="76"/>
      <c r="T4" s="77"/>
      <c r="U4" s="78" t="s">
        <v>3</v>
      </c>
      <c r="V4" s="80" t="s">
        <v>2</v>
      </c>
    </row>
    <row r="5" spans="1:22" ht="21.75" customHeight="1" thickBot="1">
      <c r="A5" s="3"/>
      <c r="B5" s="4" t="s">
        <v>1</v>
      </c>
      <c r="C5" s="5">
        <v>5840</v>
      </c>
      <c r="D5" s="6" t="s">
        <v>0</v>
      </c>
      <c r="E5" s="7"/>
      <c r="F5" s="5">
        <v>300</v>
      </c>
      <c r="G5" s="6" t="s">
        <v>0</v>
      </c>
      <c r="H5" s="7"/>
      <c r="I5" s="5">
        <v>940</v>
      </c>
      <c r="J5" s="6" t="s">
        <v>0</v>
      </c>
      <c r="K5" s="7"/>
      <c r="L5" s="5">
        <v>130</v>
      </c>
      <c r="M5" s="6" t="s">
        <v>0</v>
      </c>
      <c r="N5" s="7"/>
      <c r="O5" s="8">
        <v>2800</v>
      </c>
      <c r="P5" s="5" t="s">
        <v>0</v>
      </c>
      <c r="Q5" s="5"/>
      <c r="R5" s="8">
        <v>1000</v>
      </c>
      <c r="S5" s="6" t="s">
        <v>0</v>
      </c>
      <c r="T5" s="5"/>
      <c r="U5" s="79"/>
      <c r="V5" s="81"/>
    </row>
    <row r="6" spans="1:22" ht="21.75" customHeight="1" thickTop="1">
      <c r="A6" s="9">
        <v>1</v>
      </c>
      <c r="B6" s="10" t="s">
        <v>17</v>
      </c>
      <c r="C6" s="11">
        <v>5840</v>
      </c>
      <c r="D6" s="12">
        <v>15</v>
      </c>
      <c r="E6" s="13">
        <f t="shared" ref="E6:E17" si="0">SUM(C6*D6)</f>
        <v>87600</v>
      </c>
      <c r="F6" s="14">
        <v>300</v>
      </c>
      <c r="G6" s="12"/>
      <c r="H6" s="13">
        <f t="shared" ref="H6:H17" si="1">SUM(F6*G6)</f>
        <v>0</v>
      </c>
      <c r="I6" s="14">
        <v>940</v>
      </c>
      <c r="J6" s="12"/>
      <c r="K6" s="13">
        <f t="shared" ref="K6:K17" si="2">SUM(I6*J6)</f>
        <v>0</v>
      </c>
      <c r="L6" s="14">
        <v>270</v>
      </c>
      <c r="M6" s="12">
        <v>30</v>
      </c>
      <c r="N6" s="15">
        <f t="shared" ref="N6:N17" si="3">SUM(L6*M6)</f>
        <v>8100</v>
      </c>
      <c r="O6" s="11">
        <v>2800</v>
      </c>
      <c r="P6" s="12"/>
      <c r="Q6" s="13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19">
        <f t="shared" ref="V6:V13" si="6">SUM(E6+H6+K6+N6+Q6+T6)</f>
        <v>95700</v>
      </c>
    </row>
    <row r="7" spans="1:22" ht="21.75" customHeight="1">
      <c r="A7" s="9">
        <v>2</v>
      </c>
      <c r="B7" s="9" t="s">
        <v>18</v>
      </c>
      <c r="C7" s="11">
        <v>5840</v>
      </c>
      <c r="D7" s="12">
        <v>16</v>
      </c>
      <c r="E7" s="13">
        <f t="shared" si="0"/>
        <v>93440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32</v>
      </c>
      <c r="N7" s="15">
        <f t="shared" si="3"/>
        <v>8640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102080</v>
      </c>
    </row>
    <row r="8" spans="1:22" ht="21.75" customHeight="1">
      <c r="A8" s="9">
        <v>3</v>
      </c>
      <c r="B8" s="9" t="s">
        <v>19</v>
      </c>
      <c r="C8" s="11">
        <v>5840</v>
      </c>
      <c r="D8" s="12">
        <v>22</v>
      </c>
      <c r="E8" s="13">
        <f t="shared" si="0"/>
        <v>128480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44</v>
      </c>
      <c r="N8" s="15">
        <f t="shared" si="3"/>
        <v>11880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140360</v>
      </c>
    </row>
    <row r="9" spans="1:22" ht="21.75" customHeight="1">
      <c r="A9" s="9">
        <v>4</v>
      </c>
      <c r="B9" s="9" t="s">
        <v>20</v>
      </c>
      <c r="C9" s="11">
        <v>5840</v>
      </c>
      <c r="D9" s="12">
        <v>17</v>
      </c>
      <c r="E9" s="13">
        <f t="shared" si="0"/>
        <v>99280</v>
      </c>
      <c r="F9" s="14">
        <v>300</v>
      </c>
      <c r="G9" s="12"/>
      <c r="H9" s="13">
        <f t="shared" si="1"/>
        <v>0</v>
      </c>
      <c r="I9" s="14">
        <v>940</v>
      </c>
      <c r="J9" s="20">
        <v>3</v>
      </c>
      <c r="K9" s="13">
        <f t="shared" si="2"/>
        <v>2820</v>
      </c>
      <c r="L9" s="14">
        <v>270</v>
      </c>
      <c r="M9" s="20">
        <v>34</v>
      </c>
      <c r="N9" s="15">
        <f t="shared" si="3"/>
        <v>9180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111280</v>
      </c>
    </row>
    <row r="10" spans="1:22" ht="21.75" customHeight="1">
      <c r="A10" s="9">
        <v>5</v>
      </c>
      <c r="B10" s="9" t="s">
        <v>21</v>
      </c>
      <c r="C10" s="11">
        <v>5840</v>
      </c>
      <c r="D10" s="12">
        <v>17</v>
      </c>
      <c r="E10" s="13">
        <f t="shared" si="0"/>
        <v>99280</v>
      </c>
      <c r="F10" s="14">
        <v>300</v>
      </c>
      <c r="G10" s="12"/>
      <c r="H10" s="13">
        <f t="shared" si="1"/>
        <v>0</v>
      </c>
      <c r="I10" s="14">
        <v>940</v>
      </c>
      <c r="J10" s="20">
        <v>4</v>
      </c>
      <c r="K10" s="13">
        <f t="shared" si="2"/>
        <v>3760</v>
      </c>
      <c r="L10" s="14">
        <v>270</v>
      </c>
      <c r="M10" s="20">
        <v>34</v>
      </c>
      <c r="N10" s="15">
        <f t="shared" si="3"/>
        <v>9180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112220</v>
      </c>
    </row>
    <row r="11" spans="1:22" ht="21.75" customHeight="1">
      <c r="A11" s="9">
        <v>6</v>
      </c>
      <c r="B11" s="9" t="s">
        <v>22</v>
      </c>
      <c r="C11" s="11">
        <v>5840</v>
      </c>
      <c r="D11" s="12">
        <v>22</v>
      </c>
      <c r="E11" s="13">
        <f t="shared" si="0"/>
        <v>128480</v>
      </c>
      <c r="F11" s="14">
        <v>300</v>
      </c>
      <c r="G11" s="12"/>
      <c r="H11" s="13">
        <f t="shared" si="1"/>
        <v>0</v>
      </c>
      <c r="I11" s="14">
        <v>940</v>
      </c>
      <c r="J11" s="20"/>
      <c r="K11" s="13">
        <f t="shared" si="2"/>
        <v>0</v>
      </c>
      <c r="L11" s="14">
        <v>270</v>
      </c>
      <c r="M11" s="20">
        <v>44</v>
      </c>
      <c r="N11" s="15">
        <f t="shared" si="3"/>
        <v>11880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140360</v>
      </c>
    </row>
    <row r="12" spans="1:22" ht="21.75" customHeight="1">
      <c r="A12" s="9">
        <v>7</v>
      </c>
      <c r="B12" s="9" t="s">
        <v>23</v>
      </c>
      <c r="C12" s="11">
        <v>5840</v>
      </c>
      <c r="D12" s="12">
        <v>22</v>
      </c>
      <c r="E12" s="13">
        <f t="shared" si="0"/>
        <v>128480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128480</v>
      </c>
    </row>
    <row r="13" spans="1:22" ht="21.75" customHeight="1">
      <c r="A13" s="9">
        <v>8</v>
      </c>
      <c r="B13" s="10" t="s">
        <v>24</v>
      </c>
      <c r="C13" s="11">
        <v>5840</v>
      </c>
      <c r="D13" s="12">
        <v>22</v>
      </c>
      <c r="E13" s="13">
        <f t="shared" si="0"/>
        <v>128480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128480</v>
      </c>
    </row>
    <row r="14" spans="1:22" ht="21.75" customHeight="1">
      <c r="A14" s="9">
        <v>9</v>
      </c>
      <c r="B14" s="10" t="s">
        <v>25</v>
      </c>
      <c r="C14" s="11">
        <v>5840</v>
      </c>
      <c r="D14" s="12">
        <v>14</v>
      </c>
      <c r="E14" s="13">
        <f t="shared" si="0"/>
        <v>81760</v>
      </c>
      <c r="F14" s="14">
        <v>300</v>
      </c>
      <c r="G14" s="12"/>
      <c r="H14" s="13">
        <f t="shared" si="1"/>
        <v>0</v>
      </c>
      <c r="I14" s="14">
        <v>940</v>
      </c>
      <c r="J14" s="12">
        <v>4</v>
      </c>
      <c r="K14" s="13">
        <f t="shared" si="2"/>
        <v>3760</v>
      </c>
      <c r="L14" s="14">
        <v>270</v>
      </c>
      <c r="M14" s="12">
        <v>28</v>
      </c>
      <c r="N14" s="15">
        <f t="shared" si="3"/>
        <v>7560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>SUM(E14+H14+K14+N14+Q14+T14)-U14</f>
        <v>93080</v>
      </c>
    </row>
    <row r="15" spans="1:22" ht="21.75" customHeight="1">
      <c r="A15" s="9">
        <v>10</v>
      </c>
      <c r="B15" s="9" t="s">
        <v>26</v>
      </c>
      <c r="C15" s="11">
        <v>5840</v>
      </c>
      <c r="D15" s="12">
        <v>8</v>
      </c>
      <c r="E15" s="13">
        <f t="shared" si="0"/>
        <v>46720</v>
      </c>
      <c r="F15" s="14">
        <v>300</v>
      </c>
      <c r="G15" s="12"/>
      <c r="H15" s="13">
        <f t="shared" si="1"/>
        <v>0</v>
      </c>
      <c r="I15" s="14">
        <v>940</v>
      </c>
      <c r="J15" s="20">
        <v>4</v>
      </c>
      <c r="K15" s="13">
        <f t="shared" si="2"/>
        <v>3760</v>
      </c>
      <c r="L15" s="14">
        <v>270</v>
      </c>
      <c r="M15" s="20">
        <v>16</v>
      </c>
      <c r="N15" s="15">
        <f t="shared" si="3"/>
        <v>4320</v>
      </c>
      <c r="O15" s="11">
        <v>2800</v>
      </c>
      <c r="P15" s="20">
        <v>1</v>
      </c>
      <c r="Q15" s="13">
        <f t="shared" si="4"/>
        <v>2800</v>
      </c>
      <c r="R15" s="21">
        <v>1000</v>
      </c>
      <c r="S15" s="22"/>
      <c r="T15" s="18">
        <f t="shared" si="5"/>
        <v>0</v>
      </c>
      <c r="U15" s="18"/>
      <c r="V15" s="19">
        <f>SUM(E15+H15+K15+N15+Q15+T15)-U15</f>
        <v>57600</v>
      </c>
    </row>
    <row r="16" spans="1:22" ht="21.75" customHeight="1">
      <c r="A16" s="9">
        <v>12</v>
      </c>
      <c r="B16" s="9" t="s">
        <v>27</v>
      </c>
      <c r="C16" s="11">
        <v>5840</v>
      </c>
      <c r="D16" s="12">
        <v>17</v>
      </c>
      <c r="E16" s="13">
        <f t="shared" si="0"/>
        <v>99280</v>
      </c>
      <c r="F16" s="14">
        <v>300</v>
      </c>
      <c r="G16" s="12"/>
      <c r="H16" s="13">
        <f t="shared" si="1"/>
        <v>0</v>
      </c>
      <c r="I16" s="14">
        <v>940</v>
      </c>
      <c r="J16" s="20">
        <v>3</v>
      </c>
      <c r="K16" s="13">
        <f t="shared" si="2"/>
        <v>2820</v>
      </c>
      <c r="L16" s="14">
        <v>270</v>
      </c>
      <c r="M16" s="20">
        <v>34</v>
      </c>
      <c r="N16" s="15">
        <f t="shared" si="3"/>
        <v>9180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>SUM(E16+H16+K16+N16+Q16+T16)-U16</f>
        <v>111280</v>
      </c>
    </row>
    <row r="17" spans="1:22" ht="21.75" customHeight="1">
      <c r="A17" s="9">
        <v>13</v>
      </c>
      <c r="B17" s="9"/>
      <c r="C17" s="11">
        <v>5840</v>
      </c>
      <c r="D17" s="12"/>
      <c r="E17" s="13">
        <f t="shared" si="0"/>
        <v>0</v>
      </c>
      <c r="F17" s="14">
        <v>300</v>
      </c>
      <c r="G17" s="12"/>
      <c r="H17" s="13">
        <f t="shared" si="1"/>
        <v>0</v>
      </c>
      <c r="I17" s="14">
        <v>940</v>
      </c>
      <c r="J17" s="20"/>
      <c r="K17" s="13">
        <f t="shared" si="2"/>
        <v>0</v>
      </c>
      <c r="L17" s="14">
        <v>270</v>
      </c>
      <c r="M17" s="20"/>
      <c r="N17" s="15">
        <f t="shared" si="3"/>
        <v>0</v>
      </c>
      <c r="O17" s="11">
        <v>2800</v>
      </c>
      <c r="P17" s="20"/>
      <c r="Q17" s="13">
        <f t="shared" si="4"/>
        <v>0</v>
      </c>
      <c r="R17" s="21">
        <v>1000</v>
      </c>
      <c r="S17" s="22"/>
      <c r="T17" s="18">
        <f t="shared" si="5"/>
        <v>0</v>
      </c>
      <c r="U17" s="18"/>
      <c r="V17" s="19">
        <f t="shared" ref="V17" si="7">SUM(E17+H17+K17+N17+Q17+T17)-U17</f>
        <v>0</v>
      </c>
    </row>
    <row r="18" spans="1:22" ht="21.75" customHeight="1">
      <c r="A18" s="24"/>
      <c r="B18" s="24"/>
      <c r="C18" s="25"/>
      <c r="D18" s="25"/>
      <c r="E18" s="26">
        <f>SUM(E6:E17)</f>
        <v>1121280</v>
      </c>
      <c r="F18" s="26"/>
      <c r="G18" s="26"/>
      <c r="H18" s="26">
        <f>SUM(H6:H17)</f>
        <v>0</v>
      </c>
      <c r="I18" s="26"/>
      <c r="J18" s="26"/>
      <c r="K18" s="26">
        <f>SUM(K6:K17)</f>
        <v>16920</v>
      </c>
      <c r="L18" s="26"/>
      <c r="M18" s="26"/>
      <c r="N18" s="26">
        <f>SUM(N6:N17)</f>
        <v>79920</v>
      </c>
      <c r="O18" s="26"/>
      <c r="P18" s="25"/>
      <c r="Q18" s="26">
        <f>SUM(Q6:Q17)</f>
        <v>2800</v>
      </c>
      <c r="R18" s="24"/>
      <c r="S18" s="24"/>
      <c r="T18" s="21">
        <f>SUM(T6:T17)</f>
        <v>0</v>
      </c>
      <c r="U18" s="21">
        <f>SUM(U6:U17)</f>
        <v>0</v>
      </c>
      <c r="V18" s="27">
        <f>SUM(V6:V17)</f>
        <v>1220920</v>
      </c>
    </row>
    <row r="19" spans="1:22" ht="21.75" customHeight="1"/>
    <row r="20" spans="1:22" ht="33" customHeight="1">
      <c r="N20" s="28"/>
      <c r="O20" s="90" t="s">
        <v>29</v>
      </c>
      <c r="P20" s="90"/>
      <c r="Q20" s="90"/>
      <c r="R20" s="29"/>
      <c r="S20" s="29"/>
      <c r="T20" s="29"/>
      <c r="U20" s="29"/>
      <c r="V20" s="30">
        <f>V18</f>
        <v>1220920</v>
      </c>
    </row>
    <row r="21" spans="1:22" ht="33" customHeight="1" thickBot="1">
      <c r="N21" s="28"/>
      <c r="O21" s="91" t="s">
        <v>30</v>
      </c>
      <c r="P21" s="91"/>
      <c r="Q21" s="91"/>
      <c r="R21" s="31"/>
      <c r="S21" s="31"/>
      <c r="T21" s="31"/>
      <c r="U21" s="31"/>
      <c r="V21" s="32">
        <f>V52</f>
        <v>1904320</v>
      </c>
    </row>
    <row r="22" spans="1:22" ht="33" customHeight="1" thickTop="1">
      <c r="N22" s="28"/>
      <c r="O22" s="92" t="s">
        <v>2</v>
      </c>
      <c r="P22" s="92"/>
      <c r="Q22" s="92"/>
      <c r="R22" s="33"/>
      <c r="S22" s="33"/>
      <c r="T22" s="33"/>
      <c r="U22" s="33"/>
      <c r="V22" s="34">
        <f>V20+V21</f>
        <v>3125240</v>
      </c>
    </row>
    <row r="23" spans="1:22" ht="21.75" customHeight="1">
      <c r="N23" s="28"/>
      <c r="O23" s="28"/>
      <c r="P23" s="28"/>
      <c r="Q23" s="28"/>
      <c r="R23" s="35"/>
      <c r="S23" s="36"/>
      <c r="T23" s="36"/>
      <c r="U23" s="36"/>
      <c r="V23" s="36"/>
    </row>
    <row r="24" spans="1:22" ht="21.75" customHeight="1"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21.75" customHeight="1">
      <c r="N25" s="36"/>
      <c r="O25" s="36"/>
      <c r="P25" s="36"/>
      <c r="Q25" s="36"/>
      <c r="R25" s="36"/>
      <c r="S25" s="36"/>
      <c r="T25" s="36"/>
      <c r="U25" s="36"/>
      <c r="V25" s="36"/>
    </row>
    <row r="26" spans="1:22" ht="21.75" customHeight="1">
      <c r="N26" s="36"/>
      <c r="O26" s="36"/>
      <c r="P26" s="36"/>
      <c r="Q26" s="36"/>
      <c r="R26" s="36"/>
      <c r="S26" s="36"/>
      <c r="T26" s="36"/>
      <c r="U26" s="36"/>
      <c r="V26" s="36"/>
    </row>
    <row r="27" spans="1:22" ht="56.25" hidden="1" customHeight="1"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21.75" customHeight="1">
      <c r="D28" s="84" t="s">
        <v>12</v>
      </c>
      <c r="E28" s="85"/>
      <c r="F28" s="85"/>
      <c r="G28" s="85"/>
      <c r="H28" s="85"/>
    </row>
    <row r="29" spans="1:22" ht="31.5" customHeight="1">
      <c r="A29" s="93" t="s">
        <v>28</v>
      </c>
      <c r="B29" s="93"/>
      <c r="E29" s="1"/>
      <c r="H29" s="1"/>
      <c r="K29" s="1"/>
      <c r="N29" s="1"/>
    </row>
    <row r="30" spans="1:22" ht="21.75" customHeight="1">
      <c r="A30" s="86" t="s">
        <v>10</v>
      </c>
      <c r="B30" s="87"/>
      <c r="E30" s="1"/>
      <c r="H30" s="1"/>
      <c r="K30" s="1"/>
      <c r="N30" s="1"/>
    </row>
    <row r="31" spans="1:22" ht="21.75" customHeight="1">
      <c r="A31" s="88"/>
      <c r="B31" s="89"/>
      <c r="C31" s="75" t="s">
        <v>9</v>
      </c>
      <c r="D31" s="76"/>
      <c r="E31" s="77"/>
      <c r="F31" s="75" t="s">
        <v>8</v>
      </c>
      <c r="G31" s="76"/>
      <c r="H31" s="77"/>
      <c r="I31" s="75" t="s">
        <v>7</v>
      </c>
      <c r="J31" s="76"/>
      <c r="K31" s="77"/>
      <c r="L31" s="75" t="s">
        <v>6</v>
      </c>
      <c r="M31" s="76"/>
      <c r="N31" s="77"/>
      <c r="O31" s="75" t="s">
        <v>5</v>
      </c>
      <c r="P31" s="76"/>
      <c r="Q31" s="77"/>
      <c r="R31" s="75" t="s">
        <v>4</v>
      </c>
      <c r="S31" s="76"/>
      <c r="T31" s="77"/>
      <c r="U31" s="78" t="s">
        <v>3</v>
      </c>
      <c r="V31" s="80" t="s">
        <v>2</v>
      </c>
    </row>
    <row r="32" spans="1:22" ht="21.75" customHeight="1" thickBot="1">
      <c r="A32" s="3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79"/>
      <c r="V32" s="81"/>
    </row>
    <row r="33" spans="1:22" ht="19.5" customHeight="1" thickTop="1">
      <c r="A33" s="24">
        <v>1</v>
      </c>
      <c r="B33" s="37" t="s">
        <v>31</v>
      </c>
      <c r="C33" s="11">
        <v>5840</v>
      </c>
      <c r="D33" s="12">
        <v>20</v>
      </c>
      <c r="E33" s="13">
        <f t="shared" ref="E33:E51" si="8">SUM(C33*D33)</f>
        <v>116800</v>
      </c>
      <c r="F33" s="14">
        <v>300</v>
      </c>
      <c r="G33" s="12"/>
      <c r="H33" s="13">
        <f t="shared" ref="H33:H51" si="9">SUM(F33*G33)</f>
        <v>0</v>
      </c>
      <c r="I33" s="14">
        <v>940</v>
      </c>
      <c r="J33" s="12">
        <v>2</v>
      </c>
      <c r="K33" s="13">
        <f t="shared" ref="K33:K51" si="10">SUM(I33*J33)</f>
        <v>1880</v>
      </c>
      <c r="L33" s="14">
        <v>130</v>
      </c>
      <c r="M33" s="12">
        <v>40</v>
      </c>
      <c r="N33" s="15">
        <f t="shared" ref="N33:N51" si="11">SUM(L33*M33)</f>
        <v>5200</v>
      </c>
      <c r="O33" s="11">
        <v>2800</v>
      </c>
      <c r="P33" s="12"/>
      <c r="Q33" s="13">
        <f t="shared" ref="Q33:Q51" si="12">SUM(O33*P33)</f>
        <v>0</v>
      </c>
      <c r="R33" s="16">
        <v>1000</v>
      </c>
      <c r="S33" s="17"/>
      <c r="T33" s="18">
        <f t="shared" ref="T33:T51" si="13">SUM(S33*R33)</f>
        <v>0</v>
      </c>
      <c r="U33" s="18"/>
      <c r="V33" s="38">
        <f t="shared" ref="V33:V41" si="14">SUM(E33+H33+K33+N33+Q33+T33)</f>
        <v>123880</v>
      </c>
    </row>
    <row r="34" spans="1:22" ht="19.5" customHeight="1">
      <c r="A34" s="24">
        <v>2</v>
      </c>
      <c r="B34" s="39" t="s">
        <v>32</v>
      </c>
      <c r="C34" s="11">
        <v>5840</v>
      </c>
      <c r="D34" s="12">
        <v>22</v>
      </c>
      <c r="E34" s="13">
        <f t="shared" si="8"/>
        <v>128480</v>
      </c>
      <c r="F34" s="14">
        <v>300</v>
      </c>
      <c r="G34" s="12"/>
      <c r="H34" s="13">
        <f t="shared" si="9"/>
        <v>0</v>
      </c>
      <c r="I34" s="14">
        <v>940</v>
      </c>
      <c r="J34" s="20"/>
      <c r="K34" s="13">
        <f t="shared" si="10"/>
        <v>0</v>
      </c>
      <c r="L34" s="14">
        <v>130</v>
      </c>
      <c r="M34" s="20">
        <v>44</v>
      </c>
      <c r="N34" s="15">
        <f t="shared" si="11"/>
        <v>5720</v>
      </c>
      <c r="O34" s="11">
        <v>2800</v>
      </c>
      <c r="P34" s="20"/>
      <c r="Q34" s="13">
        <f t="shared" si="12"/>
        <v>0</v>
      </c>
      <c r="R34" s="21">
        <v>1000</v>
      </c>
      <c r="S34" s="22"/>
      <c r="T34" s="18">
        <f t="shared" si="13"/>
        <v>0</v>
      </c>
      <c r="U34" s="18"/>
      <c r="V34" s="38">
        <f t="shared" si="14"/>
        <v>134200</v>
      </c>
    </row>
    <row r="35" spans="1:22" ht="19.5" customHeight="1">
      <c r="A35" s="24">
        <v>3</v>
      </c>
      <c r="B35" s="39" t="s">
        <v>33</v>
      </c>
      <c r="C35" s="11">
        <v>5840</v>
      </c>
      <c r="D35" s="12"/>
      <c r="E35" s="13">
        <f t="shared" si="8"/>
        <v>0</v>
      </c>
      <c r="F35" s="14">
        <v>300</v>
      </c>
      <c r="G35" s="12"/>
      <c r="H35" s="13">
        <f t="shared" si="9"/>
        <v>0</v>
      </c>
      <c r="I35" s="14">
        <v>940</v>
      </c>
      <c r="J35" s="20"/>
      <c r="K35" s="13">
        <f t="shared" si="10"/>
        <v>0</v>
      </c>
      <c r="L35" s="14">
        <v>130</v>
      </c>
      <c r="M35" s="20"/>
      <c r="N35" s="15">
        <f t="shared" si="11"/>
        <v>0</v>
      </c>
      <c r="O35" s="11">
        <v>2800</v>
      </c>
      <c r="P35" s="20"/>
      <c r="Q35" s="13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si="14"/>
        <v>0</v>
      </c>
    </row>
    <row r="36" spans="1:22" ht="19.5" customHeight="1">
      <c r="A36" s="24">
        <v>4</v>
      </c>
      <c r="B36" s="39" t="s">
        <v>14</v>
      </c>
      <c r="C36" s="11">
        <v>5840</v>
      </c>
      <c r="D36" s="12">
        <v>19</v>
      </c>
      <c r="E36" s="13">
        <f t="shared" si="8"/>
        <v>110960</v>
      </c>
      <c r="F36" s="14">
        <v>300</v>
      </c>
      <c r="G36" s="12"/>
      <c r="H36" s="13">
        <f t="shared" si="9"/>
        <v>0</v>
      </c>
      <c r="I36" s="14">
        <v>940</v>
      </c>
      <c r="J36" s="20">
        <v>3</v>
      </c>
      <c r="K36" s="13">
        <f t="shared" si="10"/>
        <v>2820</v>
      </c>
      <c r="L36" s="14">
        <v>130</v>
      </c>
      <c r="M36" s="20">
        <v>38</v>
      </c>
      <c r="N36" s="15">
        <f t="shared" si="11"/>
        <v>4940</v>
      </c>
      <c r="O36" s="11">
        <v>2800</v>
      </c>
      <c r="P36" s="20"/>
      <c r="Q36" s="13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4"/>
        <v>118720</v>
      </c>
    </row>
    <row r="37" spans="1:22" ht="19.5" customHeight="1">
      <c r="A37" s="24">
        <v>5</v>
      </c>
      <c r="B37" s="39" t="s">
        <v>34</v>
      </c>
      <c r="C37" s="11">
        <v>5840</v>
      </c>
      <c r="D37" s="12">
        <v>12</v>
      </c>
      <c r="E37" s="13">
        <f t="shared" si="8"/>
        <v>70080</v>
      </c>
      <c r="F37" s="14">
        <v>300</v>
      </c>
      <c r="G37" s="12"/>
      <c r="H37" s="13">
        <f t="shared" si="9"/>
        <v>0</v>
      </c>
      <c r="I37" s="14">
        <v>940</v>
      </c>
      <c r="J37" s="20">
        <v>4</v>
      </c>
      <c r="K37" s="13">
        <f t="shared" si="10"/>
        <v>3760</v>
      </c>
      <c r="L37" s="14">
        <v>130</v>
      </c>
      <c r="M37" s="20">
        <v>24</v>
      </c>
      <c r="N37" s="15">
        <f t="shared" si="11"/>
        <v>3120</v>
      </c>
      <c r="O37" s="11">
        <v>2800</v>
      </c>
      <c r="P37" s="20"/>
      <c r="Q37" s="13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4"/>
        <v>76960</v>
      </c>
    </row>
    <row r="38" spans="1:22" ht="19.5" customHeight="1">
      <c r="A38" s="24">
        <v>6</v>
      </c>
      <c r="B38" s="39" t="s">
        <v>35</v>
      </c>
      <c r="C38" s="11">
        <v>5840</v>
      </c>
      <c r="D38" s="12">
        <v>18</v>
      </c>
      <c r="E38" s="13">
        <f t="shared" si="8"/>
        <v>105120</v>
      </c>
      <c r="F38" s="14">
        <v>300</v>
      </c>
      <c r="G38" s="12"/>
      <c r="H38" s="13">
        <f t="shared" si="9"/>
        <v>0</v>
      </c>
      <c r="I38" s="14">
        <v>940</v>
      </c>
      <c r="J38" s="20">
        <v>4</v>
      </c>
      <c r="K38" s="13">
        <f t="shared" si="10"/>
        <v>3760</v>
      </c>
      <c r="L38" s="14">
        <v>130</v>
      </c>
      <c r="M38" s="20"/>
      <c r="N38" s="15">
        <f t="shared" si="11"/>
        <v>0</v>
      </c>
      <c r="O38" s="11">
        <v>2800</v>
      </c>
      <c r="P38" s="20"/>
      <c r="Q38" s="13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4"/>
        <v>108880</v>
      </c>
    </row>
    <row r="39" spans="1:22" ht="19.5" customHeight="1">
      <c r="A39" s="24">
        <v>7</v>
      </c>
      <c r="B39" s="39" t="s">
        <v>36</v>
      </c>
      <c r="C39" s="11">
        <v>5840</v>
      </c>
      <c r="D39" s="12">
        <v>16</v>
      </c>
      <c r="E39" s="13">
        <f t="shared" si="8"/>
        <v>93440</v>
      </c>
      <c r="F39" s="14">
        <v>300</v>
      </c>
      <c r="G39" s="12"/>
      <c r="H39" s="13">
        <f t="shared" si="9"/>
        <v>0</v>
      </c>
      <c r="I39" s="14">
        <v>940</v>
      </c>
      <c r="J39" s="20">
        <v>4</v>
      </c>
      <c r="K39" s="13">
        <f t="shared" si="10"/>
        <v>3760</v>
      </c>
      <c r="L39" s="14">
        <v>130</v>
      </c>
      <c r="M39" s="20">
        <v>32</v>
      </c>
      <c r="N39" s="15">
        <f t="shared" si="11"/>
        <v>4160</v>
      </c>
      <c r="O39" s="11">
        <v>2800</v>
      </c>
      <c r="P39" s="20"/>
      <c r="Q39" s="13">
        <f t="shared" si="12"/>
        <v>0</v>
      </c>
      <c r="R39" s="21">
        <v>1000</v>
      </c>
      <c r="S39" s="22"/>
      <c r="T39" s="18">
        <f t="shared" si="13"/>
        <v>0</v>
      </c>
      <c r="U39" s="18"/>
      <c r="V39" s="38">
        <f t="shared" si="14"/>
        <v>101360</v>
      </c>
    </row>
    <row r="40" spans="1:22" ht="19.5" customHeight="1">
      <c r="A40" s="24">
        <v>8</v>
      </c>
      <c r="B40" s="39" t="s">
        <v>37</v>
      </c>
      <c r="C40" s="11">
        <v>5840</v>
      </c>
      <c r="D40" s="12">
        <v>22</v>
      </c>
      <c r="E40" s="13">
        <f t="shared" si="8"/>
        <v>128480</v>
      </c>
      <c r="F40" s="14">
        <v>300</v>
      </c>
      <c r="G40" s="12"/>
      <c r="H40" s="13">
        <f t="shared" si="9"/>
        <v>0</v>
      </c>
      <c r="I40" s="14">
        <v>940</v>
      </c>
      <c r="J40" s="20"/>
      <c r="K40" s="13">
        <f t="shared" si="10"/>
        <v>0</v>
      </c>
      <c r="L40" s="14">
        <v>130</v>
      </c>
      <c r="M40" s="20"/>
      <c r="N40" s="15">
        <f t="shared" si="11"/>
        <v>0</v>
      </c>
      <c r="O40" s="11">
        <v>2800</v>
      </c>
      <c r="P40" s="20"/>
      <c r="Q40" s="13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4"/>
        <v>128480</v>
      </c>
    </row>
    <row r="41" spans="1:22" ht="19.5" customHeight="1">
      <c r="A41" s="24">
        <v>9</v>
      </c>
      <c r="B41" s="37" t="s">
        <v>38</v>
      </c>
      <c r="C41" s="11">
        <v>5840</v>
      </c>
      <c r="D41" s="12">
        <v>17</v>
      </c>
      <c r="E41" s="13">
        <f t="shared" si="8"/>
        <v>99280</v>
      </c>
      <c r="F41" s="14">
        <v>300</v>
      </c>
      <c r="G41" s="12"/>
      <c r="H41" s="13">
        <f t="shared" si="9"/>
        <v>0</v>
      </c>
      <c r="I41" s="14">
        <v>940</v>
      </c>
      <c r="J41" s="20">
        <v>4</v>
      </c>
      <c r="K41" s="13">
        <f t="shared" si="10"/>
        <v>3760</v>
      </c>
      <c r="L41" s="14">
        <v>130</v>
      </c>
      <c r="M41" s="20">
        <v>34</v>
      </c>
      <c r="N41" s="15">
        <f t="shared" si="11"/>
        <v>4420</v>
      </c>
      <c r="O41" s="11">
        <v>2800</v>
      </c>
      <c r="P41" s="20"/>
      <c r="Q41" s="13">
        <f t="shared" si="12"/>
        <v>0</v>
      </c>
      <c r="R41" s="21">
        <v>1000</v>
      </c>
      <c r="S41" s="22"/>
      <c r="T41" s="18">
        <f t="shared" si="13"/>
        <v>0</v>
      </c>
      <c r="U41" s="18"/>
      <c r="V41" s="38">
        <f t="shared" si="14"/>
        <v>107460</v>
      </c>
    </row>
    <row r="42" spans="1:22" ht="19.5" customHeight="1">
      <c r="A42" s="24">
        <v>10</v>
      </c>
      <c r="B42" s="37" t="s">
        <v>39</v>
      </c>
      <c r="C42" s="11">
        <v>5840</v>
      </c>
      <c r="D42" s="12">
        <v>19</v>
      </c>
      <c r="E42" s="13">
        <f t="shared" si="8"/>
        <v>110960</v>
      </c>
      <c r="F42" s="14">
        <v>300</v>
      </c>
      <c r="G42" s="12"/>
      <c r="H42" s="13">
        <f t="shared" si="9"/>
        <v>0</v>
      </c>
      <c r="I42" s="14">
        <v>940</v>
      </c>
      <c r="J42" s="12">
        <v>3</v>
      </c>
      <c r="K42" s="13">
        <f t="shared" si="10"/>
        <v>2820</v>
      </c>
      <c r="L42" s="14">
        <v>130</v>
      </c>
      <c r="M42" s="12">
        <v>38</v>
      </c>
      <c r="N42" s="15">
        <f t="shared" si="11"/>
        <v>4940</v>
      </c>
      <c r="O42" s="11">
        <v>2800</v>
      </c>
      <c r="P42" s="12"/>
      <c r="Q42" s="13">
        <f t="shared" si="12"/>
        <v>0</v>
      </c>
      <c r="R42" s="23">
        <v>1000</v>
      </c>
      <c r="S42" s="17"/>
      <c r="T42" s="18">
        <f t="shared" si="13"/>
        <v>0</v>
      </c>
      <c r="U42" s="18"/>
      <c r="V42" s="38">
        <f>SUM(E42+H42+K42+N42+Q42+T42)-U42</f>
        <v>118720</v>
      </c>
    </row>
    <row r="43" spans="1:22" ht="19.5" customHeight="1">
      <c r="A43" s="24">
        <v>11</v>
      </c>
      <c r="B43" s="39" t="s">
        <v>40</v>
      </c>
      <c r="C43" s="11">
        <v>5840</v>
      </c>
      <c r="D43" s="12">
        <v>4</v>
      </c>
      <c r="E43" s="13">
        <f t="shared" si="8"/>
        <v>23360</v>
      </c>
      <c r="F43" s="14">
        <v>300</v>
      </c>
      <c r="G43" s="12"/>
      <c r="H43" s="13">
        <f t="shared" si="9"/>
        <v>0</v>
      </c>
      <c r="I43" s="14">
        <v>940</v>
      </c>
      <c r="J43" s="20">
        <v>4</v>
      </c>
      <c r="K43" s="13">
        <f t="shared" si="10"/>
        <v>3760</v>
      </c>
      <c r="L43" s="14">
        <v>130</v>
      </c>
      <c r="M43" s="20">
        <v>8</v>
      </c>
      <c r="N43" s="15">
        <f t="shared" si="11"/>
        <v>1040</v>
      </c>
      <c r="O43" s="11">
        <v>2800</v>
      </c>
      <c r="P43" s="20"/>
      <c r="Q43" s="13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>SUM(E43+H43+K43+N43+Q43+T43)-U43</f>
        <v>28160</v>
      </c>
    </row>
    <row r="44" spans="1:22" ht="19.5" customHeight="1">
      <c r="A44" s="24">
        <v>12</v>
      </c>
      <c r="B44" s="39" t="s">
        <v>41</v>
      </c>
      <c r="C44" s="11">
        <v>5840</v>
      </c>
      <c r="D44" s="12">
        <v>20</v>
      </c>
      <c r="E44" s="13">
        <f t="shared" si="8"/>
        <v>116800</v>
      </c>
      <c r="F44" s="14">
        <v>300</v>
      </c>
      <c r="G44" s="12"/>
      <c r="H44" s="13">
        <f t="shared" si="9"/>
        <v>0</v>
      </c>
      <c r="I44" s="14">
        <v>940</v>
      </c>
      <c r="J44" s="20">
        <v>2</v>
      </c>
      <c r="K44" s="13">
        <f t="shared" si="10"/>
        <v>1880</v>
      </c>
      <c r="L44" s="14">
        <v>130</v>
      </c>
      <c r="M44" s="20">
        <v>40</v>
      </c>
      <c r="N44" s="15">
        <f t="shared" si="11"/>
        <v>5200</v>
      </c>
      <c r="O44" s="11">
        <v>2800</v>
      </c>
      <c r="P44" s="20"/>
      <c r="Q44" s="13">
        <f t="shared" si="12"/>
        <v>0</v>
      </c>
      <c r="R44" s="21">
        <v>1000</v>
      </c>
      <c r="S44" s="22"/>
      <c r="T44" s="18">
        <f t="shared" si="13"/>
        <v>0</v>
      </c>
      <c r="U44" s="18"/>
      <c r="V44" s="38">
        <f>SUM(E44+H44+K44+N44+Q44+T44)-U44</f>
        <v>123880</v>
      </c>
    </row>
    <row r="45" spans="1:22" ht="19.5" customHeight="1">
      <c r="A45" s="24">
        <v>13</v>
      </c>
      <c r="B45" s="39" t="s">
        <v>42</v>
      </c>
      <c r="C45" s="11">
        <v>5840</v>
      </c>
      <c r="D45" s="12">
        <v>20</v>
      </c>
      <c r="E45" s="13">
        <f t="shared" si="8"/>
        <v>116800</v>
      </c>
      <c r="F45" s="14">
        <v>300</v>
      </c>
      <c r="G45" s="12"/>
      <c r="H45" s="13">
        <f t="shared" si="9"/>
        <v>0</v>
      </c>
      <c r="I45" s="14">
        <v>940</v>
      </c>
      <c r="J45" s="20">
        <v>2</v>
      </c>
      <c r="K45" s="13">
        <f t="shared" si="10"/>
        <v>1880</v>
      </c>
      <c r="L45" s="14">
        <v>130</v>
      </c>
      <c r="M45" s="20">
        <v>40</v>
      </c>
      <c r="N45" s="15">
        <f t="shared" si="11"/>
        <v>5200</v>
      </c>
      <c r="O45" s="11">
        <v>2800</v>
      </c>
      <c r="P45" s="20"/>
      <c r="Q45" s="13">
        <f t="shared" si="12"/>
        <v>0</v>
      </c>
      <c r="R45" s="21">
        <v>1001</v>
      </c>
      <c r="S45" s="22"/>
      <c r="T45" s="18">
        <f t="shared" si="13"/>
        <v>0</v>
      </c>
      <c r="U45" s="18"/>
      <c r="V45" s="38">
        <f t="shared" ref="V45:V47" si="15">SUM(E45+H45+K45+N45+Q45+T45)-U45</f>
        <v>123880</v>
      </c>
    </row>
    <row r="46" spans="1:22" ht="19.5" customHeight="1">
      <c r="A46" s="24">
        <v>14</v>
      </c>
      <c r="B46" s="39" t="s">
        <v>43</v>
      </c>
      <c r="C46" s="11">
        <v>5840</v>
      </c>
      <c r="D46" s="12">
        <v>11</v>
      </c>
      <c r="E46" s="13">
        <f t="shared" si="8"/>
        <v>64240</v>
      </c>
      <c r="F46" s="14">
        <v>300</v>
      </c>
      <c r="G46" s="12">
        <v>11</v>
      </c>
      <c r="H46" s="13">
        <f t="shared" si="9"/>
        <v>3300</v>
      </c>
      <c r="I46" s="14">
        <v>940</v>
      </c>
      <c r="J46" s="20">
        <v>0</v>
      </c>
      <c r="K46" s="13">
        <f t="shared" si="10"/>
        <v>0</v>
      </c>
      <c r="L46" s="14">
        <v>130</v>
      </c>
      <c r="M46" s="20">
        <v>22</v>
      </c>
      <c r="N46" s="15">
        <f t="shared" si="11"/>
        <v>2860</v>
      </c>
      <c r="O46" s="11">
        <v>2800</v>
      </c>
      <c r="P46" s="20"/>
      <c r="Q46" s="13">
        <f t="shared" si="12"/>
        <v>0</v>
      </c>
      <c r="R46" s="21">
        <v>1001</v>
      </c>
      <c r="S46" s="22"/>
      <c r="T46" s="18">
        <f t="shared" si="13"/>
        <v>0</v>
      </c>
      <c r="U46" s="18"/>
      <c r="V46" s="38">
        <f t="shared" ref="V46" si="16">SUM(E46+H46+K46+N46+Q46+T46)-U46</f>
        <v>70400</v>
      </c>
    </row>
    <row r="47" spans="1:22" ht="19.5" customHeight="1">
      <c r="A47" s="24">
        <v>15</v>
      </c>
      <c r="B47" s="39" t="s">
        <v>44</v>
      </c>
      <c r="C47" s="11">
        <v>5840</v>
      </c>
      <c r="D47" s="12">
        <v>12</v>
      </c>
      <c r="E47" s="13">
        <f t="shared" si="8"/>
        <v>70080</v>
      </c>
      <c r="F47" s="14">
        <v>300</v>
      </c>
      <c r="G47" s="12"/>
      <c r="H47" s="13">
        <f t="shared" si="9"/>
        <v>0</v>
      </c>
      <c r="I47" s="14">
        <v>940</v>
      </c>
      <c r="J47" s="20"/>
      <c r="K47" s="13">
        <f t="shared" si="10"/>
        <v>0</v>
      </c>
      <c r="L47" s="14">
        <v>130</v>
      </c>
      <c r="M47" s="20"/>
      <c r="N47" s="15">
        <f t="shared" si="11"/>
        <v>0</v>
      </c>
      <c r="O47" s="11">
        <v>2800</v>
      </c>
      <c r="P47" s="20"/>
      <c r="Q47" s="13">
        <f t="shared" si="12"/>
        <v>0</v>
      </c>
      <c r="R47" s="21">
        <v>1002</v>
      </c>
      <c r="S47" s="22"/>
      <c r="T47" s="18">
        <f t="shared" si="13"/>
        <v>0</v>
      </c>
      <c r="U47" s="18"/>
      <c r="V47" s="38">
        <f t="shared" si="15"/>
        <v>70080</v>
      </c>
    </row>
    <row r="48" spans="1:22" ht="19.5" customHeight="1">
      <c r="A48" s="24">
        <v>16</v>
      </c>
      <c r="B48" s="39" t="s">
        <v>45</v>
      </c>
      <c r="C48" s="11">
        <v>8040</v>
      </c>
      <c r="D48" s="12">
        <v>18</v>
      </c>
      <c r="E48" s="13">
        <f t="shared" si="8"/>
        <v>144720</v>
      </c>
      <c r="F48" s="14">
        <v>300</v>
      </c>
      <c r="G48" s="12"/>
      <c r="H48" s="13">
        <f t="shared" si="9"/>
        <v>0</v>
      </c>
      <c r="I48" s="14">
        <v>940</v>
      </c>
      <c r="J48" s="20">
        <v>4</v>
      </c>
      <c r="K48" s="13">
        <f t="shared" si="10"/>
        <v>3760</v>
      </c>
      <c r="L48" s="14">
        <v>130</v>
      </c>
      <c r="M48" s="20">
        <v>36</v>
      </c>
      <c r="N48" s="15">
        <f t="shared" si="11"/>
        <v>4680</v>
      </c>
      <c r="O48" s="11">
        <v>2800</v>
      </c>
      <c r="P48" s="20"/>
      <c r="Q48" s="13">
        <f t="shared" si="12"/>
        <v>0</v>
      </c>
      <c r="R48" s="21">
        <v>1000</v>
      </c>
      <c r="S48" s="22"/>
      <c r="T48" s="18">
        <f t="shared" si="13"/>
        <v>0</v>
      </c>
      <c r="U48" s="18"/>
      <c r="V48" s="38">
        <f>SUM(E48+H48+K48+N48+Q48+T48)</f>
        <v>153160</v>
      </c>
    </row>
    <row r="49" spans="1:22" ht="19.5" customHeight="1">
      <c r="A49" s="24">
        <v>17</v>
      </c>
      <c r="B49" s="39" t="s">
        <v>46</v>
      </c>
      <c r="C49" s="11">
        <v>8040</v>
      </c>
      <c r="D49" s="12">
        <v>19</v>
      </c>
      <c r="E49" s="13">
        <f t="shared" si="8"/>
        <v>152760</v>
      </c>
      <c r="F49" s="14">
        <v>300</v>
      </c>
      <c r="G49" s="12"/>
      <c r="H49" s="13">
        <f t="shared" si="9"/>
        <v>0</v>
      </c>
      <c r="I49" s="14">
        <v>940</v>
      </c>
      <c r="J49" s="20">
        <v>3</v>
      </c>
      <c r="K49" s="13">
        <f t="shared" si="10"/>
        <v>2820</v>
      </c>
      <c r="L49" s="14">
        <v>130</v>
      </c>
      <c r="M49" s="20">
        <v>38</v>
      </c>
      <c r="N49" s="15">
        <f t="shared" si="11"/>
        <v>4940</v>
      </c>
      <c r="O49" s="11">
        <v>2800</v>
      </c>
      <c r="P49" s="20"/>
      <c r="Q49" s="13">
        <f t="shared" si="12"/>
        <v>0</v>
      </c>
      <c r="R49" s="21">
        <v>1000</v>
      </c>
      <c r="S49" s="22"/>
      <c r="T49" s="18">
        <f t="shared" si="13"/>
        <v>0</v>
      </c>
      <c r="U49" s="18"/>
      <c r="V49" s="38">
        <f>SUM(E49+H49+K49+N49+Q49+T49)</f>
        <v>160520</v>
      </c>
    </row>
    <row r="50" spans="1:22" ht="19.5" customHeight="1">
      <c r="A50" s="24">
        <v>18</v>
      </c>
      <c r="B50" s="39" t="s">
        <v>47</v>
      </c>
      <c r="C50" s="11">
        <v>8040</v>
      </c>
      <c r="D50" s="12">
        <v>19</v>
      </c>
      <c r="E50" s="13">
        <f t="shared" si="8"/>
        <v>152760</v>
      </c>
      <c r="F50" s="14">
        <v>300</v>
      </c>
      <c r="G50" s="12"/>
      <c r="H50" s="13">
        <f t="shared" si="9"/>
        <v>0</v>
      </c>
      <c r="I50" s="14">
        <v>940</v>
      </c>
      <c r="J50" s="20">
        <v>3</v>
      </c>
      <c r="K50" s="13">
        <f t="shared" si="10"/>
        <v>2820</v>
      </c>
      <c r="L50" s="14">
        <v>130</v>
      </c>
      <c r="M50" s="20"/>
      <c r="N50" s="15">
        <f t="shared" si="11"/>
        <v>0</v>
      </c>
      <c r="O50" s="11">
        <v>2800</v>
      </c>
      <c r="P50" s="20"/>
      <c r="Q50" s="13">
        <f t="shared" si="12"/>
        <v>0</v>
      </c>
      <c r="R50" s="21"/>
      <c r="S50" s="22"/>
      <c r="T50" s="18">
        <f t="shared" si="13"/>
        <v>0</v>
      </c>
      <c r="U50" s="18"/>
      <c r="V50" s="38">
        <f>SUM(E50+H50+K50+N50+Q50+T50)</f>
        <v>155580</v>
      </c>
    </row>
    <row r="51" spans="1:22" ht="19.5" customHeight="1" thickBot="1">
      <c r="A51" s="5"/>
      <c r="B51" s="5"/>
      <c r="C51" s="40">
        <v>5840</v>
      </c>
      <c r="D51" s="41">
        <v>0</v>
      </c>
      <c r="E51" s="42">
        <f t="shared" si="8"/>
        <v>0</v>
      </c>
      <c r="F51" s="43">
        <v>300</v>
      </c>
      <c r="G51" s="41"/>
      <c r="H51" s="42">
        <f t="shared" si="9"/>
        <v>0</v>
      </c>
      <c r="I51" s="43">
        <v>940</v>
      </c>
      <c r="J51" s="41"/>
      <c r="K51" s="42">
        <f t="shared" si="10"/>
        <v>0</v>
      </c>
      <c r="L51" s="43">
        <v>130</v>
      </c>
      <c r="M51" s="41"/>
      <c r="N51" s="44">
        <f t="shared" si="11"/>
        <v>0</v>
      </c>
      <c r="O51" s="40">
        <v>2800</v>
      </c>
      <c r="P51" s="41"/>
      <c r="Q51" s="42">
        <f t="shared" si="12"/>
        <v>0</v>
      </c>
      <c r="R51" s="8"/>
      <c r="S51" s="45"/>
      <c r="T51" s="46">
        <f t="shared" si="13"/>
        <v>0</v>
      </c>
      <c r="U51" s="46"/>
      <c r="V51" s="47">
        <f>SUM(E51+H51+K51+N51+Q51+T51)</f>
        <v>0</v>
      </c>
    </row>
    <row r="52" spans="1:22" ht="19.5" customHeight="1" thickTop="1">
      <c r="A52" s="48"/>
      <c r="B52" s="48"/>
      <c r="C52" s="48"/>
      <c r="D52" s="48"/>
      <c r="E52" s="38">
        <f>SUM(E33:E51)</f>
        <v>1805120</v>
      </c>
      <c r="F52" s="38"/>
      <c r="G52" s="38"/>
      <c r="H52" s="38">
        <f>SUM(H33:H51)</f>
        <v>3300</v>
      </c>
      <c r="I52" s="38"/>
      <c r="J52" s="38"/>
      <c r="K52" s="38">
        <f>SUM(K33:K51)</f>
        <v>39480</v>
      </c>
      <c r="L52" s="38"/>
      <c r="M52" s="38"/>
      <c r="N52" s="38">
        <f>SUM(N33:N51)</f>
        <v>56420</v>
      </c>
      <c r="O52" s="38"/>
      <c r="P52" s="48"/>
      <c r="Q52" s="38">
        <f>SUM(Q33:Q51)</f>
        <v>0</v>
      </c>
      <c r="R52" s="48"/>
      <c r="S52" s="48"/>
      <c r="T52" s="38">
        <f>SUM(T33:T51)</f>
        <v>0</v>
      </c>
      <c r="U52" s="38">
        <f>SUM(U33:U51)</f>
        <v>0</v>
      </c>
      <c r="V52" s="38">
        <f>SUM(V33:V51)</f>
        <v>1904320</v>
      </c>
    </row>
    <row r="53" spans="1:22" ht="19.5" customHeight="1"/>
    <row r="54" spans="1:22" s="49" customFormat="1" ht="19.5" customHeight="1">
      <c r="O54" s="82" t="s">
        <v>29</v>
      </c>
      <c r="P54" s="82"/>
      <c r="Q54" s="82"/>
      <c r="R54" s="50"/>
      <c r="S54" s="50"/>
      <c r="T54" s="50"/>
      <c r="U54" s="50"/>
      <c r="V54" s="51">
        <f>V20</f>
        <v>1220920</v>
      </c>
    </row>
    <row r="55" spans="1:22" s="49" customFormat="1" ht="19.5" customHeight="1" thickBot="1">
      <c r="O55" s="83" t="s">
        <v>30</v>
      </c>
      <c r="P55" s="83"/>
      <c r="Q55" s="83"/>
      <c r="R55" s="54"/>
      <c r="S55" s="54"/>
      <c r="T55" s="54"/>
      <c r="U55" s="54"/>
      <c r="V55" s="55">
        <f>V52</f>
        <v>1904320</v>
      </c>
    </row>
    <row r="56" spans="1:22" s="49" customFormat="1" ht="19.5" customHeight="1" thickTop="1">
      <c r="O56" s="74" t="s">
        <v>2</v>
      </c>
      <c r="P56" s="74"/>
      <c r="Q56" s="74"/>
      <c r="R56" s="52"/>
      <c r="S56" s="52"/>
      <c r="T56" s="52"/>
      <c r="U56" s="52"/>
      <c r="V56" s="53">
        <f>V54+V55</f>
        <v>3125240</v>
      </c>
    </row>
  </sheetData>
  <mergeCells count="28">
    <mergeCell ref="V4:V5"/>
    <mergeCell ref="D1:H1"/>
    <mergeCell ref="A3:B4"/>
    <mergeCell ref="C4:E4"/>
    <mergeCell ref="F4:H4"/>
    <mergeCell ref="I4:K4"/>
    <mergeCell ref="L4:N4"/>
    <mergeCell ref="U31:U32"/>
    <mergeCell ref="V31:V32"/>
    <mergeCell ref="A2:B2"/>
    <mergeCell ref="A29:B29"/>
    <mergeCell ref="O20:Q20"/>
    <mergeCell ref="O21:Q21"/>
    <mergeCell ref="O22:Q22"/>
    <mergeCell ref="A30:B31"/>
    <mergeCell ref="C31:E31"/>
    <mergeCell ref="F31:H31"/>
    <mergeCell ref="I31:K31"/>
    <mergeCell ref="L31:N31"/>
    <mergeCell ref="O31:Q31"/>
    <mergeCell ref="O4:Q4"/>
    <mergeCell ref="R4:T4"/>
    <mergeCell ref="U4:U5"/>
    <mergeCell ref="O54:Q54"/>
    <mergeCell ref="O55:Q55"/>
    <mergeCell ref="O56:Q56"/>
    <mergeCell ref="D28:H28"/>
    <mergeCell ref="R31:T31"/>
  </mergeCells>
  <phoneticPr fontId="2"/>
  <pageMargins left="0.39370078740157483" right="0" top="0.15748031496062992" bottom="0" header="0.19685039370078741" footer="0.19685039370078741"/>
  <pageSetup paperSize="9" fitToHeight="0" orientation="landscape" r:id="rId1"/>
  <headerFooter>
    <oddHeader>&amp;R&amp;K00-033カイト今治</oddHeader>
  </headerFooter>
  <rowBreaks count="1" manualBreakCount="1">
    <brk id="27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8"/>
  <sheetViews>
    <sheetView view="pageBreakPreview" topLeftCell="A7" zoomScale="85" zoomScaleNormal="100" zoomScaleSheetLayoutView="85" workbookViewId="0">
      <selection activeCell="M19" sqref="M19"/>
    </sheetView>
  </sheetViews>
  <sheetFormatPr defaultRowHeight="17.25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8.875" style="1" customWidth="1"/>
    <col min="18" max="20" width="12.875" style="1" hidden="1" customWidth="1"/>
    <col min="21" max="21" width="10.625" style="1" customWidth="1"/>
    <col min="22" max="22" width="12.875" style="1" customWidth="1"/>
    <col min="23" max="16384" width="9" style="1"/>
  </cols>
  <sheetData>
    <row r="1" spans="1:22" ht="21.75" customHeight="1">
      <c r="D1" s="84" t="s">
        <v>12</v>
      </c>
      <c r="E1" s="85"/>
      <c r="F1" s="85"/>
      <c r="G1" s="85"/>
      <c r="H1" s="85"/>
    </row>
    <row r="2" spans="1:22" ht="21.75" customHeight="1">
      <c r="A2" s="94" t="s">
        <v>54</v>
      </c>
      <c r="B2" s="94"/>
    </row>
    <row r="3" spans="1:22" ht="21.75" customHeight="1">
      <c r="A3" s="86" t="s">
        <v>10</v>
      </c>
      <c r="B3" s="87"/>
    </row>
    <row r="4" spans="1:22" ht="21.75" customHeight="1">
      <c r="A4" s="88"/>
      <c r="B4" s="89"/>
      <c r="C4" s="115" t="s">
        <v>9</v>
      </c>
      <c r="D4" s="116"/>
      <c r="E4" s="117"/>
      <c r="F4" s="115" t="s">
        <v>8</v>
      </c>
      <c r="G4" s="116"/>
      <c r="H4" s="117"/>
      <c r="I4" s="115" t="s">
        <v>7</v>
      </c>
      <c r="J4" s="116"/>
      <c r="K4" s="117"/>
      <c r="L4" s="115" t="s">
        <v>6</v>
      </c>
      <c r="M4" s="116"/>
      <c r="N4" s="117"/>
      <c r="O4" s="115" t="s">
        <v>5</v>
      </c>
      <c r="P4" s="116"/>
      <c r="Q4" s="117"/>
      <c r="R4" s="115" t="s">
        <v>4</v>
      </c>
      <c r="S4" s="116"/>
      <c r="T4" s="117"/>
      <c r="U4" s="118" t="s">
        <v>3</v>
      </c>
      <c r="V4" s="95" t="s">
        <v>2</v>
      </c>
    </row>
    <row r="5" spans="1:22" ht="21.75" customHeight="1" thickBot="1">
      <c r="A5" s="3"/>
      <c r="B5" s="4" t="s">
        <v>1</v>
      </c>
      <c r="C5" s="71">
        <v>5840</v>
      </c>
      <c r="D5" s="72" t="s">
        <v>0</v>
      </c>
      <c r="E5" s="71"/>
      <c r="F5" s="71">
        <v>300</v>
      </c>
      <c r="G5" s="72" t="s">
        <v>0</v>
      </c>
      <c r="H5" s="71"/>
      <c r="I5" s="71">
        <v>940</v>
      </c>
      <c r="J5" s="72" t="s">
        <v>0</v>
      </c>
      <c r="K5" s="71"/>
      <c r="L5" s="71">
        <v>130</v>
      </c>
      <c r="M5" s="72" t="s">
        <v>0</v>
      </c>
      <c r="N5" s="71"/>
      <c r="O5" s="73">
        <v>2800</v>
      </c>
      <c r="P5" s="71" t="s">
        <v>0</v>
      </c>
      <c r="Q5" s="71"/>
      <c r="R5" s="73">
        <v>1000</v>
      </c>
      <c r="S5" s="72" t="s">
        <v>0</v>
      </c>
      <c r="T5" s="71"/>
      <c r="U5" s="119"/>
      <c r="V5" s="96"/>
    </row>
    <row r="6" spans="1:22" ht="21.75" customHeight="1" thickTop="1">
      <c r="A6" s="9">
        <v>1</v>
      </c>
      <c r="B6" s="10" t="s">
        <v>17</v>
      </c>
      <c r="C6" s="11">
        <v>5840</v>
      </c>
      <c r="D6" s="12">
        <v>12</v>
      </c>
      <c r="E6" s="13">
        <f t="shared" ref="E6:E17" si="0">SUM(C6*D6)</f>
        <v>70080</v>
      </c>
      <c r="F6" s="14">
        <v>300</v>
      </c>
      <c r="G6" s="12"/>
      <c r="H6" s="13">
        <f t="shared" ref="H6:H17" si="1">SUM(F6*G6)</f>
        <v>0</v>
      </c>
      <c r="I6" s="14">
        <v>940</v>
      </c>
      <c r="J6" s="12"/>
      <c r="K6" s="13">
        <f t="shared" ref="K6:K17" si="2">SUM(I6*J6)</f>
        <v>0</v>
      </c>
      <c r="L6" s="14">
        <v>270</v>
      </c>
      <c r="M6" s="12">
        <v>24</v>
      </c>
      <c r="N6" s="15">
        <f t="shared" ref="N6:N17" si="3">SUM(L6*M6)</f>
        <v>6480</v>
      </c>
      <c r="O6" s="11">
        <v>2800</v>
      </c>
      <c r="P6" s="12"/>
      <c r="Q6" s="13">
        <f t="shared" ref="Q6:Q17" si="4">SUM(O6*P6)</f>
        <v>0</v>
      </c>
      <c r="R6" s="16">
        <v>1000</v>
      </c>
      <c r="S6" s="17"/>
      <c r="T6" s="18">
        <f t="shared" ref="T6:T17" si="5">SUM(S6*R6)</f>
        <v>0</v>
      </c>
      <c r="U6" s="18"/>
      <c r="V6" s="19">
        <f t="shared" ref="V6:V13" si="6">SUM(E6+H6+K6+N6+Q6+T6)</f>
        <v>76560</v>
      </c>
    </row>
    <row r="7" spans="1:22" ht="21.75" customHeight="1">
      <c r="A7" s="9">
        <v>2</v>
      </c>
      <c r="B7" s="9" t="s">
        <v>18</v>
      </c>
      <c r="C7" s="11">
        <v>5840</v>
      </c>
      <c r="D7" s="12">
        <v>14</v>
      </c>
      <c r="E7" s="13">
        <f t="shared" si="0"/>
        <v>81760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28</v>
      </c>
      <c r="N7" s="15">
        <f t="shared" si="3"/>
        <v>7560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89320</v>
      </c>
    </row>
    <row r="8" spans="1:22" ht="21.75" customHeight="1">
      <c r="A8" s="9">
        <v>3</v>
      </c>
      <c r="B8" s="9" t="s">
        <v>19</v>
      </c>
      <c r="C8" s="11">
        <v>5840</v>
      </c>
      <c r="D8" s="12">
        <v>23</v>
      </c>
      <c r="E8" s="13">
        <f t="shared" si="0"/>
        <v>134320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46</v>
      </c>
      <c r="N8" s="15">
        <f t="shared" si="3"/>
        <v>12420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146740</v>
      </c>
    </row>
    <row r="9" spans="1:22" ht="21.75" customHeight="1">
      <c r="A9" s="9">
        <v>4</v>
      </c>
      <c r="B9" s="9" t="s">
        <v>20</v>
      </c>
      <c r="C9" s="11">
        <v>5840</v>
      </c>
      <c r="D9" s="12">
        <v>20</v>
      </c>
      <c r="E9" s="13">
        <f t="shared" si="0"/>
        <v>116800</v>
      </c>
      <c r="F9" s="14">
        <v>300</v>
      </c>
      <c r="G9" s="12"/>
      <c r="H9" s="13">
        <f t="shared" si="1"/>
        <v>0</v>
      </c>
      <c r="I9" s="14">
        <v>940</v>
      </c>
      <c r="J9" s="20">
        <v>3</v>
      </c>
      <c r="K9" s="13">
        <f t="shared" si="2"/>
        <v>2820</v>
      </c>
      <c r="L9" s="14">
        <v>270</v>
      </c>
      <c r="M9" s="20">
        <v>40</v>
      </c>
      <c r="N9" s="15">
        <f t="shared" si="3"/>
        <v>10800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130420</v>
      </c>
    </row>
    <row r="10" spans="1:22" ht="21.75" customHeight="1">
      <c r="A10" s="9">
        <v>5</v>
      </c>
      <c r="B10" s="9" t="s">
        <v>21</v>
      </c>
      <c r="C10" s="11">
        <v>5840</v>
      </c>
      <c r="D10" s="12">
        <v>22</v>
      </c>
      <c r="E10" s="13">
        <f t="shared" si="0"/>
        <v>128480</v>
      </c>
      <c r="F10" s="14">
        <v>300</v>
      </c>
      <c r="G10" s="12"/>
      <c r="H10" s="13">
        <f t="shared" si="1"/>
        <v>0</v>
      </c>
      <c r="I10" s="14">
        <v>940</v>
      </c>
      <c r="J10" s="20">
        <v>1</v>
      </c>
      <c r="K10" s="13">
        <f t="shared" si="2"/>
        <v>940</v>
      </c>
      <c r="L10" s="14">
        <v>270</v>
      </c>
      <c r="M10" s="20">
        <v>44</v>
      </c>
      <c r="N10" s="15">
        <f t="shared" si="3"/>
        <v>11880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141300</v>
      </c>
    </row>
    <row r="11" spans="1:22" ht="21.75" customHeight="1">
      <c r="A11" s="9">
        <v>6</v>
      </c>
      <c r="B11" s="9" t="s">
        <v>22</v>
      </c>
      <c r="C11" s="11">
        <v>5840</v>
      </c>
      <c r="D11" s="12">
        <v>23</v>
      </c>
      <c r="E11" s="13">
        <f t="shared" si="0"/>
        <v>134320</v>
      </c>
      <c r="F11" s="14">
        <v>300</v>
      </c>
      <c r="G11" s="12"/>
      <c r="H11" s="13">
        <f t="shared" si="1"/>
        <v>0</v>
      </c>
      <c r="I11" s="14">
        <v>940</v>
      </c>
      <c r="J11" s="20"/>
      <c r="K11" s="13">
        <f t="shared" si="2"/>
        <v>0</v>
      </c>
      <c r="L11" s="14">
        <v>270</v>
      </c>
      <c r="M11" s="20">
        <v>46</v>
      </c>
      <c r="N11" s="15">
        <f t="shared" si="3"/>
        <v>12420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146740</v>
      </c>
    </row>
    <row r="12" spans="1:22" ht="21.75" customHeight="1">
      <c r="A12" s="9">
        <v>7</v>
      </c>
      <c r="B12" s="9" t="s">
        <v>23</v>
      </c>
      <c r="C12" s="11">
        <v>5840</v>
      </c>
      <c r="D12" s="12">
        <v>23</v>
      </c>
      <c r="E12" s="13">
        <f t="shared" si="0"/>
        <v>134320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134320</v>
      </c>
    </row>
    <row r="13" spans="1:22" ht="21.75" customHeight="1">
      <c r="A13" s="9">
        <v>8</v>
      </c>
      <c r="B13" s="10" t="s">
        <v>24</v>
      </c>
      <c r="C13" s="11">
        <v>5840</v>
      </c>
      <c r="D13" s="12">
        <v>23</v>
      </c>
      <c r="E13" s="13">
        <f t="shared" si="0"/>
        <v>134320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134320</v>
      </c>
    </row>
    <row r="14" spans="1:22" ht="21.75" customHeight="1">
      <c r="A14" s="9">
        <v>9</v>
      </c>
      <c r="B14" s="10" t="s">
        <v>25</v>
      </c>
      <c r="C14" s="11">
        <v>5840</v>
      </c>
      <c r="D14" s="12">
        <v>6</v>
      </c>
      <c r="E14" s="13">
        <f t="shared" si="0"/>
        <v>35040</v>
      </c>
      <c r="F14" s="14">
        <v>300</v>
      </c>
      <c r="G14" s="12"/>
      <c r="H14" s="13">
        <f t="shared" si="1"/>
        <v>0</v>
      </c>
      <c r="I14" s="14">
        <v>940</v>
      </c>
      <c r="J14" s="12"/>
      <c r="K14" s="13">
        <f t="shared" si="2"/>
        <v>0</v>
      </c>
      <c r="L14" s="14">
        <v>270</v>
      </c>
      <c r="M14" s="12">
        <v>12</v>
      </c>
      <c r="N14" s="15">
        <f t="shared" si="3"/>
        <v>3240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>SUM(E14+H14+K14+N14+Q14+T14)-U14</f>
        <v>38280</v>
      </c>
    </row>
    <row r="15" spans="1:22" ht="21.75" customHeight="1">
      <c r="A15" s="9">
        <v>10</v>
      </c>
      <c r="B15" s="9" t="s">
        <v>26</v>
      </c>
      <c r="C15" s="11">
        <v>5840</v>
      </c>
      <c r="D15" s="12">
        <v>12</v>
      </c>
      <c r="E15" s="13">
        <f t="shared" si="0"/>
        <v>70080</v>
      </c>
      <c r="F15" s="14">
        <v>300</v>
      </c>
      <c r="G15" s="12"/>
      <c r="H15" s="13">
        <f t="shared" si="1"/>
        <v>0</v>
      </c>
      <c r="I15" s="14">
        <v>940</v>
      </c>
      <c r="J15" s="20">
        <v>4</v>
      </c>
      <c r="K15" s="13">
        <f t="shared" si="2"/>
        <v>3760</v>
      </c>
      <c r="L15" s="14">
        <v>270</v>
      </c>
      <c r="M15" s="20">
        <v>24</v>
      </c>
      <c r="N15" s="15">
        <f t="shared" si="3"/>
        <v>6480</v>
      </c>
      <c r="O15" s="11">
        <v>2800</v>
      </c>
      <c r="P15" s="20"/>
      <c r="Q15" s="13">
        <f t="shared" si="4"/>
        <v>0</v>
      </c>
      <c r="R15" s="21">
        <v>1000</v>
      </c>
      <c r="S15" s="22"/>
      <c r="T15" s="18">
        <f t="shared" si="5"/>
        <v>0</v>
      </c>
      <c r="U15" s="18"/>
      <c r="V15" s="19">
        <f>SUM(E15+H15+K15+N15+Q15+T15)-U15</f>
        <v>80320</v>
      </c>
    </row>
    <row r="16" spans="1:22" ht="21.75" customHeight="1">
      <c r="A16" s="9">
        <v>12</v>
      </c>
      <c r="B16" s="9" t="s">
        <v>27</v>
      </c>
      <c r="C16" s="11">
        <v>5840</v>
      </c>
      <c r="D16" s="12">
        <v>18</v>
      </c>
      <c r="E16" s="13">
        <f t="shared" si="0"/>
        <v>105120</v>
      </c>
      <c r="F16" s="14">
        <v>300</v>
      </c>
      <c r="G16" s="12"/>
      <c r="H16" s="13">
        <f t="shared" si="1"/>
        <v>0</v>
      </c>
      <c r="I16" s="14">
        <v>940</v>
      </c>
      <c r="J16" s="20"/>
      <c r="K16" s="13">
        <f t="shared" si="2"/>
        <v>0</v>
      </c>
      <c r="L16" s="14">
        <v>270</v>
      </c>
      <c r="M16" s="20">
        <v>33</v>
      </c>
      <c r="N16" s="15">
        <f t="shared" si="3"/>
        <v>8910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>SUM(E16+H16+K16+N16+Q16+T16)-U16</f>
        <v>114030</v>
      </c>
    </row>
    <row r="17" spans="1:22" ht="21.75" customHeight="1">
      <c r="A17" s="9">
        <v>13</v>
      </c>
      <c r="B17" s="9"/>
      <c r="C17" s="11">
        <v>5840</v>
      </c>
      <c r="D17" s="12"/>
      <c r="E17" s="13">
        <f t="shared" si="0"/>
        <v>0</v>
      </c>
      <c r="F17" s="14">
        <v>300</v>
      </c>
      <c r="G17" s="12"/>
      <c r="H17" s="13">
        <f t="shared" si="1"/>
        <v>0</v>
      </c>
      <c r="I17" s="14">
        <v>940</v>
      </c>
      <c r="J17" s="20"/>
      <c r="K17" s="13">
        <f t="shared" si="2"/>
        <v>0</v>
      </c>
      <c r="L17" s="14">
        <v>270</v>
      </c>
      <c r="M17" s="20"/>
      <c r="N17" s="15">
        <f t="shared" si="3"/>
        <v>0</v>
      </c>
      <c r="O17" s="11">
        <v>2800</v>
      </c>
      <c r="P17" s="20"/>
      <c r="Q17" s="13">
        <f t="shared" si="4"/>
        <v>0</v>
      </c>
      <c r="R17" s="21">
        <v>1000</v>
      </c>
      <c r="S17" s="22"/>
      <c r="T17" s="18">
        <f t="shared" si="5"/>
        <v>0</v>
      </c>
      <c r="U17" s="18"/>
      <c r="V17" s="19">
        <f t="shared" ref="V17" si="7">SUM(E17+H17+K17+N17+Q17+T17)-U17</f>
        <v>0</v>
      </c>
    </row>
    <row r="18" spans="1:22" ht="21.75" customHeight="1">
      <c r="A18" s="24"/>
      <c r="B18" s="24"/>
      <c r="C18" s="25"/>
      <c r="D18" s="25"/>
      <c r="E18" s="26">
        <f>SUM(E6:E17)</f>
        <v>1144640</v>
      </c>
      <c r="F18" s="26"/>
      <c r="G18" s="26"/>
      <c r="H18" s="26">
        <f>SUM(H6:H17)</f>
        <v>0</v>
      </c>
      <c r="I18" s="26"/>
      <c r="J18" s="26"/>
      <c r="K18" s="26">
        <f>SUM(K6:K17)</f>
        <v>7520</v>
      </c>
      <c r="L18" s="26"/>
      <c r="M18" s="26"/>
      <c r="N18" s="26">
        <f>SUM(N6:N17)</f>
        <v>80190</v>
      </c>
      <c r="O18" s="26"/>
      <c r="P18" s="25"/>
      <c r="Q18" s="26">
        <f>SUM(Q6:Q17)</f>
        <v>0</v>
      </c>
      <c r="R18" s="24"/>
      <c r="S18" s="24"/>
      <c r="T18" s="21">
        <f>SUM(T6:T17)</f>
        <v>0</v>
      </c>
      <c r="U18" s="21">
        <f>SUM(U6:U17)</f>
        <v>0</v>
      </c>
      <c r="V18" s="27">
        <f>SUM(V6:V17)</f>
        <v>1232350</v>
      </c>
    </row>
    <row r="19" spans="1:22" ht="21.75" customHeight="1"/>
    <row r="20" spans="1:22" ht="33" customHeight="1">
      <c r="N20" s="28"/>
      <c r="O20" s="97" t="s">
        <v>29</v>
      </c>
      <c r="P20" s="98"/>
      <c r="Q20" s="98"/>
      <c r="R20" s="98"/>
      <c r="S20" s="98"/>
      <c r="T20" s="98"/>
      <c r="U20" s="99"/>
      <c r="V20" s="30">
        <f>V18</f>
        <v>1232350</v>
      </c>
    </row>
    <row r="21" spans="1:22" ht="33" customHeight="1" thickBot="1">
      <c r="N21" s="28"/>
      <c r="O21" s="100" t="s">
        <v>30</v>
      </c>
      <c r="P21" s="101"/>
      <c r="Q21" s="101"/>
      <c r="R21" s="101"/>
      <c r="S21" s="101"/>
      <c r="T21" s="101"/>
      <c r="U21" s="102"/>
      <c r="V21" s="32">
        <f>V54</f>
        <v>2240180</v>
      </c>
    </row>
    <row r="22" spans="1:22" ht="33" customHeight="1" thickTop="1">
      <c r="N22" s="28"/>
      <c r="O22" s="103" t="s">
        <v>2</v>
      </c>
      <c r="P22" s="104"/>
      <c r="Q22" s="104"/>
      <c r="R22" s="104"/>
      <c r="S22" s="104"/>
      <c r="T22" s="104"/>
      <c r="U22" s="105"/>
      <c r="V22" s="34">
        <f>V20+V21</f>
        <v>3472530</v>
      </c>
    </row>
    <row r="23" spans="1:22" ht="21.75" customHeight="1">
      <c r="N23" s="28"/>
      <c r="O23" s="28"/>
      <c r="P23" s="28"/>
      <c r="Q23" s="28"/>
      <c r="R23" s="35"/>
      <c r="S23" s="36"/>
      <c r="T23" s="36"/>
      <c r="U23" s="36"/>
      <c r="V23" s="36"/>
    </row>
    <row r="24" spans="1:22" ht="21.75" customHeight="1">
      <c r="N24" s="36"/>
      <c r="O24" s="36"/>
      <c r="P24" s="36"/>
      <c r="Q24" s="36"/>
      <c r="R24" s="36"/>
      <c r="S24" s="36"/>
      <c r="T24" s="36"/>
      <c r="U24" s="36"/>
      <c r="V24" s="36"/>
    </row>
    <row r="25" spans="1:22" ht="21.75" customHeight="1">
      <c r="N25" s="36"/>
      <c r="O25" s="36"/>
      <c r="P25" s="36"/>
      <c r="Q25" s="36"/>
      <c r="R25" s="36"/>
      <c r="S25" s="36"/>
      <c r="T25" s="36"/>
      <c r="U25" s="36"/>
      <c r="V25" s="36"/>
    </row>
    <row r="26" spans="1:22" ht="21.75" customHeight="1">
      <c r="N26" s="36"/>
      <c r="O26" s="36"/>
      <c r="P26" s="36"/>
      <c r="Q26" s="36"/>
      <c r="R26" s="36"/>
      <c r="S26" s="36"/>
      <c r="T26" s="36"/>
      <c r="U26" s="36"/>
      <c r="V26" s="36"/>
    </row>
    <row r="27" spans="1:22" ht="56.25" hidden="1" customHeight="1"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21.75" customHeight="1">
      <c r="D28" s="84" t="s">
        <v>12</v>
      </c>
      <c r="E28" s="85"/>
      <c r="F28" s="85"/>
      <c r="G28" s="85"/>
      <c r="H28" s="85"/>
    </row>
    <row r="29" spans="1:22" ht="31.5" customHeight="1">
      <c r="A29" s="93" t="s">
        <v>28</v>
      </c>
      <c r="B29" s="93"/>
      <c r="E29" s="1"/>
      <c r="H29" s="1"/>
      <c r="K29" s="1"/>
      <c r="N29" s="1"/>
    </row>
    <row r="30" spans="1:22" ht="21.75" customHeight="1">
      <c r="A30" s="86" t="s">
        <v>10</v>
      </c>
      <c r="B30" s="87"/>
      <c r="E30" s="1"/>
      <c r="H30" s="1"/>
      <c r="K30" s="1"/>
      <c r="N30" s="1"/>
    </row>
    <row r="31" spans="1:22" ht="21.75" customHeight="1">
      <c r="A31" s="88"/>
      <c r="B31" s="89"/>
      <c r="C31" s="75" t="s">
        <v>9</v>
      </c>
      <c r="D31" s="76"/>
      <c r="E31" s="77"/>
      <c r="F31" s="75" t="s">
        <v>8</v>
      </c>
      <c r="G31" s="76"/>
      <c r="H31" s="77"/>
      <c r="I31" s="75" t="s">
        <v>7</v>
      </c>
      <c r="J31" s="76"/>
      <c r="K31" s="77"/>
      <c r="L31" s="75" t="s">
        <v>6</v>
      </c>
      <c r="M31" s="76"/>
      <c r="N31" s="77"/>
      <c r="O31" s="75" t="s">
        <v>5</v>
      </c>
      <c r="P31" s="76"/>
      <c r="Q31" s="77"/>
      <c r="R31" s="75" t="s">
        <v>4</v>
      </c>
      <c r="S31" s="76"/>
      <c r="T31" s="77"/>
      <c r="U31" s="78" t="s">
        <v>3</v>
      </c>
      <c r="V31" s="80" t="s">
        <v>2</v>
      </c>
    </row>
    <row r="32" spans="1:22" ht="21.75" customHeight="1" thickBot="1">
      <c r="A32" s="3"/>
      <c r="B32" s="4" t="s">
        <v>1</v>
      </c>
      <c r="C32" s="5">
        <v>5840</v>
      </c>
      <c r="D32" s="6" t="s">
        <v>0</v>
      </c>
      <c r="E32" s="5"/>
      <c r="F32" s="5">
        <v>300</v>
      </c>
      <c r="G32" s="6" t="s">
        <v>0</v>
      </c>
      <c r="H32" s="5"/>
      <c r="I32" s="5">
        <v>940</v>
      </c>
      <c r="J32" s="6" t="s">
        <v>0</v>
      </c>
      <c r="K32" s="5"/>
      <c r="L32" s="5">
        <v>130</v>
      </c>
      <c r="M32" s="6" t="s">
        <v>0</v>
      </c>
      <c r="N32" s="5"/>
      <c r="O32" s="8">
        <v>2800</v>
      </c>
      <c r="P32" s="5" t="s">
        <v>0</v>
      </c>
      <c r="Q32" s="5"/>
      <c r="R32" s="8">
        <v>1000</v>
      </c>
      <c r="S32" s="6" t="s">
        <v>0</v>
      </c>
      <c r="T32" s="5"/>
      <c r="U32" s="79"/>
      <c r="V32" s="81"/>
    </row>
    <row r="33" spans="1:22" ht="19.5" customHeight="1" thickTop="1">
      <c r="A33" s="24">
        <v>1</v>
      </c>
      <c r="B33" s="37" t="s">
        <v>31</v>
      </c>
      <c r="C33" s="11">
        <v>5840</v>
      </c>
      <c r="D33" s="12">
        <v>22</v>
      </c>
      <c r="E33" s="13">
        <f t="shared" ref="E33:E53" si="8">SUM(C33*D33)</f>
        <v>128480</v>
      </c>
      <c r="F33" s="14">
        <v>300</v>
      </c>
      <c r="G33" s="12"/>
      <c r="H33" s="13">
        <f t="shared" ref="H33:H53" si="9">SUM(F33*G33)</f>
        <v>0</v>
      </c>
      <c r="I33" s="14">
        <v>940</v>
      </c>
      <c r="J33" s="12">
        <v>1</v>
      </c>
      <c r="K33" s="13">
        <f t="shared" ref="K33:K53" si="10">SUM(I33*J33)</f>
        <v>940</v>
      </c>
      <c r="L33" s="14">
        <v>130</v>
      </c>
      <c r="M33" s="12">
        <v>44</v>
      </c>
      <c r="N33" s="15">
        <f t="shared" ref="N33:N53" si="11">SUM(L33*M33)</f>
        <v>5720</v>
      </c>
      <c r="O33" s="11">
        <v>2800</v>
      </c>
      <c r="P33" s="12"/>
      <c r="Q33" s="13">
        <f t="shared" ref="Q33:Q53" si="12">SUM(O33*P33)</f>
        <v>0</v>
      </c>
      <c r="R33" s="16">
        <v>1000</v>
      </c>
      <c r="S33" s="17"/>
      <c r="T33" s="18">
        <f t="shared" ref="T33:T53" si="13">SUM(S33*R33)</f>
        <v>0</v>
      </c>
      <c r="U33" s="18"/>
      <c r="V33" s="38">
        <f t="shared" ref="V33" si="14">SUM(E33+H33+K33+N33+Q33+T33)</f>
        <v>135140</v>
      </c>
    </row>
    <row r="34" spans="1:22" ht="19.5" customHeight="1">
      <c r="A34" s="24">
        <v>2</v>
      </c>
      <c r="B34" s="39" t="s">
        <v>32</v>
      </c>
      <c r="C34" s="11">
        <v>5840</v>
      </c>
      <c r="D34" s="12">
        <v>23</v>
      </c>
      <c r="E34" s="13">
        <f t="shared" si="8"/>
        <v>134320</v>
      </c>
      <c r="F34" s="14">
        <v>300</v>
      </c>
      <c r="G34" s="12"/>
      <c r="H34" s="13">
        <f t="shared" si="9"/>
        <v>0</v>
      </c>
      <c r="I34" s="14">
        <v>940</v>
      </c>
      <c r="J34" s="20"/>
      <c r="K34" s="13">
        <f t="shared" si="10"/>
        <v>0</v>
      </c>
      <c r="L34" s="14">
        <v>130</v>
      </c>
      <c r="M34" s="20">
        <v>46</v>
      </c>
      <c r="N34" s="15">
        <f t="shared" si="11"/>
        <v>5980</v>
      </c>
      <c r="O34" s="11">
        <v>2800</v>
      </c>
      <c r="P34" s="20"/>
      <c r="Q34" s="13">
        <f t="shared" si="12"/>
        <v>0</v>
      </c>
      <c r="R34" s="21">
        <v>1000</v>
      </c>
      <c r="S34" s="22"/>
      <c r="T34" s="18">
        <f t="shared" si="13"/>
        <v>0</v>
      </c>
      <c r="U34" s="18">
        <v>9300</v>
      </c>
      <c r="V34" s="38">
        <f>SUM(E34+H34+K34+N34+Q34+T34)-U34</f>
        <v>131000</v>
      </c>
    </row>
    <row r="35" spans="1:22" ht="19.5" customHeight="1">
      <c r="A35" s="24">
        <v>3</v>
      </c>
      <c r="B35" s="39" t="s">
        <v>33</v>
      </c>
      <c r="C35" s="11">
        <v>5840</v>
      </c>
      <c r="D35" s="12"/>
      <c r="E35" s="13">
        <f t="shared" si="8"/>
        <v>0</v>
      </c>
      <c r="F35" s="14">
        <v>300</v>
      </c>
      <c r="G35" s="12"/>
      <c r="H35" s="13">
        <f t="shared" si="9"/>
        <v>0</v>
      </c>
      <c r="I35" s="14">
        <v>940</v>
      </c>
      <c r="J35" s="20"/>
      <c r="K35" s="13">
        <f t="shared" si="10"/>
        <v>0</v>
      </c>
      <c r="L35" s="14">
        <v>130</v>
      </c>
      <c r="M35" s="20"/>
      <c r="N35" s="15">
        <f t="shared" si="11"/>
        <v>0</v>
      </c>
      <c r="O35" s="11">
        <v>2800</v>
      </c>
      <c r="P35" s="20"/>
      <c r="Q35" s="13">
        <f t="shared" si="12"/>
        <v>0</v>
      </c>
      <c r="R35" s="21">
        <v>1000</v>
      </c>
      <c r="S35" s="22"/>
      <c r="T35" s="18">
        <f t="shared" si="13"/>
        <v>0</v>
      </c>
      <c r="U35" s="18"/>
      <c r="V35" s="38">
        <f t="shared" ref="V35:V53" si="15">SUM(E35+H35+K35+N35+Q35+T35)-U35</f>
        <v>0</v>
      </c>
    </row>
    <row r="36" spans="1:22" ht="19.5" customHeight="1">
      <c r="A36" s="24">
        <v>4</v>
      </c>
      <c r="B36" s="39" t="s">
        <v>14</v>
      </c>
      <c r="C36" s="11">
        <v>5840</v>
      </c>
      <c r="D36" s="12">
        <v>17</v>
      </c>
      <c r="E36" s="13">
        <f t="shared" si="8"/>
        <v>99280</v>
      </c>
      <c r="F36" s="14">
        <v>300</v>
      </c>
      <c r="G36" s="12"/>
      <c r="H36" s="13">
        <f t="shared" si="9"/>
        <v>0</v>
      </c>
      <c r="I36" s="14">
        <v>940</v>
      </c>
      <c r="J36" s="20">
        <v>4</v>
      </c>
      <c r="K36" s="13">
        <f t="shared" si="10"/>
        <v>3760</v>
      </c>
      <c r="L36" s="14">
        <v>130</v>
      </c>
      <c r="M36" s="20">
        <v>34</v>
      </c>
      <c r="N36" s="15">
        <f t="shared" si="11"/>
        <v>4420</v>
      </c>
      <c r="O36" s="11">
        <v>2800</v>
      </c>
      <c r="P36" s="20"/>
      <c r="Q36" s="13">
        <f t="shared" si="12"/>
        <v>0</v>
      </c>
      <c r="R36" s="21">
        <v>1000</v>
      </c>
      <c r="S36" s="22"/>
      <c r="T36" s="18">
        <f t="shared" si="13"/>
        <v>0</v>
      </c>
      <c r="U36" s="18"/>
      <c r="V36" s="38">
        <f t="shared" si="15"/>
        <v>107460</v>
      </c>
    </row>
    <row r="37" spans="1:22" ht="19.5" customHeight="1">
      <c r="A37" s="24">
        <v>5</v>
      </c>
      <c r="B37" s="39" t="s">
        <v>34</v>
      </c>
      <c r="C37" s="11">
        <v>5840</v>
      </c>
      <c r="D37" s="12">
        <v>12</v>
      </c>
      <c r="E37" s="13">
        <f t="shared" si="8"/>
        <v>70080</v>
      </c>
      <c r="F37" s="14">
        <v>300</v>
      </c>
      <c r="G37" s="12"/>
      <c r="H37" s="13">
        <f t="shared" si="9"/>
        <v>0</v>
      </c>
      <c r="I37" s="14">
        <v>940</v>
      </c>
      <c r="J37" s="20">
        <v>4</v>
      </c>
      <c r="K37" s="13">
        <f t="shared" si="10"/>
        <v>3760</v>
      </c>
      <c r="L37" s="14">
        <v>130</v>
      </c>
      <c r="M37" s="20">
        <v>24</v>
      </c>
      <c r="N37" s="15">
        <f t="shared" si="11"/>
        <v>3120</v>
      </c>
      <c r="O37" s="11">
        <v>2800</v>
      </c>
      <c r="P37" s="20"/>
      <c r="Q37" s="13">
        <f t="shared" si="12"/>
        <v>0</v>
      </c>
      <c r="R37" s="21">
        <v>1000</v>
      </c>
      <c r="S37" s="22"/>
      <c r="T37" s="18">
        <f t="shared" si="13"/>
        <v>0</v>
      </c>
      <c r="U37" s="18"/>
      <c r="V37" s="38">
        <f t="shared" si="15"/>
        <v>76960</v>
      </c>
    </row>
    <row r="38" spans="1:22" ht="19.5" customHeight="1">
      <c r="A38" s="24">
        <v>6</v>
      </c>
      <c r="B38" s="39" t="s">
        <v>35</v>
      </c>
      <c r="C38" s="11">
        <v>5840</v>
      </c>
      <c r="D38" s="12">
        <v>22</v>
      </c>
      <c r="E38" s="13">
        <f t="shared" si="8"/>
        <v>128480</v>
      </c>
      <c r="F38" s="14">
        <v>300</v>
      </c>
      <c r="G38" s="12"/>
      <c r="H38" s="13">
        <f t="shared" si="9"/>
        <v>0</v>
      </c>
      <c r="I38" s="14">
        <v>940</v>
      </c>
      <c r="J38" s="20">
        <v>1</v>
      </c>
      <c r="K38" s="13">
        <f t="shared" si="10"/>
        <v>940</v>
      </c>
      <c r="L38" s="14">
        <v>130</v>
      </c>
      <c r="M38" s="20"/>
      <c r="N38" s="15">
        <f t="shared" si="11"/>
        <v>0</v>
      </c>
      <c r="O38" s="11">
        <v>2800</v>
      </c>
      <c r="P38" s="20"/>
      <c r="Q38" s="13">
        <f t="shared" si="12"/>
        <v>0</v>
      </c>
      <c r="R38" s="21">
        <v>1000</v>
      </c>
      <c r="S38" s="22"/>
      <c r="T38" s="18">
        <f t="shared" si="13"/>
        <v>0</v>
      </c>
      <c r="U38" s="18"/>
      <c r="V38" s="38">
        <f t="shared" si="15"/>
        <v>129420</v>
      </c>
    </row>
    <row r="39" spans="1:22" ht="19.5" customHeight="1">
      <c r="A39" s="24">
        <v>7</v>
      </c>
      <c r="B39" s="39" t="s">
        <v>36</v>
      </c>
      <c r="C39" s="11">
        <v>5840</v>
      </c>
      <c r="D39" s="12">
        <v>21</v>
      </c>
      <c r="E39" s="13">
        <f t="shared" si="8"/>
        <v>122640</v>
      </c>
      <c r="F39" s="14">
        <v>300</v>
      </c>
      <c r="G39" s="12"/>
      <c r="H39" s="13">
        <f t="shared" si="9"/>
        <v>0</v>
      </c>
      <c r="I39" s="14">
        <v>940</v>
      </c>
      <c r="J39" s="20">
        <v>2</v>
      </c>
      <c r="K39" s="13">
        <f t="shared" si="10"/>
        <v>1880</v>
      </c>
      <c r="L39" s="14">
        <v>130</v>
      </c>
      <c r="M39" s="20">
        <v>42</v>
      </c>
      <c r="N39" s="15">
        <f t="shared" si="11"/>
        <v>5460</v>
      </c>
      <c r="O39" s="11">
        <v>2800</v>
      </c>
      <c r="P39" s="20"/>
      <c r="Q39" s="13">
        <f t="shared" si="12"/>
        <v>0</v>
      </c>
      <c r="R39" s="21">
        <v>1000</v>
      </c>
      <c r="S39" s="22"/>
      <c r="T39" s="18">
        <f t="shared" si="13"/>
        <v>0</v>
      </c>
      <c r="U39" s="18"/>
      <c r="V39" s="38">
        <f t="shared" si="15"/>
        <v>129980</v>
      </c>
    </row>
    <row r="40" spans="1:22" ht="19.5" customHeight="1">
      <c r="A40" s="24">
        <v>8</v>
      </c>
      <c r="B40" s="39" t="s">
        <v>37</v>
      </c>
      <c r="C40" s="11">
        <v>5840</v>
      </c>
      <c r="D40" s="12">
        <v>22</v>
      </c>
      <c r="E40" s="13">
        <f t="shared" si="8"/>
        <v>128480</v>
      </c>
      <c r="F40" s="14">
        <v>300</v>
      </c>
      <c r="G40" s="12"/>
      <c r="H40" s="13">
        <f t="shared" si="9"/>
        <v>0</v>
      </c>
      <c r="I40" s="14">
        <v>940</v>
      </c>
      <c r="J40" s="20">
        <v>1</v>
      </c>
      <c r="K40" s="13">
        <f t="shared" si="10"/>
        <v>940</v>
      </c>
      <c r="L40" s="14">
        <v>130</v>
      </c>
      <c r="M40" s="20"/>
      <c r="N40" s="15">
        <f t="shared" si="11"/>
        <v>0</v>
      </c>
      <c r="O40" s="11">
        <v>2800</v>
      </c>
      <c r="P40" s="20"/>
      <c r="Q40" s="13">
        <f t="shared" si="12"/>
        <v>0</v>
      </c>
      <c r="R40" s="21">
        <v>1000</v>
      </c>
      <c r="S40" s="22"/>
      <c r="T40" s="18">
        <f t="shared" si="13"/>
        <v>0</v>
      </c>
      <c r="U40" s="18"/>
      <c r="V40" s="38">
        <f t="shared" si="15"/>
        <v>129420</v>
      </c>
    </row>
    <row r="41" spans="1:22" ht="19.5" customHeight="1">
      <c r="A41" s="24">
        <v>9</v>
      </c>
      <c r="B41" s="37" t="s">
        <v>38</v>
      </c>
      <c r="C41" s="11">
        <v>5840</v>
      </c>
      <c r="D41" s="12">
        <v>16</v>
      </c>
      <c r="E41" s="13">
        <f t="shared" si="8"/>
        <v>93440</v>
      </c>
      <c r="F41" s="14">
        <v>300</v>
      </c>
      <c r="G41" s="12"/>
      <c r="H41" s="13">
        <f t="shared" si="9"/>
        <v>0</v>
      </c>
      <c r="I41" s="14">
        <v>940</v>
      </c>
      <c r="J41" s="20">
        <v>4</v>
      </c>
      <c r="K41" s="13">
        <f t="shared" si="10"/>
        <v>3760</v>
      </c>
      <c r="L41" s="14">
        <v>130</v>
      </c>
      <c r="M41" s="20">
        <v>32</v>
      </c>
      <c r="N41" s="15">
        <f t="shared" si="11"/>
        <v>4160</v>
      </c>
      <c r="O41" s="11">
        <v>2800</v>
      </c>
      <c r="P41" s="20"/>
      <c r="Q41" s="13">
        <f t="shared" si="12"/>
        <v>0</v>
      </c>
      <c r="R41" s="21">
        <v>1000</v>
      </c>
      <c r="S41" s="22"/>
      <c r="T41" s="18">
        <f t="shared" si="13"/>
        <v>0</v>
      </c>
      <c r="U41" s="18"/>
      <c r="V41" s="38">
        <f t="shared" si="15"/>
        <v>101360</v>
      </c>
    </row>
    <row r="42" spans="1:22" ht="19.5" customHeight="1">
      <c r="A42" s="24">
        <v>10</v>
      </c>
      <c r="B42" s="37" t="s">
        <v>39</v>
      </c>
      <c r="C42" s="11">
        <v>5840</v>
      </c>
      <c r="D42" s="12">
        <v>19</v>
      </c>
      <c r="E42" s="13">
        <f t="shared" si="8"/>
        <v>110960</v>
      </c>
      <c r="F42" s="14">
        <v>300</v>
      </c>
      <c r="G42" s="12"/>
      <c r="H42" s="13">
        <f t="shared" si="9"/>
        <v>0</v>
      </c>
      <c r="I42" s="14">
        <v>940</v>
      </c>
      <c r="J42" s="12">
        <v>4</v>
      </c>
      <c r="K42" s="13">
        <f t="shared" si="10"/>
        <v>3760</v>
      </c>
      <c r="L42" s="14">
        <v>130</v>
      </c>
      <c r="M42" s="12">
        <v>38</v>
      </c>
      <c r="N42" s="15">
        <f t="shared" si="11"/>
        <v>4940</v>
      </c>
      <c r="O42" s="11">
        <v>2800</v>
      </c>
      <c r="P42" s="12"/>
      <c r="Q42" s="13">
        <f t="shared" si="12"/>
        <v>0</v>
      </c>
      <c r="R42" s="23">
        <v>1000</v>
      </c>
      <c r="S42" s="17"/>
      <c r="T42" s="18">
        <f t="shared" si="13"/>
        <v>0</v>
      </c>
      <c r="U42" s="18"/>
      <c r="V42" s="38">
        <f t="shared" si="15"/>
        <v>119660</v>
      </c>
    </row>
    <row r="43" spans="1:22" ht="19.5" customHeight="1">
      <c r="A43" s="24">
        <v>11</v>
      </c>
      <c r="B43" s="39" t="s">
        <v>40</v>
      </c>
      <c r="C43" s="11">
        <v>5840</v>
      </c>
      <c r="D43" s="12">
        <v>9</v>
      </c>
      <c r="E43" s="13">
        <f t="shared" si="8"/>
        <v>52560</v>
      </c>
      <c r="F43" s="14">
        <v>300</v>
      </c>
      <c r="G43" s="12"/>
      <c r="H43" s="13">
        <f t="shared" si="9"/>
        <v>0</v>
      </c>
      <c r="I43" s="14">
        <v>940</v>
      </c>
      <c r="J43" s="20">
        <v>4</v>
      </c>
      <c r="K43" s="13">
        <f t="shared" si="10"/>
        <v>3760</v>
      </c>
      <c r="L43" s="14">
        <v>130</v>
      </c>
      <c r="M43" s="20">
        <v>18</v>
      </c>
      <c r="N43" s="15">
        <f t="shared" si="11"/>
        <v>2340</v>
      </c>
      <c r="O43" s="11">
        <v>2800</v>
      </c>
      <c r="P43" s="20"/>
      <c r="Q43" s="13">
        <f t="shared" si="12"/>
        <v>0</v>
      </c>
      <c r="R43" s="21">
        <v>1000</v>
      </c>
      <c r="S43" s="22"/>
      <c r="T43" s="18">
        <f t="shared" si="13"/>
        <v>0</v>
      </c>
      <c r="U43" s="18"/>
      <c r="V43" s="38">
        <f t="shared" si="15"/>
        <v>58660</v>
      </c>
    </row>
    <row r="44" spans="1:22" ht="19.5" customHeight="1">
      <c r="A44" s="24">
        <v>12</v>
      </c>
      <c r="B44" s="39" t="s">
        <v>41</v>
      </c>
      <c r="C44" s="11">
        <v>5840</v>
      </c>
      <c r="D44" s="12">
        <v>21</v>
      </c>
      <c r="E44" s="13">
        <f t="shared" si="8"/>
        <v>122640</v>
      </c>
      <c r="F44" s="14">
        <v>300</v>
      </c>
      <c r="G44" s="12"/>
      <c r="H44" s="13">
        <f t="shared" si="9"/>
        <v>0</v>
      </c>
      <c r="I44" s="14">
        <v>940</v>
      </c>
      <c r="J44" s="20">
        <v>2</v>
      </c>
      <c r="K44" s="13">
        <f t="shared" si="10"/>
        <v>1880</v>
      </c>
      <c r="L44" s="14">
        <v>130</v>
      </c>
      <c r="M44" s="20">
        <v>42</v>
      </c>
      <c r="N44" s="15">
        <f t="shared" si="11"/>
        <v>5460</v>
      </c>
      <c r="O44" s="11">
        <v>2800</v>
      </c>
      <c r="P44" s="20"/>
      <c r="Q44" s="13">
        <f t="shared" si="12"/>
        <v>0</v>
      </c>
      <c r="R44" s="21">
        <v>1000</v>
      </c>
      <c r="S44" s="22"/>
      <c r="T44" s="18">
        <f t="shared" si="13"/>
        <v>0</v>
      </c>
      <c r="U44" s="18"/>
      <c r="V44" s="38">
        <f t="shared" si="15"/>
        <v>129980</v>
      </c>
    </row>
    <row r="45" spans="1:22" ht="19.5" customHeight="1">
      <c r="A45" s="24">
        <v>13</v>
      </c>
      <c r="B45" s="39" t="s">
        <v>42</v>
      </c>
      <c r="C45" s="11">
        <v>5840</v>
      </c>
      <c r="D45" s="12">
        <v>19</v>
      </c>
      <c r="E45" s="13">
        <f t="shared" si="8"/>
        <v>110960</v>
      </c>
      <c r="F45" s="14">
        <v>300</v>
      </c>
      <c r="G45" s="12"/>
      <c r="H45" s="13">
        <f t="shared" si="9"/>
        <v>0</v>
      </c>
      <c r="I45" s="14">
        <v>940</v>
      </c>
      <c r="J45" s="20">
        <v>4</v>
      </c>
      <c r="K45" s="13">
        <f t="shared" si="10"/>
        <v>3760</v>
      </c>
      <c r="L45" s="14">
        <v>130</v>
      </c>
      <c r="M45" s="20">
        <v>38</v>
      </c>
      <c r="N45" s="15">
        <f t="shared" si="11"/>
        <v>4940</v>
      </c>
      <c r="O45" s="11">
        <v>2800</v>
      </c>
      <c r="P45" s="20"/>
      <c r="Q45" s="13">
        <f t="shared" si="12"/>
        <v>0</v>
      </c>
      <c r="R45" s="21">
        <v>1001</v>
      </c>
      <c r="S45" s="22"/>
      <c r="T45" s="18">
        <f t="shared" si="13"/>
        <v>0</v>
      </c>
      <c r="U45" s="18"/>
      <c r="V45" s="38">
        <f t="shared" si="15"/>
        <v>119660</v>
      </c>
    </row>
    <row r="46" spans="1:22" ht="19.5" customHeight="1">
      <c r="A46" s="24">
        <v>14</v>
      </c>
      <c r="B46" s="39" t="s">
        <v>43</v>
      </c>
      <c r="C46" s="11">
        <v>5840</v>
      </c>
      <c r="D46" s="12">
        <v>23</v>
      </c>
      <c r="E46" s="13">
        <f t="shared" si="8"/>
        <v>134320</v>
      </c>
      <c r="F46" s="14">
        <v>300</v>
      </c>
      <c r="G46" s="12"/>
      <c r="H46" s="13">
        <f t="shared" si="9"/>
        <v>0</v>
      </c>
      <c r="I46" s="14">
        <v>940</v>
      </c>
      <c r="J46" s="20"/>
      <c r="K46" s="13">
        <f t="shared" si="10"/>
        <v>0</v>
      </c>
      <c r="L46" s="14">
        <v>130</v>
      </c>
      <c r="M46" s="20">
        <v>46</v>
      </c>
      <c r="N46" s="15">
        <f t="shared" si="11"/>
        <v>5980</v>
      </c>
      <c r="O46" s="11">
        <v>2800</v>
      </c>
      <c r="P46" s="20"/>
      <c r="Q46" s="13">
        <f t="shared" si="12"/>
        <v>0</v>
      </c>
      <c r="R46" s="21">
        <v>1001</v>
      </c>
      <c r="S46" s="22"/>
      <c r="T46" s="18">
        <f t="shared" si="13"/>
        <v>0</v>
      </c>
      <c r="U46" s="18">
        <v>9300</v>
      </c>
      <c r="V46" s="38">
        <f t="shared" si="15"/>
        <v>131000</v>
      </c>
    </row>
    <row r="47" spans="1:22" ht="19.5" customHeight="1">
      <c r="A47" s="24">
        <v>15</v>
      </c>
      <c r="B47" s="39" t="s">
        <v>44</v>
      </c>
      <c r="C47" s="11">
        <v>5840</v>
      </c>
      <c r="D47" s="12">
        <v>14</v>
      </c>
      <c r="E47" s="13">
        <f t="shared" si="8"/>
        <v>81760</v>
      </c>
      <c r="F47" s="14">
        <v>300</v>
      </c>
      <c r="G47" s="12"/>
      <c r="H47" s="13">
        <f t="shared" si="9"/>
        <v>0</v>
      </c>
      <c r="I47" s="14">
        <v>940</v>
      </c>
      <c r="J47" s="20"/>
      <c r="K47" s="13">
        <f t="shared" si="10"/>
        <v>0</v>
      </c>
      <c r="L47" s="14">
        <v>130</v>
      </c>
      <c r="M47" s="20"/>
      <c r="N47" s="15">
        <f t="shared" si="11"/>
        <v>0</v>
      </c>
      <c r="O47" s="11">
        <v>2800</v>
      </c>
      <c r="P47" s="20"/>
      <c r="Q47" s="13">
        <f t="shared" si="12"/>
        <v>0</v>
      </c>
      <c r="R47" s="21">
        <v>1002</v>
      </c>
      <c r="S47" s="22"/>
      <c r="T47" s="18">
        <f t="shared" si="13"/>
        <v>0</v>
      </c>
      <c r="U47" s="18"/>
      <c r="V47" s="38">
        <f t="shared" si="15"/>
        <v>81760</v>
      </c>
    </row>
    <row r="48" spans="1:22" ht="19.5" customHeight="1">
      <c r="A48" s="24">
        <v>16</v>
      </c>
      <c r="B48" s="39" t="s">
        <v>55</v>
      </c>
      <c r="C48" s="11">
        <v>5840</v>
      </c>
      <c r="D48" s="12">
        <v>12</v>
      </c>
      <c r="E48" s="13">
        <f t="shared" ref="E48:E49" si="16">SUM(C48*D48)</f>
        <v>70080</v>
      </c>
      <c r="F48" s="14">
        <v>300</v>
      </c>
      <c r="G48" s="12"/>
      <c r="H48" s="13">
        <f t="shared" ref="H48:H49" si="17">SUM(F48*G48)</f>
        <v>0</v>
      </c>
      <c r="I48" s="14">
        <v>940</v>
      </c>
      <c r="J48" s="20"/>
      <c r="K48" s="13">
        <f t="shared" ref="K48:K49" si="18">SUM(I48*J48)</f>
        <v>0</v>
      </c>
      <c r="L48" s="14">
        <v>130</v>
      </c>
      <c r="M48" s="20">
        <v>24</v>
      </c>
      <c r="N48" s="15">
        <f t="shared" ref="N48:N49" si="19">SUM(L48*M48)</f>
        <v>3120</v>
      </c>
      <c r="O48" s="11">
        <v>2800</v>
      </c>
      <c r="P48" s="20"/>
      <c r="Q48" s="13">
        <f t="shared" ref="Q48:Q49" si="20">SUM(O48*P48)</f>
        <v>0</v>
      </c>
      <c r="R48" s="21">
        <v>1001</v>
      </c>
      <c r="S48" s="22"/>
      <c r="T48" s="18">
        <f t="shared" ref="T48:T49" si="21">SUM(S48*R48)</f>
        <v>0</v>
      </c>
      <c r="U48" s="18"/>
      <c r="V48" s="38">
        <f t="shared" si="15"/>
        <v>73200</v>
      </c>
    </row>
    <row r="49" spans="1:22" ht="19.5" customHeight="1">
      <c r="A49" s="24">
        <v>17</v>
      </c>
      <c r="B49" s="39" t="s">
        <v>56</v>
      </c>
      <c r="C49" s="11">
        <v>5840</v>
      </c>
      <c r="D49" s="12">
        <v>6</v>
      </c>
      <c r="E49" s="13">
        <f t="shared" si="16"/>
        <v>35040</v>
      </c>
      <c r="F49" s="14">
        <v>300</v>
      </c>
      <c r="G49" s="12"/>
      <c r="H49" s="13">
        <f t="shared" si="17"/>
        <v>0</v>
      </c>
      <c r="I49" s="14">
        <v>940</v>
      </c>
      <c r="J49" s="20">
        <v>4</v>
      </c>
      <c r="K49" s="13">
        <f t="shared" si="18"/>
        <v>3760</v>
      </c>
      <c r="L49" s="14">
        <v>130</v>
      </c>
      <c r="M49" s="20">
        <v>12</v>
      </c>
      <c r="N49" s="15">
        <f t="shared" si="19"/>
        <v>1560</v>
      </c>
      <c r="O49" s="11">
        <v>2800</v>
      </c>
      <c r="P49" s="20"/>
      <c r="Q49" s="13">
        <f t="shared" si="20"/>
        <v>0</v>
      </c>
      <c r="R49" s="21">
        <v>1002</v>
      </c>
      <c r="S49" s="22"/>
      <c r="T49" s="18">
        <f t="shared" si="21"/>
        <v>0</v>
      </c>
      <c r="U49" s="18"/>
      <c r="V49" s="38">
        <f t="shared" si="15"/>
        <v>40360</v>
      </c>
    </row>
    <row r="50" spans="1:22" ht="19.5" customHeight="1">
      <c r="A50" s="24">
        <v>18</v>
      </c>
      <c r="B50" s="39" t="s">
        <v>45</v>
      </c>
      <c r="C50" s="11">
        <v>8040</v>
      </c>
      <c r="D50" s="12">
        <v>22</v>
      </c>
      <c r="E50" s="13">
        <f t="shared" si="8"/>
        <v>176880</v>
      </c>
      <c r="F50" s="14">
        <v>300</v>
      </c>
      <c r="G50" s="12"/>
      <c r="H50" s="13">
        <f t="shared" si="9"/>
        <v>0</v>
      </c>
      <c r="I50" s="14">
        <v>940</v>
      </c>
      <c r="J50" s="20">
        <v>1</v>
      </c>
      <c r="K50" s="13">
        <f t="shared" si="10"/>
        <v>940</v>
      </c>
      <c r="L50" s="14">
        <v>130</v>
      </c>
      <c r="M50" s="20">
        <v>44</v>
      </c>
      <c r="N50" s="15">
        <f t="shared" si="11"/>
        <v>5720</v>
      </c>
      <c r="O50" s="11">
        <v>2800</v>
      </c>
      <c r="P50" s="20"/>
      <c r="Q50" s="13">
        <f t="shared" si="12"/>
        <v>0</v>
      </c>
      <c r="R50" s="21">
        <v>1000</v>
      </c>
      <c r="S50" s="22"/>
      <c r="T50" s="18">
        <f t="shared" si="13"/>
        <v>0</v>
      </c>
      <c r="U50" s="18"/>
      <c r="V50" s="38">
        <f t="shared" si="15"/>
        <v>183540</v>
      </c>
    </row>
    <row r="51" spans="1:22" ht="19.5" customHeight="1">
      <c r="A51" s="24">
        <v>19</v>
      </c>
      <c r="B51" s="39" t="s">
        <v>46</v>
      </c>
      <c r="C51" s="11">
        <v>8040</v>
      </c>
      <c r="D51" s="12">
        <v>23</v>
      </c>
      <c r="E51" s="13">
        <f t="shared" si="8"/>
        <v>184920</v>
      </c>
      <c r="F51" s="14">
        <v>300</v>
      </c>
      <c r="G51" s="12"/>
      <c r="H51" s="13">
        <f t="shared" si="9"/>
        <v>0</v>
      </c>
      <c r="I51" s="14">
        <v>940</v>
      </c>
      <c r="J51" s="20"/>
      <c r="K51" s="13">
        <f t="shared" si="10"/>
        <v>0</v>
      </c>
      <c r="L51" s="14">
        <v>130</v>
      </c>
      <c r="M51" s="20">
        <v>46</v>
      </c>
      <c r="N51" s="15">
        <f t="shared" si="11"/>
        <v>5980</v>
      </c>
      <c r="O51" s="11">
        <v>2800</v>
      </c>
      <c r="P51" s="20"/>
      <c r="Q51" s="13">
        <f t="shared" si="12"/>
        <v>0</v>
      </c>
      <c r="R51" s="21">
        <v>1000</v>
      </c>
      <c r="S51" s="22"/>
      <c r="T51" s="18">
        <f t="shared" si="13"/>
        <v>0</v>
      </c>
      <c r="U51" s="18"/>
      <c r="V51" s="38">
        <f t="shared" si="15"/>
        <v>190900</v>
      </c>
    </row>
    <row r="52" spans="1:22" ht="19.5" customHeight="1">
      <c r="A52" s="24">
        <v>20</v>
      </c>
      <c r="B52" s="39" t="s">
        <v>47</v>
      </c>
      <c r="C52" s="11">
        <v>8040</v>
      </c>
      <c r="D52" s="12">
        <v>21</v>
      </c>
      <c r="E52" s="13">
        <f t="shared" si="8"/>
        <v>168840</v>
      </c>
      <c r="F52" s="14">
        <v>300</v>
      </c>
      <c r="G52" s="12"/>
      <c r="H52" s="13">
        <f t="shared" si="9"/>
        <v>0</v>
      </c>
      <c r="I52" s="14">
        <v>940</v>
      </c>
      <c r="J52" s="20">
        <v>2</v>
      </c>
      <c r="K52" s="13">
        <f t="shared" si="10"/>
        <v>1880</v>
      </c>
      <c r="L52" s="14">
        <v>130</v>
      </c>
      <c r="M52" s="20"/>
      <c r="N52" s="15">
        <f t="shared" si="11"/>
        <v>0</v>
      </c>
      <c r="O52" s="11">
        <v>2800</v>
      </c>
      <c r="P52" s="20"/>
      <c r="Q52" s="13">
        <f t="shared" si="12"/>
        <v>0</v>
      </c>
      <c r="R52" s="21"/>
      <c r="S52" s="22"/>
      <c r="T52" s="18">
        <f t="shared" si="13"/>
        <v>0</v>
      </c>
      <c r="U52" s="18"/>
      <c r="V52" s="38">
        <f t="shared" si="15"/>
        <v>170720</v>
      </c>
    </row>
    <row r="53" spans="1:22" ht="19.5" customHeight="1" thickBot="1">
      <c r="A53" s="5"/>
      <c r="B53" s="5"/>
      <c r="C53" s="40">
        <v>5840</v>
      </c>
      <c r="D53" s="41"/>
      <c r="E53" s="42">
        <f t="shared" si="8"/>
        <v>0</v>
      </c>
      <c r="F53" s="43">
        <v>300</v>
      </c>
      <c r="G53" s="41"/>
      <c r="H53" s="42">
        <f t="shared" si="9"/>
        <v>0</v>
      </c>
      <c r="I53" s="43">
        <v>940</v>
      </c>
      <c r="J53" s="41"/>
      <c r="K53" s="42">
        <f t="shared" si="10"/>
        <v>0</v>
      </c>
      <c r="L53" s="43">
        <v>130</v>
      </c>
      <c r="M53" s="41"/>
      <c r="N53" s="44">
        <f t="shared" si="11"/>
        <v>0</v>
      </c>
      <c r="O53" s="40">
        <v>2800</v>
      </c>
      <c r="P53" s="41"/>
      <c r="Q53" s="42">
        <f t="shared" si="12"/>
        <v>0</v>
      </c>
      <c r="R53" s="8"/>
      <c r="S53" s="45"/>
      <c r="T53" s="46">
        <f t="shared" si="13"/>
        <v>0</v>
      </c>
      <c r="U53" s="46"/>
      <c r="V53" s="47">
        <f t="shared" si="15"/>
        <v>0</v>
      </c>
    </row>
    <row r="54" spans="1:22" ht="19.5" customHeight="1" thickTop="1">
      <c r="A54" s="48"/>
      <c r="B54" s="48"/>
      <c r="C54" s="48"/>
      <c r="D54" s="48"/>
      <c r="E54" s="38">
        <f>SUM(E33:E53)</f>
        <v>2154160</v>
      </c>
      <c r="F54" s="38"/>
      <c r="G54" s="38"/>
      <c r="H54" s="38">
        <f>SUM(H33:H53)</f>
        <v>0</v>
      </c>
      <c r="I54" s="38"/>
      <c r="J54" s="38"/>
      <c r="K54" s="38">
        <f>SUM(K33:K53)</f>
        <v>35720</v>
      </c>
      <c r="L54" s="38"/>
      <c r="M54" s="38"/>
      <c r="N54" s="38">
        <f>SUM(N33:N53)</f>
        <v>68900</v>
      </c>
      <c r="O54" s="38"/>
      <c r="P54" s="48"/>
      <c r="Q54" s="38">
        <f>SUM(Q33:Q53)</f>
        <v>0</v>
      </c>
      <c r="R54" s="48"/>
      <c r="S54" s="48"/>
      <c r="T54" s="38">
        <f>SUM(T33:T53)</f>
        <v>0</v>
      </c>
      <c r="U54" s="38">
        <f>SUM(U33:U53)</f>
        <v>18600</v>
      </c>
      <c r="V54" s="38">
        <f>SUM(V33:V53)</f>
        <v>2240180</v>
      </c>
    </row>
    <row r="55" spans="1:22" ht="19.5" customHeight="1"/>
    <row r="56" spans="1:22" s="49" customFormat="1" ht="19.5" customHeight="1">
      <c r="O56" s="106" t="s">
        <v>29</v>
      </c>
      <c r="P56" s="107"/>
      <c r="Q56" s="107"/>
      <c r="R56" s="107"/>
      <c r="S56" s="107"/>
      <c r="T56" s="107"/>
      <c r="U56" s="108"/>
      <c r="V56" s="51">
        <f>V20</f>
        <v>1232350</v>
      </c>
    </row>
    <row r="57" spans="1:22" s="49" customFormat="1" ht="19.5" customHeight="1" thickBot="1">
      <c r="O57" s="109" t="s">
        <v>30</v>
      </c>
      <c r="P57" s="110"/>
      <c r="Q57" s="110"/>
      <c r="R57" s="110"/>
      <c r="S57" s="110"/>
      <c r="T57" s="110"/>
      <c r="U57" s="111"/>
      <c r="V57" s="55">
        <f>V54</f>
        <v>2240180</v>
      </c>
    </row>
    <row r="58" spans="1:22" s="49" customFormat="1" ht="19.5" customHeight="1" thickTop="1">
      <c r="O58" s="112" t="s">
        <v>2</v>
      </c>
      <c r="P58" s="113"/>
      <c r="Q58" s="113"/>
      <c r="R58" s="113"/>
      <c r="S58" s="113"/>
      <c r="T58" s="113"/>
      <c r="U58" s="114"/>
      <c r="V58" s="53">
        <f>V56+V57</f>
        <v>3472530</v>
      </c>
    </row>
  </sheetData>
  <mergeCells count="28">
    <mergeCell ref="O56:U56"/>
    <mergeCell ref="O57:U57"/>
    <mergeCell ref="O58:U58"/>
    <mergeCell ref="D1:H1"/>
    <mergeCell ref="A2:B2"/>
    <mergeCell ref="A3:B4"/>
    <mergeCell ref="C4:E4"/>
    <mergeCell ref="F4:H4"/>
    <mergeCell ref="I4:K4"/>
    <mergeCell ref="L4:N4"/>
    <mergeCell ref="O4:Q4"/>
    <mergeCell ref="R4:T4"/>
    <mergeCell ref="U4:U5"/>
    <mergeCell ref="D28:H28"/>
    <mergeCell ref="A29:B29"/>
    <mergeCell ref="A30:B31"/>
    <mergeCell ref="V4:V5"/>
    <mergeCell ref="V31:V32"/>
    <mergeCell ref="O20:U20"/>
    <mergeCell ref="O21:U21"/>
    <mergeCell ref="O22:U22"/>
    <mergeCell ref="R31:T31"/>
    <mergeCell ref="U31:U32"/>
    <mergeCell ref="C31:E31"/>
    <mergeCell ref="F31:H31"/>
    <mergeCell ref="I31:K31"/>
    <mergeCell ref="L31:N31"/>
    <mergeCell ref="O31:Q31"/>
  </mergeCells>
  <phoneticPr fontId="2"/>
  <pageMargins left="0.39370078740157483" right="0" top="0.15748031496062992" bottom="0" header="0.19685039370078741" footer="0.19685039370078741"/>
  <pageSetup paperSize="9" scale="99" fitToHeight="0" orientation="landscape" r:id="rId1"/>
  <headerFooter>
    <oddHeader>&amp;R&amp;K00-033カイト今治</oddHeader>
  </headerFooter>
  <rowBreaks count="1" manualBreakCount="1">
    <brk id="27" max="2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2" sqref="F12"/>
    </sheetView>
  </sheetViews>
  <sheetFormatPr defaultRowHeight="13.5"/>
  <sheetData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1"/>
  <sheetViews>
    <sheetView view="pageBreakPreview" zoomScale="85" zoomScaleNormal="100" zoomScaleSheetLayoutView="85" workbookViewId="0">
      <selection activeCell="N11" sqref="N11"/>
    </sheetView>
  </sheetViews>
  <sheetFormatPr defaultRowHeight="17.25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8.875" style="1" customWidth="1"/>
    <col min="18" max="20" width="12.875" style="1" hidden="1" customWidth="1"/>
    <col min="21" max="21" width="10.625" style="1" customWidth="1"/>
    <col min="22" max="22" width="12.875" style="1" customWidth="1"/>
    <col min="23" max="16384" width="9" style="1"/>
  </cols>
  <sheetData>
    <row r="1" spans="1:22" ht="21.75" customHeight="1">
      <c r="D1" s="84" t="s">
        <v>12</v>
      </c>
      <c r="E1" s="85"/>
      <c r="F1" s="85"/>
      <c r="G1" s="85"/>
      <c r="H1" s="85"/>
    </row>
    <row r="2" spans="1:22" ht="21.75" customHeight="1">
      <c r="A2" s="94" t="s">
        <v>54</v>
      </c>
      <c r="B2" s="94"/>
    </row>
    <row r="3" spans="1:22" ht="21.75" customHeight="1">
      <c r="A3" s="86" t="s">
        <v>10</v>
      </c>
      <c r="B3" s="87"/>
    </row>
    <row r="4" spans="1:22" ht="21.75" customHeight="1">
      <c r="A4" s="88"/>
      <c r="B4" s="89"/>
      <c r="C4" s="115" t="s">
        <v>9</v>
      </c>
      <c r="D4" s="116"/>
      <c r="E4" s="117"/>
      <c r="F4" s="115" t="s">
        <v>8</v>
      </c>
      <c r="G4" s="116"/>
      <c r="H4" s="117"/>
      <c r="I4" s="115" t="s">
        <v>7</v>
      </c>
      <c r="J4" s="116"/>
      <c r="K4" s="117"/>
      <c r="L4" s="115" t="s">
        <v>6</v>
      </c>
      <c r="M4" s="116"/>
      <c r="N4" s="117"/>
      <c r="O4" s="115" t="s">
        <v>5</v>
      </c>
      <c r="P4" s="116"/>
      <c r="Q4" s="117"/>
      <c r="R4" s="115" t="s">
        <v>4</v>
      </c>
      <c r="S4" s="116"/>
      <c r="T4" s="117"/>
      <c r="U4" s="118" t="s">
        <v>3</v>
      </c>
      <c r="V4" s="95" t="s">
        <v>2</v>
      </c>
    </row>
    <row r="5" spans="1:22" ht="21.75" customHeight="1" thickBot="1">
      <c r="A5" s="3"/>
      <c r="B5" s="4" t="s">
        <v>1</v>
      </c>
      <c r="C5" s="71">
        <v>5840</v>
      </c>
      <c r="D5" s="72" t="s">
        <v>0</v>
      </c>
      <c r="E5" s="71"/>
      <c r="F5" s="71">
        <v>300</v>
      </c>
      <c r="G5" s="72" t="s">
        <v>0</v>
      </c>
      <c r="H5" s="71"/>
      <c r="I5" s="71">
        <v>940</v>
      </c>
      <c r="J5" s="72" t="s">
        <v>0</v>
      </c>
      <c r="K5" s="71"/>
      <c r="L5" s="71">
        <v>130</v>
      </c>
      <c r="M5" s="72" t="s">
        <v>0</v>
      </c>
      <c r="N5" s="71"/>
      <c r="O5" s="73">
        <v>2800</v>
      </c>
      <c r="P5" s="71" t="s">
        <v>0</v>
      </c>
      <c r="Q5" s="71"/>
      <c r="R5" s="73">
        <v>1000</v>
      </c>
      <c r="S5" s="72" t="s">
        <v>0</v>
      </c>
      <c r="T5" s="71"/>
      <c r="U5" s="119"/>
      <c r="V5" s="96"/>
    </row>
    <row r="6" spans="1:22" ht="21.75" customHeight="1" thickTop="1">
      <c r="A6" s="9">
        <v>1</v>
      </c>
      <c r="B6" s="10" t="s">
        <v>17</v>
      </c>
      <c r="C6" s="11">
        <v>5840</v>
      </c>
      <c r="D6" s="12"/>
      <c r="E6" s="13">
        <f t="shared" ref="E6:E20" si="0">SUM(C6*D6)</f>
        <v>0</v>
      </c>
      <c r="F6" s="14">
        <v>300</v>
      </c>
      <c r="G6" s="12"/>
      <c r="H6" s="13">
        <f t="shared" ref="H6:H20" si="1">SUM(F6*G6)</f>
        <v>0</v>
      </c>
      <c r="I6" s="14">
        <v>940</v>
      </c>
      <c r="J6" s="12"/>
      <c r="K6" s="13">
        <f t="shared" ref="K6:K20" si="2">SUM(I6*J6)</f>
        <v>0</v>
      </c>
      <c r="L6" s="14">
        <v>270</v>
      </c>
      <c r="M6" s="12"/>
      <c r="N6" s="15">
        <f t="shared" ref="N6:N20" si="3">SUM(L6*M6)</f>
        <v>0</v>
      </c>
      <c r="O6" s="11">
        <v>2800</v>
      </c>
      <c r="P6" s="12"/>
      <c r="Q6" s="13">
        <f t="shared" ref="Q6:Q20" si="4">SUM(O6*P6)</f>
        <v>0</v>
      </c>
      <c r="R6" s="16">
        <v>1000</v>
      </c>
      <c r="S6" s="17"/>
      <c r="T6" s="18">
        <f t="shared" ref="T6:T20" si="5">SUM(S6*R6)</f>
        <v>0</v>
      </c>
      <c r="U6" s="18"/>
      <c r="V6" s="19">
        <f t="shared" ref="V6:V13" si="6">SUM(E6+H6+K6+N6+Q6+T6)</f>
        <v>0</v>
      </c>
    </row>
    <row r="7" spans="1:22" ht="21.75" customHeight="1">
      <c r="A7" s="9">
        <v>2</v>
      </c>
      <c r="B7" s="9" t="s">
        <v>18</v>
      </c>
      <c r="C7" s="11">
        <v>5840</v>
      </c>
      <c r="D7" s="12">
        <v>14</v>
      </c>
      <c r="E7" s="13">
        <f t="shared" si="0"/>
        <v>81760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28</v>
      </c>
      <c r="N7" s="15">
        <f t="shared" si="3"/>
        <v>7560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89320</v>
      </c>
    </row>
    <row r="8" spans="1:22" ht="21.75" customHeight="1">
      <c r="A8" s="9">
        <v>3</v>
      </c>
      <c r="B8" s="9" t="s">
        <v>19</v>
      </c>
      <c r="C8" s="11">
        <v>5840</v>
      </c>
      <c r="D8" s="12">
        <v>23</v>
      </c>
      <c r="E8" s="13">
        <f t="shared" si="0"/>
        <v>134320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46</v>
      </c>
      <c r="N8" s="15">
        <f t="shared" si="3"/>
        <v>12420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146740</v>
      </c>
    </row>
    <row r="9" spans="1:22" ht="21.75" customHeight="1">
      <c r="A9" s="9">
        <v>4</v>
      </c>
      <c r="B9" s="9" t="s">
        <v>57</v>
      </c>
      <c r="C9" s="11">
        <v>5840</v>
      </c>
      <c r="D9" s="12">
        <v>14</v>
      </c>
      <c r="E9" s="13">
        <f t="shared" si="0"/>
        <v>81760</v>
      </c>
      <c r="F9" s="14">
        <v>300</v>
      </c>
      <c r="G9" s="12"/>
      <c r="H9" s="13">
        <f t="shared" si="1"/>
        <v>0</v>
      </c>
      <c r="I9" s="14">
        <v>940</v>
      </c>
      <c r="J9" s="20"/>
      <c r="K9" s="13">
        <f t="shared" si="2"/>
        <v>0</v>
      </c>
      <c r="L9" s="14">
        <v>270</v>
      </c>
      <c r="M9" s="20">
        <v>28</v>
      </c>
      <c r="N9" s="15">
        <f t="shared" si="3"/>
        <v>7560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89320</v>
      </c>
    </row>
    <row r="10" spans="1:22" ht="21.75" customHeight="1">
      <c r="A10" s="9">
        <v>5</v>
      </c>
      <c r="B10" s="9" t="s">
        <v>21</v>
      </c>
      <c r="C10" s="11">
        <v>5840</v>
      </c>
      <c r="D10" s="12">
        <v>19</v>
      </c>
      <c r="E10" s="13">
        <f t="shared" si="0"/>
        <v>110960</v>
      </c>
      <c r="F10" s="14">
        <v>300</v>
      </c>
      <c r="G10" s="12"/>
      <c r="H10" s="13">
        <f t="shared" si="1"/>
        <v>0</v>
      </c>
      <c r="I10" s="14">
        <v>940</v>
      </c>
      <c r="J10" s="20"/>
      <c r="K10" s="13">
        <f t="shared" si="2"/>
        <v>0</v>
      </c>
      <c r="L10" s="14">
        <v>270</v>
      </c>
      <c r="M10" s="20">
        <v>38</v>
      </c>
      <c r="N10" s="15">
        <f t="shared" si="3"/>
        <v>10260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121220</v>
      </c>
    </row>
    <row r="11" spans="1:22" ht="21.75" customHeight="1">
      <c r="A11" s="9">
        <v>6</v>
      </c>
      <c r="B11" s="9" t="s">
        <v>22</v>
      </c>
      <c r="C11" s="11">
        <v>5840</v>
      </c>
      <c r="D11" s="12">
        <v>23</v>
      </c>
      <c r="E11" s="13">
        <f t="shared" si="0"/>
        <v>134320</v>
      </c>
      <c r="F11" s="14">
        <v>300</v>
      </c>
      <c r="G11" s="12"/>
      <c r="H11" s="13">
        <f t="shared" si="1"/>
        <v>0</v>
      </c>
      <c r="I11" s="14">
        <v>940</v>
      </c>
      <c r="J11" s="20"/>
      <c r="K11" s="13">
        <f t="shared" si="2"/>
        <v>0</v>
      </c>
      <c r="L11" s="14">
        <v>270</v>
      </c>
      <c r="M11" s="20">
        <v>46</v>
      </c>
      <c r="N11" s="15">
        <f t="shared" si="3"/>
        <v>12420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146740</v>
      </c>
    </row>
    <row r="12" spans="1:22" ht="21.75" customHeight="1">
      <c r="A12" s="9">
        <v>7</v>
      </c>
      <c r="B12" s="9" t="s">
        <v>23</v>
      </c>
      <c r="C12" s="11">
        <v>5840</v>
      </c>
      <c r="D12" s="12">
        <v>23</v>
      </c>
      <c r="E12" s="13">
        <f t="shared" si="0"/>
        <v>134320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134320</v>
      </c>
    </row>
    <row r="13" spans="1:22" ht="21.75" customHeight="1">
      <c r="A13" s="9">
        <v>8</v>
      </c>
      <c r="B13" s="10" t="s">
        <v>24</v>
      </c>
      <c r="C13" s="11">
        <v>5840</v>
      </c>
      <c r="D13" s="12">
        <v>23</v>
      </c>
      <c r="E13" s="13">
        <f t="shared" si="0"/>
        <v>134320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134320</v>
      </c>
    </row>
    <row r="14" spans="1:22" ht="21.75" customHeight="1">
      <c r="A14" s="9">
        <v>9</v>
      </c>
      <c r="B14" s="10" t="s">
        <v>25</v>
      </c>
      <c r="C14" s="11">
        <v>5840</v>
      </c>
      <c r="D14" s="12">
        <v>12</v>
      </c>
      <c r="E14" s="13">
        <f t="shared" si="0"/>
        <v>70080</v>
      </c>
      <c r="F14" s="14">
        <v>300</v>
      </c>
      <c r="G14" s="12"/>
      <c r="H14" s="13">
        <f t="shared" si="1"/>
        <v>0</v>
      </c>
      <c r="I14" s="14">
        <v>940</v>
      </c>
      <c r="J14" s="12"/>
      <c r="K14" s="13">
        <f t="shared" si="2"/>
        <v>0</v>
      </c>
      <c r="L14" s="14">
        <v>270</v>
      </c>
      <c r="M14" s="12">
        <v>24</v>
      </c>
      <c r="N14" s="15">
        <f t="shared" si="3"/>
        <v>6480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>SUM(E14+H14+K14+N14+Q14+T14)-U14</f>
        <v>76560</v>
      </c>
    </row>
    <row r="15" spans="1:22" ht="21.75" customHeight="1">
      <c r="A15" s="9">
        <v>10</v>
      </c>
      <c r="B15" s="9" t="s">
        <v>26</v>
      </c>
      <c r="C15" s="11">
        <v>5840</v>
      </c>
      <c r="D15" s="12">
        <v>11</v>
      </c>
      <c r="E15" s="13">
        <f t="shared" si="0"/>
        <v>64240</v>
      </c>
      <c r="F15" s="14">
        <v>300</v>
      </c>
      <c r="G15" s="12"/>
      <c r="H15" s="13">
        <f t="shared" si="1"/>
        <v>0</v>
      </c>
      <c r="I15" s="14">
        <v>940</v>
      </c>
      <c r="J15" s="20"/>
      <c r="K15" s="13">
        <f t="shared" si="2"/>
        <v>0</v>
      </c>
      <c r="L15" s="14">
        <v>270</v>
      </c>
      <c r="M15" s="20">
        <v>22</v>
      </c>
      <c r="N15" s="15">
        <f t="shared" si="3"/>
        <v>5940</v>
      </c>
      <c r="O15" s="11">
        <v>2800</v>
      </c>
      <c r="P15" s="20"/>
      <c r="Q15" s="13">
        <f t="shared" si="4"/>
        <v>0</v>
      </c>
      <c r="R15" s="21">
        <v>1000</v>
      </c>
      <c r="S15" s="22"/>
      <c r="T15" s="18">
        <f t="shared" si="5"/>
        <v>0</v>
      </c>
      <c r="U15" s="18"/>
      <c r="V15" s="19">
        <f>SUM(E15+H15+K15+N15+Q15+T15)-U15</f>
        <v>70180</v>
      </c>
    </row>
    <row r="16" spans="1:22" ht="21.75" customHeight="1">
      <c r="A16" s="9">
        <v>12</v>
      </c>
      <c r="B16" s="9" t="s">
        <v>27</v>
      </c>
      <c r="C16" s="11">
        <v>5840</v>
      </c>
      <c r="D16" s="12">
        <v>18</v>
      </c>
      <c r="E16" s="13">
        <f t="shared" si="0"/>
        <v>105120</v>
      </c>
      <c r="F16" s="14">
        <v>300</v>
      </c>
      <c r="G16" s="12"/>
      <c r="H16" s="13">
        <f t="shared" si="1"/>
        <v>0</v>
      </c>
      <c r="I16" s="14">
        <v>940</v>
      </c>
      <c r="J16" s="20"/>
      <c r="K16" s="13">
        <f t="shared" si="2"/>
        <v>0</v>
      </c>
      <c r="L16" s="14">
        <v>270</v>
      </c>
      <c r="M16" s="20">
        <v>36</v>
      </c>
      <c r="N16" s="15">
        <f t="shared" si="3"/>
        <v>9720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>SUM(E16+H16+K16+N16+Q16+T16)-U16</f>
        <v>114840</v>
      </c>
    </row>
    <row r="17" spans="1:22" ht="21.75" customHeight="1">
      <c r="A17" s="9">
        <v>13</v>
      </c>
      <c r="B17" s="9" t="s">
        <v>61</v>
      </c>
      <c r="C17" s="11">
        <v>5840</v>
      </c>
      <c r="D17" s="12">
        <v>3</v>
      </c>
      <c r="E17" s="13">
        <f t="shared" ref="E17:E19" si="7">SUM(C17*D17)</f>
        <v>17520</v>
      </c>
      <c r="F17" s="14">
        <v>300</v>
      </c>
      <c r="G17" s="12"/>
      <c r="H17" s="13">
        <f t="shared" ref="H17:H19" si="8">SUM(F17*G17)</f>
        <v>0</v>
      </c>
      <c r="I17" s="14">
        <v>940</v>
      </c>
      <c r="J17" s="20"/>
      <c r="K17" s="13">
        <f t="shared" ref="K17:K19" si="9">SUM(I17*J17)</f>
        <v>0</v>
      </c>
      <c r="L17" s="14">
        <v>270</v>
      </c>
      <c r="M17" s="20">
        <v>6</v>
      </c>
      <c r="N17" s="15">
        <f t="shared" ref="N17:N19" si="10">SUM(L17*M17)</f>
        <v>1620</v>
      </c>
      <c r="O17" s="11">
        <v>2800</v>
      </c>
      <c r="P17" s="20"/>
      <c r="Q17" s="13">
        <f t="shared" ref="Q17:Q19" si="11">SUM(O17*P17)</f>
        <v>0</v>
      </c>
      <c r="R17" s="21">
        <v>1000</v>
      </c>
      <c r="S17" s="22"/>
      <c r="T17" s="18">
        <f t="shared" ref="T17:T19" si="12">SUM(S17*R17)</f>
        <v>0</v>
      </c>
      <c r="U17" s="18"/>
      <c r="V17" s="19">
        <f t="shared" ref="V17:V19" si="13">SUM(E17+H17+K17+N17+Q17+T17)-U17</f>
        <v>19140</v>
      </c>
    </row>
    <row r="18" spans="1:22" ht="21.75" customHeight="1">
      <c r="A18" s="9">
        <v>14</v>
      </c>
      <c r="B18" s="9" t="s">
        <v>59</v>
      </c>
      <c r="C18" s="11">
        <v>5840</v>
      </c>
      <c r="D18" s="12">
        <v>10</v>
      </c>
      <c r="E18" s="13">
        <f t="shared" ref="E18" si="14">SUM(C18*D18)</f>
        <v>58400</v>
      </c>
      <c r="F18" s="14">
        <v>300</v>
      </c>
      <c r="G18" s="12"/>
      <c r="H18" s="13">
        <f t="shared" ref="H18" si="15">SUM(F18*G18)</f>
        <v>0</v>
      </c>
      <c r="I18" s="14">
        <v>940</v>
      </c>
      <c r="J18" s="20"/>
      <c r="K18" s="13">
        <f t="shared" ref="K18" si="16">SUM(I18*J18)</f>
        <v>0</v>
      </c>
      <c r="L18" s="14">
        <v>270</v>
      </c>
      <c r="M18" s="20"/>
      <c r="N18" s="15">
        <f t="shared" ref="N18" si="17">SUM(L18*M18)</f>
        <v>0</v>
      </c>
      <c r="O18" s="11">
        <v>2800</v>
      </c>
      <c r="P18" s="20"/>
      <c r="Q18" s="13">
        <f t="shared" ref="Q18" si="18">SUM(O18*P18)</f>
        <v>0</v>
      </c>
      <c r="R18" s="21">
        <v>1000</v>
      </c>
      <c r="S18" s="22"/>
      <c r="T18" s="18">
        <f t="shared" ref="T18" si="19">SUM(S18*R18)</f>
        <v>0</v>
      </c>
      <c r="U18" s="18"/>
      <c r="V18" s="19">
        <f t="shared" si="13"/>
        <v>58400</v>
      </c>
    </row>
    <row r="19" spans="1:22" ht="21.75" customHeight="1">
      <c r="A19" s="9">
        <v>15</v>
      </c>
      <c r="B19" s="9" t="s">
        <v>58</v>
      </c>
      <c r="C19" s="11">
        <v>5840</v>
      </c>
      <c r="D19" s="12">
        <v>10</v>
      </c>
      <c r="E19" s="13">
        <f t="shared" si="7"/>
        <v>58400</v>
      </c>
      <c r="F19" s="14">
        <v>300</v>
      </c>
      <c r="G19" s="12"/>
      <c r="H19" s="13">
        <f t="shared" si="8"/>
        <v>0</v>
      </c>
      <c r="I19" s="14">
        <v>940</v>
      </c>
      <c r="J19" s="20"/>
      <c r="K19" s="13">
        <f t="shared" si="9"/>
        <v>0</v>
      </c>
      <c r="L19" s="14">
        <v>270</v>
      </c>
      <c r="M19" s="20"/>
      <c r="N19" s="15">
        <f t="shared" si="10"/>
        <v>0</v>
      </c>
      <c r="O19" s="11">
        <v>2800</v>
      </c>
      <c r="P19" s="20"/>
      <c r="Q19" s="13">
        <f t="shared" si="11"/>
        <v>0</v>
      </c>
      <c r="R19" s="21">
        <v>1000</v>
      </c>
      <c r="S19" s="22"/>
      <c r="T19" s="18">
        <f t="shared" si="12"/>
        <v>0</v>
      </c>
      <c r="U19" s="18"/>
      <c r="V19" s="19">
        <f t="shared" si="13"/>
        <v>58400</v>
      </c>
    </row>
    <row r="20" spans="1:22" ht="21.75" customHeight="1">
      <c r="A20" s="9">
        <v>16</v>
      </c>
      <c r="B20" s="9" t="s">
        <v>60</v>
      </c>
      <c r="C20" s="11">
        <v>5840</v>
      </c>
      <c r="D20" s="12">
        <v>3</v>
      </c>
      <c r="E20" s="13">
        <f t="shared" si="0"/>
        <v>17520</v>
      </c>
      <c r="F20" s="14">
        <v>300</v>
      </c>
      <c r="G20" s="12">
        <v>3</v>
      </c>
      <c r="H20" s="13">
        <f t="shared" si="1"/>
        <v>900</v>
      </c>
      <c r="I20" s="14">
        <v>940</v>
      </c>
      <c r="J20" s="20"/>
      <c r="K20" s="13">
        <f t="shared" si="2"/>
        <v>0</v>
      </c>
      <c r="L20" s="14">
        <v>270</v>
      </c>
      <c r="M20" s="20">
        <v>6</v>
      </c>
      <c r="N20" s="15">
        <f t="shared" si="3"/>
        <v>1620</v>
      </c>
      <c r="O20" s="11">
        <v>2800</v>
      </c>
      <c r="P20" s="20"/>
      <c r="Q20" s="13">
        <f t="shared" si="4"/>
        <v>0</v>
      </c>
      <c r="R20" s="21">
        <v>1000</v>
      </c>
      <c r="S20" s="22"/>
      <c r="T20" s="18">
        <f t="shared" si="5"/>
        <v>0</v>
      </c>
      <c r="U20" s="18"/>
      <c r="V20" s="19">
        <f t="shared" ref="V20" si="20">SUM(E20+H20+K20+N20+Q20+T20)-U20</f>
        <v>20040</v>
      </c>
    </row>
    <row r="21" spans="1:22" ht="21.75" customHeight="1">
      <c r="A21" s="24"/>
      <c r="B21" s="24"/>
      <c r="C21" s="25"/>
      <c r="D21" s="25"/>
      <c r="E21" s="26">
        <f>SUM(E6:E20)</f>
        <v>1203040</v>
      </c>
      <c r="F21" s="26"/>
      <c r="G21" s="26"/>
      <c r="H21" s="26">
        <f>SUM(H6:H20)</f>
        <v>900</v>
      </c>
      <c r="I21" s="26"/>
      <c r="J21" s="26"/>
      <c r="K21" s="26">
        <f>SUM(K6:K20)</f>
        <v>0</v>
      </c>
      <c r="L21" s="26"/>
      <c r="M21" s="26"/>
      <c r="N21" s="26">
        <f>SUM(N6:N20)</f>
        <v>75600</v>
      </c>
      <c r="O21" s="26"/>
      <c r="P21" s="25"/>
      <c r="Q21" s="26">
        <f>SUM(Q6:Q20)</f>
        <v>0</v>
      </c>
      <c r="R21" s="24"/>
      <c r="S21" s="24"/>
      <c r="T21" s="21">
        <f>SUM(T6:T20)</f>
        <v>0</v>
      </c>
      <c r="U21" s="21">
        <f>SUM(U6:U20)</f>
        <v>0</v>
      </c>
      <c r="V21" s="27">
        <f>SUM(V6:V20)</f>
        <v>1279540</v>
      </c>
    </row>
    <row r="22" spans="1:22" ht="21.75" customHeight="1"/>
    <row r="23" spans="1:22" ht="33" customHeight="1">
      <c r="N23" s="28"/>
      <c r="O23" s="97" t="s">
        <v>29</v>
      </c>
      <c r="P23" s="98"/>
      <c r="Q23" s="98"/>
      <c r="R23" s="98"/>
      <c r="S23" s="98"/>
      <c r="T23" s="98"/>
      <c r="U23" s="99"/>
      <c r="V23" s="30">
        <f>V21</f>
        <v>1279540</v>
      </c>
    </row>
    <row r="24" spans="1:22" ht="33" customHeight="1" thickBot="1">
      <c r="N24" s="28"/>
      <c r="O24" s="100" t="s">
        <v>30</v>
      </c>
      <c r="P24" s="101"/>
      <c r="Q24" s="101"/>
      <c r="R24" s="101"/>
      <c r="S24" s="101"/>
      <c r="T24" s="101"/>
      <c r="U24" s="102"/>
      <c r="V24" s="32">
        <f>V57</f>
        <v>2240180</v>
      </c>
    </row>
    <row r="25" spans="1:22" ht="33" customHeight="1" thickTop="1">
      <c r="N25" s="28"/>
      <c r="O25" s="103" t="s">
        <v>2</v>
      </c>
      <c r="P25" s="104"/>
      <c r="Q25" s="104"/>
      <c r="R25" s="104"/>
      <c r="S25" s="104"/>
      <c r="T25" s="104"/>
      <c r="U25" s="105"/>
      <c r="V25" s="34">
        <f>V23+V24</f>
        <v>3519720</v>
      </c>
    </row>
    <row r="26" spans="1:22" ht="21.75" customHeight="1">
      <c r="N26" s="28"/>
      <c r="O26" s="28"/>
      <c r="P26" s="28"/>
      <c r="Q26" s="28"/>
      <c r="R26" s="35"/>
      <c r="S26" s="36"/>
      <c r="T26" s="36"/>
      <c r="U26" s="36"/>
      <c r="V26" s="36"/>
    </row>
    <row r="27" spans="1:22" ht="21.75" customHeight="1"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21.75" customHeight="1">
      <c r="N28" s="36"/>
      <c r="O28" s="36"/>
      <c r="P28" s="36"/>
      <c r="Q28" s="36"/>
      <c r="R28" s="36"/>
      <c r="S28" s="36"/>
      <c r="T28" s="36"/>
      <c r="U28" s="36"/>
      <c r="V28" s="36"/>
    </row>
    <row r="29" spans="1:22" ht="21.75" customHeight="1">
      <c r="N29" s="36"/>
      <c r="O29" s="36"/>
      <c r="P29" s="36"/>
      <c r="Q29" s="36"/>
      <c r="R29" s="36"/>
      <c r="S29" s="36"/>
      <c r="T29" s="36"/>
      <c r="U29" s="36"/>
      <c r="V29" s="36"/>
    </row>
    <row r="30" spans="1:22" ht="56.25" hidden="1" customHeight="1">
      <c r="N30" s="36"/>
      <c r="O30" s="36"/>
      <c r="P30" s="36"/>
      <c r="Q30" s="36"/>
      <c r="R30" s="36"/>
      <c r="S30" s="36"/>
      <c r="T30" s="36"/>
      <c r="U30" s="36"/>
      <c r="V30" s="36"/>
    </row>
    <row r="31" spans="1:22" ht="21.75" customHeight="1">
      <c r="D31" s="84" t="s">
        <v>12</v>
      </c>
      <c r="E31" s="85"/>
      <c r="F31" s="85"/>
      <c r="G31" s="85"/>
      <c r="H31" s="85"/>
    </row>
    <row r="32" spans="1:22" ht="31.5" customHeight="1">
      <c r="A32" s="93" t="s">
        <v>28</v>
      </c>
      <c r="B32" s="93"/>
      <c r="E32" s="1"/>
      <c r="H32" s="1"/>
      <c r="K32" s="1"/>
      <c r="N32" s="1"/>
    </row>
    <row r="33" spans="1:22" ht="21.75" customHeight="1">
      <c r="A33" s="86" t="s">
        <v>10</v>
      </c>
      <c r="B33" s="87"/>
      <c r="E33" s="1"/>
      <c r="H33" s="1"/>
      <c r="K33" s="1"/>
      <c r="N33" s="1"/>
    </row>
    <row r="34" spans="1:22" ht="21.75" customHeight="1">
      <c r="A34" s="88"/>
      <c r="B34" s="89"/>
      <c r="C34" s="75" t="s">
        <v>9</v>
      </c>
      <c r="D34" s="76"/>
      <c r="E34" s="77"/>
      <c r="F34" s="75" t="s">
        <v>8</v>
      </c>
      <c r="G34" s="76"/>
      <c r="H34" s="77"/>
      <c r="I34" s="75" t="s">
        <v>7</v>
      </c>
      <c r="J34" s="76"/>
      <c r="K34" s="77"/>
      <c r="L34" s="75" t="s">
        <v>6</v>
      </c>
      <c r="M34" s="76"/>
      <c r="N34" s="77"/>
      <c r="O34" s="75" t="s">
        <v>5</v>
      </c>
      <c r="P34" s="76"/>
      <c r="Q34" s="77"/>
      <c r="R34" s="75" t="s">
        <v>4</v>
      </c>
      <c r="S34" s="76"/>
      <c r="T34" s="77"/>
      <c r="U34" s="78" t="s">
        <v>3</v>
      </c>
      <c r="V34" s="80" t="s">
        <v>2</v>
      </c>
    </row>
    <row r="35" spans="1:22" ht="21.75" customHeight="1" thickBot="1">
      <c r="A35" s="3"/>
      <c r="B35" s="4" t="s">
        <v>1</v>
      </c>
      <c r="C35" s="5">
        <v>5840</v>
      </c>
      <c r="D35" s="6" t="s">
        <v>0</v>
      </c>
      <c r="E35" s="5"/>
      <c r="F35" s="5">
        <v>300</v>
      </c>
      <c r="G35" s="6" t="s">
        <v>0</v>
      </c>
      <c r="H35" s="5"/>
      <c r="I35" s="5">
        <v>940</v>
      </c>
      <c r="J35" s="6" t="s">
        <v>0</v>
      </c>
      <c r="K35" s="5"/>
      <c r="L35" s="5">
        <v>130</v>
      </c>
      <c r="M35" s="6" t="s">
        <v>0</v>
      </c>
      <c r="N35" s="5"/>
      <c r="O35" s="8">
        <v>2800</v>
      </c>
      <c r="P35" s="5" t="s">
        <v>0</v>
      </c>
      <c r="Q35" s="5"/>
      <c r="R35" s="8">
        <v>1000</v>
      </c>
      <c r="S35" s="6" t="s">
        <v>0</v>
      </c>
      <c r="T35" s="5"/>
      <c r="U35" s="79"/>
      <c r="V35" s="81"/>
    </row>
    <row r="36" spans="1:22" ht="19.5" customHeight="1" thickTop="1">
      <c r="A36" s="24">
        <v>1</v>
      </c>
      <c r="B36" s="37" t="s">
        <v>31</v>
      </c>
      <c r="C36" s="11">
        <v>5840</v>
      </c>
      <c r="D36" s="12">
        <v>22</v>
      </c>
      <c r="E36" s="13">
        <f t="shared" ref="E36:E56" si="21">SUM(C36*D36)</f>
        <v>128480</v>
      </c>
      <c r="F36" s="14">
        <v>300</v>
      </c>
      <c r="G36" s="12"/>
      <c r="H36" s="13">
        <f t="shared" ref="H36:H56" si="22">SUM(F36*G36)</f>
        <v>0</v>
      </c>
      <c r="I36" s="14">
        <v>940</v>
      </c>
      <c r="J36" s="12">
        <v>1</v>
      </c>
      <c r="K36" s="13">
        <f t="shared" ref="K36:K56" si="23">SUM(I36*J36)</f>
        <v>940</v>
      </c>
      <c r="L36" s="14">
        <v>130</v>
      </c>
      <c r="M36" s="12">
        <v>44</v>
      </c>
      <c r="N36" s="15">
        <f t="shared" ref="N36:N56" si="24">SUM(L36*M36)</f>
        <v>5720</v>
      </c>
      <c r="O36" s="11">
        <v>2800</v>
      </c>
      <c r="P36" s="12"/>
      <c r="Q36" s="13">
        <f t="shared" ref="Q36:Q56" si="25">SUM(O36*P36)</f>
        <v>0</v>
      </c>
      <c r="R36" s="16">
        <v>1000</v>
      </c>
      <c r="S36" s="17"/>
      <c r="T36" s="18">
        <f t="shared" ref="T36:T56" si="26">SUM(S36*R36)</f>
        <v>0</v>
      </c>
      <c r="U36" s="18"/>
      <c r="V36" s="38">
        <f t="shared" ref="V36" si="27">SUM(E36+H36+K36+N36+Q36+T36)</f>
        <v>135140</v>
      </c>
    </row>
    <row r="37" spans="1:22" ht="19.5" customHeight="1">
      <c r="A37" s="24">
        <v>2</v>
      </c>
      <c r="B37" s="39" t="s">
        <v>32</v>
      </c>
      <c r="C37" s="11">
        <v>5840</v>
      </c>
      <c r="D37" s="12">
        <v>23</v>
      </c>
      <c r="E37" s="13">
        <f t="shared" si="21"/>
        <v>134320</v>
      </c>
      <c r="F37" s="14">
        <v>300</v>
      </c>
      <c r="G37" s="12"/>
      <c r="H37" s="13">
        <f t="shared" si="22"/>
        <v>0</v>
      </c>
      <c r="I37" s="14">
        <v>940</v>
      </c>
      <c r="J37" s="20"/>
      <c r="K37" s="13">
        <f t="shared" si="23"/>
        <v>0</v>
      </c>
      <c r="L37" s="14">
        <v>130</v>
      </c>
      <c r="M37" s="20">
        <v>46</v>
      </c>
      <c r="N37" s="15">
        <f t="shared" si="24"/>
        <v>5980</v>
      </c>
      <c r="O37" s="11">
        <v>2800</v>
      </c>
      <c r="P37" s="20"/>
      <c r="Q37" s="13">
        <f t="shared" si="25"/>
        <v>0</v>
      </c>
      <c r="R37" s="21">
        <v>1000</v>
      </c>
      <c r="S37" s="22"/>
      <c r="T37" s="18">
        <f t="shared" si="26"/>
        <v>0</v>
      </c>
      <c r="U37" s="18">
        <v>9300</v>
      </c>
      <c r="V37" s="38">
        <f>SUM(E37+H37+K37+N37+Q37+T37)-U37</f>
        <v>131000</v>
      </c>
    </row>
    <row r="38" spans="1:22" ht="19.5" customHeight="1">
      <c r="A38" s="24">
        <v>3</v>
      </c>
      <c r="B38" s="39" t="s">
        <v>33</v>
      </c>
      <c r="C38" s="11">
        <v>5840</v>
      </c>
      <c r="D38" s="12"/>
      <c r="E38" s="13">
        <f t="shared" si="21"/>
        <v>0</v>
      </c>
      <c r="F38" s="14">
        <v>300</v>
      </c>
      <c r="G38" s="12"/>
      <c r="H38" s="13">
        <f t="shared" si="22"/>
        <v>0</v>
      </c>
      <c r="I38" s="14">
        <v>940</v>
      </c>
      <c r="J38" s="20"/>
      <c r="K38" s="13">
        <f t="shared" si="23"/>
        <v>0</v>
      </c>
      <c r="L38" s="14">
        <v>130</v>
      </c>
      <c r="M38" s="20"/>
      <c r="N38" s="15">
        <f t="shared" si="24"/>
        <v>0</v>
      </c>
      <c r="O38" s="11">
        <v>2800</v>
      </c>
      <c r="P38" s="20"/>
      <c r="Q38" s="13">
        <f t="shared" si="25"/>
        <v>0</v>
      </c>
      <c r="R38" s="21">
        <v>1000</v>
      </c>
      <c r="S38" s="22"/>
      <c r="T38" s="18">
        <f t="shared" si="26"/>
        <v>0</v>
      </c>
      <c r="U38" s="18"/>
      <c r="V38" s="38">
        <f t="shared" ref="V38:V56" si="28">SUM(E38+H38+K38+N38+Q38+T38)-U38</f>
        <v>0</v>
      </c>
    </row>
    <row r="39" spans="1:22" ht="19.5" customHeight="1">
      <c r="A39" s="24">
        <v>4</v>
      </c>
      <c r="B39" s="39" t="s">
        <v>14</v>
      </c>
      <c r="C39" s="11">
        <v>5840</v>
      </c>
      <c r="D39" s="12">
        <v>17</v>
      </c>
      <c r="E39" s="13">
        <f t="shared" si="21"/>
        <v>99280</v>
      </c>
      <c r="F39" s="14">
        <v>300</v>
      </c>
      <c r="G39" s="12"/>
      <c r="H39" s="13">
        <f t="shared" si="22"/>
        <v>0</v>
      </c>
      <c r="I39" s="14">
        <v>940</v>
      </c>
      <c r="J39" s="20">
        <v>4</v>
      </c>
      <c r="K39" s="13">
        <f t="shared" si="23"/>
        <v>3760</v>
      </c>
      <c r="L39" s="14">
        <v>130</v>
      </c>
      <c r="M39" s="20">
        <v>34</v>
      </c>
      <c r="N39" s="15">
        <f t="shared" si="24"/>
        <v>4420</v>
      </c>
      <c r="O39" s="11">
        <v>2800</v>
      </c>
      <c r="P39" s="20"/>
      <c r="Q39" s="13">
        <f t="shared" si="25"/>
        <v>0</v>
      </c>
      <c r="R39" s="21">
        <v>1000</v>
      </c>
      <c r="S39" s="22"/>
      <c r="T39" s="18">
        <f t="shared" si="26"/>
        <v>0</v>
      </c>
      <c r="U39" s="18"/>
      <c r="V39" s="38">
        <f t="shared" si="28"/>
        <v>107460</v>
      </c>
    </row>
    <row r="40" spans="1:22" ht="19.5" customHeight="1">
      <c r="A40" s="24">
        <v>5</v>
      </c>
      <c r="B40" s="39" t="s">
        <v>34</v>
      </c>
      <c r="C40" s="11">
        <v>5840</v>
      </c>
      <c r="D40" s="12">
        <v>12</v>
      </c>
      <c r="E40" s="13">
        <f t="shared" si="21"/>
        <v>70080</v>
      </c>
      <c r="F40" s="14">
        <v>300</v>
      </c>
      <c r="G40" s="12"/>
      <c r="H40" s="13">
        <f t="shared" si="22"/>
        <v>0</v>
      </c>
      <c r="I40" s="14">
        <v>940</v>
      </c>
      <c r="J40" s="20">
        <v>4</v>
      </c>
      <c r="K40" s="13">
        <f t="shared" si="23"/>
        <v>3760</v>
      </c>
      <c r="L40" s="14">
        <v>130</v>
      </c>
      <c r="M40" s="20">
        <v>24</v>
      </c>
      <c r="N40" s="15">
        <f t="shared" si="24"/>
        <v>3120</v>
      </c>
      <c r="O40" s="11">
        <v>2800</v>
      </c>
      <c r="P40" s="20"/>
      <c r="Q40" s="13">
        <f t="shared" si="25"/>
        <v>0</v>
      </c>
      <c r="R40" s="21">
        <v>1000</v>
      </c>
      <c r="S40" s="22"/>
      <c r="T40" s="18">
        <f t="shared" si="26"/>
        <v>0</v>
      </c>
      <c r="U40" s="18"/>
      <c r="V40" s="38">
        <f t="shared" si="28"/>
        <v>76960</v>
      </c>
    </row>
    <row r="41" spans="1:22" ht="19.5" customHeight="1">
      <c r="A41" s="24">
        <v>6</v>
      </c>
      <c r="B41" s="39" t="s">
        <v>35</v>
      </c>
      <c r="C41" s="11">
        <v>5840</v>
      </c>
      <c r="D41" s="12">
        <v>22</v>
      </c>
      <c r="E41" s="13">
        <f t="shared" si="21"/>
        <v>128480</v>
      </c>
      <c r="F41" s="14">
        <v>300</v>
      </c>
      <c r="G41" s="12"/>
      <c r="H41" s="13">
        <f t="shared" si="22"/>
        <v>0</v>
      </c>
      <c r="I41" s="14">
        <v>940</v>
      </c>
      <c r="J41" s="20">
        <v>1</v>
      </c>
      <c r="K41" s="13">
        <f t="shared" si="23"/>
        <v>940</v>
      </c>
      <c r="L41" s="14">
        <v>130</v>
      </c>
      <c r="M41" s="20"/>
      <c r="N41" s="15">
        <f t="shared" si="24"/>
        <v>0</v>
      </c>
      <c r="O41" s="11">
        <v>2800</v>
      </c>
      <c r="P41" s="20"/>
      <c r="Q41" s="13">
        <f t="shared" si="25"/>
        <v>0</v>
      </c>
      <c r="R41" s="21">
        <v>1000</v>
      </c>
      <c r="S41" s="22"/>
      <c r="T41" s="18">
        <f t="shared" si="26"/>
        <v>0</v>
      </c>
      <c r="U41" s="18"/>
      <c r="V41" s="38">
        <f t="shared" si="28"/>
        <v>129420</v>
      </c>
    </row>
    <row r="42" spans="1:22" ht="19.5" customHeight="1">
      <c r="A42" s="24">
        <v>7</v>
      </c>
      <c r="B42" s="39" t="s">
        <v>36</v>
      </c>
      <c r="C42" s="11">
        <v>5840</v>
      </c>
      <c r="D42" s="12">
        <v>21</v>
      </c>
      <c r="E42" s="13">
        <f t="shared" si="21"/>
        <v>122640</v>
      </c>
      <c r="F42" s="14">
        <v>300</v>
      </c>
      <c r="G42" s="12"/>
      <c r="H42" s="13">
        <f t="shared" si="22"/>
        <v>0</v>
      </c>
      <c r="I42" s="14">
        <v>940</v>
      </c>
      <c r="J42" s="20">
        <v>2</v>
      </c>
      <c r="K42" s="13">
        <f t="shared" si="23"/>
        <v>1880</v>
      </c>
      <c r="L42" s="14">
        <v>130</v>
      </c>
      <c r="M42" s="20">
        <v>42</v>
      </c>
      <c r="N42" s="15">
        <f t="shared" si="24"/>
        <v>5460</v>
      </c>
      <c r="O42" s="11">
        <v>2800</v>
      </c>
      <c r="P42" s="20"/>
      <c r="Q42" s="13">
        <f t="shared" si="25"/>
        <v>0</v>
      </c>
      <c r="R42" s="21">
        <v>1000</v>
      </c>
      <c r="S42" s="22"/>
      <c r="T42" s="18">
        <f t="shared" si="26"/>
        <v>0</v>
      </c>
      <c r="U42" s="18"/>
      <c r="V42" s="38">
        <f t="shared" si="28"/>
        <v>129980</v>
      </c>
    </row>
    <row r="43" spans="1:22" ht="19.5" customHeight="1">
      <c r="A43" s="24">
        <v>8</v>
      </c>
      <c r="B43" s="39" t="s">
        <v>37</v>
      </c>
      <c r="C43" s="11">
        <v>5840</v>
      </c>
      <c r="D43" s="12">
        <v>22</v>
      </c>
      <c r="E43" s="13">
        <f t="shared" si="21"/>
        <v>128480</v>
      </c>
      <c r="F43" s="14">
        <v>300</v>
      </c>
      <c r="G43" s="12"/>
      <c r="H43" s="13">
        <f t="shared" si="22"/>
        <v>0</v>
      </c>
      <c r="I43" s="14">
        <v>940</v>
      </c>
      <c r="J43" s="20">
        <v>1</v>
      </c>
      <c r="K43" s="13">
        <f t="shared" si="23"/>
        <v>940</v>
      </c>
      <c r="L43" s="14">
        <v>130</v>
      </c>
      <c r="M43" s="20"/>
      <c r="N43" s="15">
        <f t="shared" si="24"/>
        <v>0</v>
      </c>
      <c r="O43" s="11">
        <v>2800</v>
      </c>
      <c r="P43" s="20"/>
      <c r="Q43" s="13">
        <f t="shared" si="25"/>
        <v>0</v>
      </c>
      <c r="R43" s="21">
        <v>1000</v>
      </c>
      <c r="S43" s="22"/>
      <c r="T43" s="18">
        <f t="shared" si="26"/>
        <v>0</v>
      </c>
      <c r="U43" s="18"/>
      <c r="V43" s="38">
        <f t="shared" si="28"/>
        <v>129420</v>
      </c>
    </row>
    <row r="44" spans="1:22" ht="19.5" customHeight="1">
      <c r="A44" s="24">
        <v>9</v>
      </c>
      <c r="B44" s="37" t="s">
        <v>38</v>
      </c>
      <c r="C44" s="11">
        <v>5840</v>
      </c>
      <c r="D44" s="12">
        <v>16</v>
      </c>
      <c r="E44" s="13">
        <f t="shared" si="21"/>
        <v>93440</v>
      </c>
      <c r="F44" s="14">
        <v>300</v>
      </c>
      <c r="G44" s="12"/>
      <c r="H44" s="13">
        <f t="shared" si="22"/>
        <v>0</v>
      </c>
      <c r="I44" s="14">
        <v>940</v>
      </c>
      <c r="J44" s="20">
        <v>4</v>
      </c>
      <c r="K44" s="13">
        <f t="shared" si="23"/>
        <v>3760</v>
      </c>
      <c r="L44" s="14">
        <v>130</v>
      </c>
      <c r="M44" s="20">
        <v>32</v>
      </c>
      <c r="N44" s="15">
        <f t="shared" si="24"/>
        <v>4160</v>
      </c>
      <c r="O44" s="11">
        <v>2800</v>
      </c>
      <c r="P44" s="20"/>
      <c r="Q44" s="13">
        <f t="shared" si="25"/>
        <v>0</v>
      </c>
      <c r="R44" s="21">
        <v>1000</v>
      </c>
      <c r="S44" s="22"/>
      <c r="T44" s="18">
        <f t="shared" si="26"/>
        <v>0</v>
      </c>
      <c r="U44" s="18"/>
      <c r="V44" s="38">
        <f t="shared" si="28"/>
        <v>101360</v>
      </c>
    </row>
    <row r="45" spans="1:22" ht="19.5" customHeight="1">
      <c r="A45" s="24">
        <v>10</v>
      </c>
      <c r="B45" s="37" t="s">
        <v>39</v>
      </c>
      <c r="C45" s="11">
        <v>5840</v>
      </c>
      <c r="D45" s="12">
        <v>19</v>
      </c>
      <c r="E45" s="13">
        <f t="shared" si="21"/>
        <v>110960</v>
      </c>
      <c r="F45" s="14">
        <v>300</v>
      </c>
      <c r="G45" s="12"/>
      <c r="H45" s="13">
        <f t="shared" si="22"/>
        <v>0</v>
      </c>
      <c r="I45" s="14">
        <v>940</v>
      </c>
      <c r="J45" s="12">
        <v>4</v>
      </c>
      <c r="K45" s="13">
        <f t="shared" si="23"/>
        <v>3760</v>
      </c>
      <c r="L45" s="14">
        <v>130</v>
      </c>
      <c r="M45" s="12">
        <v>38</v>
      </c>
      <c r="N45" s="15">
        <f t="shared" si="24"/>
        <v>4940</v>
      </c>
      <c r="O45" s="11">
        <v>2800</v>
      </c>
      <c r="P45" s="12"/>
      <c r="Q45" s="13">
        <f t="shared" si="25"/>
        <v>0</v>
      </c>
      <c r="R45" s="23">
        <v>1000</v>
      </c>
      <c r="S45" s="17"/>
      <c r="T45" s="18">
        <f t="shared" si="26"/>
        <v>0</v>
      </c>
      <c r="U45" s="18"/>
      <c r="V45" s="38">
        <f t="shared" si="28"/>
        <v>119660</v>
      </c>
    </row>
    <row r="46" spans="1:22" ht="19.5" customHeight="1">
      <c r="A46" s="24">
        <v>11</v>
      </c>
      <c r="B46" s="39" t="s">
        <v>40</v>
      </c>
      <c r="C46" s="11">
        <v>5840</v>
      </c>
      <c r="D46" s="12">
        <v>9</v>
      </c>
      <c r="E46" s="13">
        <f t="shared" si="21"/>
        <v>52560</v>
      </c>
      <c r="F46" s="14">
        <v>300</v>
      </c>
      <c r="G46" s="12"/>
      <c r="H46" s="13">
        <f t="shared" si="22"/>
        <v>0</v>
      </c>
      <c r="I46" s="14">
        <v>940</v>
      </c>
      <c r="J46" s="20">
        <v>4</v>
      </c>
      <c r="K46" s="13">
        <f t="shared" si="23"/>
        <v>3760</v>
      </c>
      <c r="L46" s="14">
        <v>130</v>
      </c>
      <c r="M46" s="20">
        <v>18</v>
      </c>
      <c r="N46" s="15">
        <f t="shared" si="24"/>
        <v>2340</v>
      </c>
      <c r="O46" s="11">
        <v>2800</v>
      </c>
      <c r="P46" s="20"/>
      <c r="Q46" s="13">
        <f t="shared" si="25"/>
        <v>0</v>
      </c>
      <c r="R46" s="21">
        <v>1000</v>
      </c>
      <c r="S46" s="22"/>
      <c r="T46" s="18">
        <f t="shared" si="26"/>
        <v>0</v>
      </c>
      <c r="U46" s="18"/>
      <c r="V46" s="38">
        <f t="shared" si="28"/>
        <v>58660</v>
      </c>
    </row>
    <row r="47" spans="1:22" ht="19.5" customHeight="1">
      <c r="A47" s="24">
        <v>12</v>
      </c>
      <c r="B47" s="39" t="s">
        <v>41</v>
      </c>
      <c r="C47" s="11">
        <v>5840</v>
      </c>
      <c r="D47" s="12">
        <v>21</v>
      </c>
      <c r="E47" s="13">
        <f t="shared" si="21"/>
        <v>122640</v>
      </c>
      <c r="F47" s="14">
        <v>300</v>
      </c>
      <c r="G47" s="12"/>
      <c r="H47" s="13">
        <f t="shared" si="22"/>
        <v>0</v>
      </c>
      <c r="I47" s="14">
        <v>940</v>
      </c>
      <c r="J47" s="20">
        <v>2</v>
      </c>
      <c r="K47" s="13">
        <f t="shared" si="23"/>
        <v>1880</v>
      </c>
      <c r="L47" s="14">
        <v>130</v>
      </c>
      <c r="M47" s="20">
        <v>42</v>
      </c>
      <c r="N47" s="15">
        <f t="shared" si="24"/>
        <v>5460</v>
      </c>
      <c r="O47" s="11">
        <v>2800</v>
      </c>
      <c r="P47" s="20"/>
      <c r="Q47" s="13">
        <f t="shared" si="25"/>
        <v>0</v>
      </c>
      <c r="R47" s="21">
        <v>1000</v>
      </c>
      <c r="S47" s="22"/>
      <c r="T47" s="18">
        <f t="shared" si="26"/>
        <v>0</v>
      </c>
      <c r="U47" s="18"/>
      <c r="V47" s="38">
        <f t="shared" si="28"/>
        <v>129980</v>
      </c>
    </row>
    <row r="48" spans="1:22" ht="19.5" customHeight="1">
      <c r="A48" s="24">
        <v>13</v>
      </c>
      <c r="B48" s="39" t="s">
        <v>42</v>
      </c>
      <c r="C48" s="11">
        <v>5840</v>
      </c>
      <c r="D48" s="12">
        <v>19</v>
      </c>
      <c r="E48" s="13">
        <f t="shared" si="21"/>
        <v>110960</v>
      </c>
      <c r="F48" s="14">
        <v>300</v>
      </c>
      <c r="G48" s="12"/>
      <c r="H48" s="13">
        <f t="shared" si="22"/>
        <v>0</v>
      </c>
      <c r="I48" s="14">
        <v>940</v>
      </c>
      <c r="J48" s="20">
        <v>4</v>
      </c>
      <c r="K48" s="13">
        <f t="shared" si="23"/>
        <v>3760</v>
      </c>
      <c r="L48" s="14">
        <v>130</v>
      </c>
      <c r="M48" s="20">
        <v>38</v>
      </c>
      <c r="N48" s="15">
        <f t="shared" si="24"/>
        <v>4940</v>
      </c>
      <c r="O48" s="11">
        <v>2800</v>
      </c>
      <c r="P48" s="20"/>
      <c r="Q48" s="13">
        <f t="shared" si="25"/>
        <v>0</v>
      </c>
      <c r="R48" s="21">
        <v>1001</v>
      </c>
      <c r="S48" s="22"/>
      <c r="T48" s="18">
        <f t="shared" si="26"/>
        <v>0</v>
      </c>
      <c r="U48" s="18"/>
      <c r="V48" s="38">
        <f t="shared" si="28"/>
        <v>119660</v>
      </c>
    </row>
    <row r="49" spans="1:22" ht="19.5" customHeight="1">
      <c r="A49" s="24">
        <v>14</v>
      </c>
      <c r="B49" s="39" t="s">
        <v>43</v>
      </c>
      <c r="C49" s="11">
        <v>5840</v>
      </c>
      <c r="D49" s="12">
        <v>23</v>
      </c>
      <c r="E49" s="13">
        <f t="shared" si="21"/>
        <v>134320</v>
      </c>
      <c r="F49" s="14">
        <v>300</v>
      </c>
      <c r="G49" s="12"/>
      <c r="H49" s="13">
        <f t="shared" si="22"/>
        <v>0</v>
      </c>
      <c r="I49" s="14">
        <v>940</v>
      </c>
      <c r="J49" s="20"/>
      <c r="K49" s="13">
        <f t="shared" si="23"/>
        <v>0</v>
      </c>
      <c r="L49" s="14">
        <v>130</v>
      </c>
      <c r="M49" s="20">
        <v>46</v>
      </c>
      <c r="N49" s="15">
        <f t="shared" si="24"/>
        <v>5980</v>
      </c>
      <c r="O49" s="11">
        <v>2800</v>
      </c>
      <c r="P49" s="20"/>
      <c r="Q49" s="13">
        <f t="shared" si="25"/>
        <v>0</v>
      </c>
      <c r="R49" s="21">
        <v>1001</v>
      </c>
      <c r="S49" s="22"/>
      <c r="T49" s="18">
        <f t="shared" si="26"/>
        <v>0</v>
      </c>
      <c r="U49" s="18">
        <v>9300</v>
      </c>
      <c r="V49" s="38">
        <f t="shared" si="28"/>
        <v>131000</v>
      </c>
    </row>
    <row r="50" spans="1:22" ht="19.5" customHeight="1">
      <c r="A50" s="24">
        <v>15</v>
      </c>
      <c r="B50" s="39" t="s">
        <v>44</v>
      </c>
      <c r="C50" s="11">
        <v>5840</v>
      </c>
      <c r="D50" s="12">
        <v>14</v>
      </c>
      <c r="E50" s="13">
        <f t="shared" si="21"/>
        <v>81760</v>
      </c>
      <c r="F50" s="14">
        <v>300</v>
      </c>
      <c r="G50" s="12"/>
      <c r="H50" s="13">
        <f t="shared" si="22"/>
        <v>0</v>
      </c>
      <c r="I50" s="14">
        <v>940</v>
      </c>
      <c r="J50" s="20"/>
      <c r="K50" s="13">
        <f t="shared" si="23"/>
        <v>0</v>
      </c>
      <c r="L50" s="14">
        <v>130</v>
      </c>
      <c r="M50" s="20"/>
      <c r="N50" s="15">
        <f t="shared" si="24"/>
        <v>0</v>
      </c>
      <c r="O50" s="11">
        <v>2800</v>
      </c>
      <c r="P50" s="20"/>
      <c r="Q50" s="13">
        <f t="shared" si="25"/>
        <v>0</v>
      </c>
      <c r="R50" s="21">
        <v>1002</v>
      </c>
      <c r="S50" s="22"/>
      <c r="T50" s="18">
        <f t="shared" si="26"/>
        <v>0</v>
      </c>
      <c r="U50" s="18"/>
      <c r="V50" s="38">
        <f t="shared" si="28"/>
        <v>81760</v>
      </c>
    </row>
    <row r="51" spans="1:22" ht="19.5" customHeight="1">
      <c r="A51" s="24">
        <v>16</v>
      </c>
      <c r="B51" s="39" t="s">
        <v>55</v>
      </c>
      <c r="C51" s="11">
        <v>5840</v>
      </c>
      <c r="D51" s="12">
        <v>12</v>
      </c>
      <c r="E51" s="13">
        <f t="shared" si="21"/>
        <v>70080</v>
      </c>
      <c r="F51" s="14">
        <v>300</v>
      </c>
      <c r="G51" s="12"/>
      <c r="H51" s="13">
        <f t="shared" si="22"/>
        <v>0</v>
      </c>
      <c r="I51" s="14">
        <v>940</v>
      </c>
      <c r="J51" s="20"/>
      <c r="K51" s="13">
        <f t="shared" si="23"/>
        <v>0</v>
      </c>
      <c r="L51" s="14">
        <v>130</v>
      </c>
      <c r="M51" s="20">
        <v>24</v>
      </c>
      <c r="N51" s="15">
        <f t="shared" si="24"/>
        <v>3120</v>
      </c>
      <c r="O51" s="11">
        <v>2800</v>
      </c>
      <c r="P51" s="20"/>
      <c r="Q51" s="13">
        <f t="shared" si="25"/>
        <v>0</v>
      </c>
      <c r="R51" s="21">
        <v>1001</v>
      </c>
      <c r="S51" s="22"/>
      <c r="T51" s="18">
        <f t="shared" si="26"/>
        <v>0</v>
      </c>
      <c r="U51" s="18"/>
      <c r="V51" s="38">
        <f t="shared" si="28"/>
        <v>73200</v>
      </c>
    </row>
    <row r="52" spans="1:22" ht="19.5" customHeight="1">
      <c r="A52" s="24">
        <v>17</v>
      </c>
      <c r="B52" s="39" t="s">
        <v>56</v>
      </c>
      <c r="C52" s="11">
        <v>5840</v>
      </c>
      <c r="D52" s="12">
        <v>6</v>
      </c>
      <c r="E52" s="13">
        <f t="shared" si="21"/>
        <v>35040</v>
      </c>
      <c r="F52" s="14">
        <v>300</v>
      </c>
      <c r="G52" s="12"/>
      <c r="H52" s="13">
        <f t="shared" si="22"/>
        <v>0</v>
      </c>
      <c r="I52" s="14">
        <v>940</v>
      </c>
      <c r="J52" s="20">
        <v>4</v>
      </c>
      <c r="K52" s="13">
        <f t="shared" si="23"/>
        <v>3760</v>
      </c>
      <c r="L52" s="14">
        <v>130</v>
      </c>
      <c r="M52" s="20">
        <v>12</v>
      </c>
      <c r="N52" s="15">
        <f t="shared" si="24"/>
        <v>1560</v>
      </c>
      <c r="O52" s="11">
        <v>2800</v>
      </c>
      <c r="P52" s="20"/>
      <c r="Q52" s="13">
        <f t="shared" si="25"/>
        <v>0</v>
      </c>
      <c r="R52" s="21">
        <v>1002</v>
      </c>
      <c r="S52" s="22"/>
      <c r="T52" s="18">
        <f t="shared" si="26"/>
        <v>0</v>
      </c>
      <c r="U52" s="18"/>
      <c r="V52" s="38">
        <f t="shared" si="28"/>
        <v>40360</v>
      </c>
    </row>
    <row r="53" spans="1:22" ht="19.5" customHeight="1">
      <c r="A53" s="24">
        <v>18</v>
      </c>
      <c r="B53" s="39" t="s">
        <v>45</v>
      </c>
      <c r="C53" s="11">
        <v>8040</v>
      </c>
      <c r="D53" s="12">
        <v>22</v>
      </c>
      <c r="E53" s="13">
        <f t="shared" si="21"/>
        <v>176880</v>
      </c>
      <c r="F53" s="14">
        <v>300</v>
      </c>
      <c r="G53" s="12"/>
      <c r="H53" s="13">
        <f t="shared" si="22"/>
        <v>0</v>
      </c>
      <c r="I53" s="14">
        <v>940</v>
      </c>
      <c r="J53" s="20">
        <v>1</v>
      </c>
      <c r="K53" s="13">
        <f t="shared" si="23"/>
        <v>940</v>
      </c>
      <c r="L53" s="14">
        <v>130</v>
      </c>
      <c r="M53" s="20">
        <v>44</v>
      </c>
      <c r="N53" s="15">
        <f t="shared" si="24"/>
        <v>5720</v>
      </c>
      <c r="O53" s="11">
        <v>2800</v>
      </c>
      <c r="P53" s="20"/>
      <c r="Q53" s="13">
        <f t="shared" si="25"/>
        <v>0</v>
      </c>
      <c r="R53" s="21">
        <v>1000</v>
      </c>
      <c r="S53" s="22"/>
      <c r="T53" s="18">
        <f t="shared" si="26"/>
        <v>0</v>
      </c>
      <c r="U53" s="18"/>
      <c r="V53" s="38">
        <f t="shared" si="28"/>
        <v>183540</v>
      </c>
    </row>
    <row r="54" spans="1:22" ht="19.5" customHeight="1">
      <c r="A54" s="24">
        <v>19</v>
      </c>
      <c r="B54" s="39" t="s">
        <v>46</v>
      </c>
      <c r="C54" s="11">
        <v>8040</v>
      </c>
      <c r="D54" s="12">
        <v>23</v>
      </c>
      <c r="E54" s="13">
        <f t="shared" si="21"/>
        <v>184920</v>
      </c>
      <c r="F54" s="14">
        <v>300</v>
      </c>
      <c r="G54" s="12"/>
      <c r="H54" s="13">
        <f t="shared" si="22"/>
        <v>0</v>
      </c>
      <c r="I54" s="14">
        <v>940</v>
      </c>
      <c r="J54" s="20"/>
      <c r="K54" s="13">
        <f t="shared" si="23"/>
        <v>0</v>
      </c>
      <c r="L54" s="14">
        <v>130</v>
      </c>
      <c r="M54" s="20">
        <v>46</v>
      </c>
      <c r="N54" s="15">
        <f t="shared" si="24"/>
        <v>5980</v>
      </c>
      <c r="O54" s="11">
        <v>2800</v>
      </c>
      <c r="P54" s="20"/>
      <c r="Q54" s="13">
        <f t="shared" si="25"/>
        <v>0</v>
      </c>
      <c r="R54" s="21">
        <v>1000</v>
      </c>
      <c r="S54" s="22"/>
      <c r="T54" s="18">
        <f t="shared" si="26"/>
        <v>0</v>
      </c>
      <c r="U54" s="18"/>
      <c r="V54" s="38">
        <f t="shared" si="28"/>
        <v>190900</v>
      </c>
    </row>
    <row r="55" spans="1:22" ht="19.5" customHeight="1">
      <c r="A55" s="24">
        <v>20</v>
      </c>
      <c r="B55" s="39" t="s">
        <v>47</v>
      </c>
      <c r="C55" s="11">
        <v>8040</v>
      </c>
      <c r="D55" s="12">
        <v>21</v>
      </c>
      <c r="E55" s="13">
        <f t="shared" si="21"/>
        <v>168840</v>
      </c>
      <c r="F55" s="14">
        <v>300</v>
      </c>
      <c r="G55" s="12"/>
      <c r="H55" s="13">
        <f t="shared" si="22"/>
        <v>0</v>
      </c>
      <c r="I55" s="14">
        <v>940</v>
      </c>
      <c r="J55" s="20">
        <v>2</v>
      </c>
      <c r="K55" s="13">
        <f t="shared" si="23"/>
        <v>1880</v>
      </c>
      <c r="L55" s="14">
        <v>130</v>
      </c>
      <c r="M55" s="20"/>
      <c r="N55" s="15">
        <f t="shared" si="24"/>
        <v>0</v>
      </c>
      <c r="O55" s="11">
        <v>2800</v>
      </c>
      <c r="P55" s="20"/>
      <c r="Q55" s="13">
        <f t="shared" si="25"/>
        <v>0</v>
      </c>
      <c r="R55" s="21"/>
      <c r="S55" s="22"/>
      <c r="T55" s="18">
        <f t="shared" si="26"/>
        <v>0</v>
      </c>
      <c r="U55" s="18"/>
      <c r="V55" s="38">
        <f t="shared" si="28"/>
        <v>170720</v>
      </c>
    </row>
    <row r="56" spans="1:22" ht="19.5" customHeight="1" thickBot="1">
      <c r="A56" s="5"/>
      <c r="B56" s="5"/>
      <c r="C56" s="40">
        <v>5840</v>
      </c>
      <c r="D56" s="41"/>
      <c r="E56" s="42">
        <f t="shared" si="21"/>
        <v>0</v>
      </c>
      <c r="F56" s="43">
        <v>300</v>
      </c>
      <c r="G56" s="41"/>
      <c r="H56" s="42">
        <f t="shared" si="22"/>
        <v>0</v>
      </c>
      <c r="I56" s="43">
        <v>940</v>
      </c>
      <c r="J56" s="41"/>
      <c r="K56" s="42">
        <f t="shared" si="23"/>
        <v>0</v>
      </c>
      <c r="L56" s="43">
        <v>130</v>
      </c>
      <c r="M56" s="41"/>
      <c r="N56" s="44">
        <f t="shared" si="24"/>
        <v>0</v>
      </c>
      <c r="O56" s="40">
        <v>2800</v>
      </c>
      <c r="P56" s="41"/>
      <c r="Q56" s="42">
        <f t="shared" si="25"/>
        <v>0</v>
      </c>
      <c r="R56" s="8"/>
      <c r="S56" s="45"/>
      <c r="T56" s="46">
        <f t="shared" si="26"/>
        <v>0</v>
      </c>
      <c r="U56" s="46"/>
      <c r="V56" s="47">
        <f t="shared" si="28"/>
        <v>0</v>
      </c>
    </row>
    <row r="57" spans="1:22" ht="19.5" customHeight="1" thickTop="1">
      <c r="A57" s="48"/>
      <c r="B57" s="48"/>
      <c r="C57" s="48"/>
      <c r="D57" s="48"/>
      <c r="E57" s="38">
        <f>SUM(E36:E56)</f>
        <v>2154160</v>
      </c>
      <c r="F57" s="38"/>
      <c r="G57" s="38"/>
      <c r="H57" s="38">
        <f>SUM(H36:H56)</f>
        <v>0</v>
      </c>
      <c r="I57" s="38"/>
      <c r="J57" s="38"/>
      <c r="K57" s="38">
        <f>SUM(K36:K56)</f>
        <v>35720</v>
      </c>
      <c r="L57" s="38"/>
      <c r="M57" s="38"/>
      <c r="N57" s="38">
        <f>SUM(N36:N56)</f>
        <v>68900</v>
      </c>
      <c r="O57" s="38"/>
      <c r="P57" s="48"/>
      <c r="Q57" s="38">
        <f>SUM(Q36:Q56)</f>
        <v>0</v>
      </c>
      <c r="R57" s="48"/>
      <c r="S57" s="48"/>
      <c r="T57" s="38">
        <f>SUM(T36:T56)</f>
        <v>0</v>
      </c>
      <c r="U57" s="38">
        <f>SUM(U36:U56)</f>
        <v>18600</v>
      </c>
      <c r="V57" s="38">
        <f>SUM(V36:V56)</f>
        <v>2240180</v>
      </c>
    </row>
    <row r="58" spans="1:22" ht="19.5" customHeight="1"/>
    <row r="59" spans="1:22" s="49" customFormat="1" ht="19.5" customHeight="1">
      <c r="O59" s="106" t="s">
        <v>29</v>
      </c>
      <c r="P59" s="107"/>
      <c r="Q59" s="107"/>
      <c r="R59" s="107"/>
      <c r="S59" s="107"/>
      <c r="T59" s="107"/>
      <c r="U59" s="108"/>
      <c r="V59" s="51">
        <f>V23</f>
        <v>1279540</v>
      </c>
    </row>
    <row r="60" spans="1:22" s="49" customFormat="1" ht="19.5" customHeight="1" thickBot="1">
      <c r="O60" s="109" t="s">
        <v>30</v>
      </c>
      <c r="P60" s="110"/>
      <c r="Q60" s="110"/>
      <c r="R60" s="110"/>
      <c r="S60" s="110"/>
      <c r="T60" s="110"/>
      <c r="U60" s="111"/>
      <c r="V60" s="55">
        <f>V57</f>
        <v>2240180</v>
      </c>
    </row>
    <row r="61" spans="1:22" s="49" customFormat="1" ht="19.5" customHeight="1" thickTop="1">
      <c r="O61" s="112" t="s">
        <v>2</v>
      </c>
      <c r="P61" s="113"/>
      <c r="Q61" s="113"/>
      <c r="R61" s="113"/>
      <c r="S61" s="113"/>
      <c r="T61" s="113"/>
      <c r="U61" s="114"/>
      <c r="V61" s="53">
        <f>V59+V60</f>
        <v>3519720</v>
      </c>
    </row>
  </sheetData>
  <mergeCells count="28">
    <mergeCell ref="A32:B32"/>
    <mergeCell ref="A33:B34"/>
    <mergeCell ref="C34:E34"/>
    <mergeCell ref="F34:H34"/>
    <mergeCell ref="I34:K34"/>
    <mergeCell ref="V4:V5"/>
    <mergeCell ref="O61:U61"/>
    <mergeCell ref="O24:U24"/>
    <mergeCell ref="O25:U25"/>
    <mergeCell ref="D31:H31"/>
    <mergeCell ref="L34:N34"/>
    <mergeCell ref="O34:Q34"/>
    <mergeCell ref="R34:T34"/>
    <mergeCell ref="U34:U35"/>
    <mergeCell ref="V34:V35"/>
    <mergeCell ref="O59:U59"/>
    <mergeCell ref="O60:U60"/>
    <mergeCell ref="O23:U23"/>
    <mergeCell ref="D1:H1"/>
    <mergeCell ref="A2:B2"/>
    <mergeCell ref="A3:B4"/>
    <mergeCell ref="C4:E4"/>
    <mergeCell ref="F4:H4"/>
    <mergeCell ref="I4:K4"/>
    <mergeCell ref="L4:N4"/>
    <mergeCell ref="O4:Q4"/>
    <mergeCell ref="R4:T4"/>
    <mergeCell ref="U4:U5"/>
  </mergeCells>
  <phoneticPr fontId="2"/>
  <pageMargins left="0.39370078740157483" right="0" top="0.15748031496062992" bottom="0" header="0.19685039370078741" footer="0.19685039370078741"/>
  <pageSetup paperSize="9" scale="99" fitToHeight="0" orientation="landscape" r:id="rId1"/>
  <headerFooter>
    <oddHeader>&amp;R&amp;K00-033カイト今治</oddHeader>
  </headerFooter>
  <rowBreaks count="1" manualBreakCount="1">
    <brk id="30" max="21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1"/>
  <sheetViews>
    <sheetView tabSelected="1" view="pageBreakPreview" topLeftCell="A4" zoomScale="85" zoomScaleNormal="100" zoomScaleSheetLayoutView="85" workbookViewId="0">
      <selection activeCell="F20" sqref="F20"/>
    </sheetView>
  </sheetViews>
  <sheetFormatPr defaultRowHeight="17.25"/>
  <cols>
    <col min="1" max="1" width="4.25" style="1" bestFit="1" customWidth="1"/>
    <col min="2" max="2" width="16.125" style="1" bestFit="1" customWidth="1"/>
    <col min="3" max="3" width="6.625" style="1" customWidth="1"/>
    <col min="4" max="4" width="4.125" style="1" customWidth="1"/>
    <col min="5" max="5" width="12.375" style="2" customWidth="1"/>
    <col min="6" max="6" width="5.5" style="1" customWidth="1"/>
    <col min="7" max="7" width="3.5" style="1" customWidth="1"/>
    <col min="8" max="8" width="10.625" style="2" customWidth="1"/>
    <col min="9" max="9" width="5.625" style="1" customWidth="1"/>
    <col min="10" max="10" width="4.125" style="1" customWidth="1"/>
    <col min="11" max="11" width="10.625" style="2" customWidth="1"/>
    <col min="12" max="12" width="5.625" style="1" customWidth="1"/>
    <col min="13" max="13" width="4.125" style="1" customWidth="1"/>
    <col min="14" max="14" width="10.625" style="2" customWidth="1"/>
    <col min="15" max="15" width="6" style="1" customWidth="1"/>
    <col min="16" max="16" width="4.125" style="1" customWidth="1"/>
    <col min="17" max="17" width="8.875" style="1" customWidth="1"/>
    <col min="18" max="20" width="12.875" style="1" hidden="1" customWidth="1"/>
    <col min="21" max="21" width="10.625" style="1" customWidth="1"/>
    <col min="22" max="22" width="12.875" style="1" customWidth="1"/>
    <col min="23" max="16384" width="9" style="1"/>
  </cols>
  <sheetData>
    <row r="1" spans="1:22" ht="21.75" customHeight="1">
      <c r="D1" s="84" t="s">
        <v>12</v>
      </c>
      <c r="E1" s="85"/>
      <c r="F1" s="85"/>
      <c r="G1" s="85"/>
      <c r="H1" s="85"/>
    </row>
    <row r="2" spans="1:22" ht="21.75" customHeight="1">
      <c r="A2" s="94" t="s">
        <v>62</v>
      </c>
      <c r="B2" s="94"/>
    </row>
    <row r="3" spans="1:22" ht="21.75" customHeight="1">
      <c r="A3" s="86" t="s">
        <v>10</v>
      </c>
      <c r="B3" s="87"/>
    </row>
    <row r="4" spans="1:22" ht="21.75" customHeight="1">
      <c r="A4" s="88"/>
      <c r="B4" s="89"/>
      <c r="C4" s="115" t="s">
        <v>9</v>
      </c>
      <c r="D4" s="116"/>
      <c r="E4" s="117"/>
      <c r="F4" s="115" t="s">
        <v>8</v>
      </c>
      <c r="G4" s="116"/>
      <c r="H4" s="117"/>
      <c r="I4" s="115" t="s">
        <v>7</v>
      </c>
      <c r="J4" s="116"/>
      <c r="K4" s="117"/>
      <c r="L4" s="115" t="s">
        <v>6</v>
      </c>
      <c r="M4" s="116"/>
      <c r="N4" s="117"/>
      <c r="O4" s="115" t="s">
        <v>5</v>
      </c>
      <c r="P4" s="116"/>
      <c r="Q4" s="117"/>
      <c r="R4" s="115" t="s">
        <v>4</v>
      </c>
      <c r="S4" s="116"/>
      <c r="T4" s="117"/>
      <c r="U4" s="118" t="s">
        <v>3</v>
      </c>
      <c r="V4" s="95" t="s">
        <v>2</v>
      </c>
    </row>
    <row r="5" spans="1:22" ht="21.75" customHeight="1" thickBot="1">
      <c r="A5" s="3"/>
      <c r="B5" s="4" t="s">
        <v>1</v>
      </c>
      <c r="C5" s="71">
        <v>5840</v>
      </c>
      <c r="D5" s="72" t="s">
        <v>0</v>
      </c>
      <c r="E5" s="71"/>
      <c r="F5" s="71">
        <v>300</v>
      </c>
      <c r="G5" s="72" t="s">
        <v>0</v>
      </c>
      <c r="H5" s="71"/>
      <c r="I5" s="71">
        <v>940</v>
      </c>
      <c r="J5" s="72" t="s">
        <v>0</v>
      </c>
      <c r="K5" s="71"/>
      <c r="L5" s="71">
        <v>130</v>
      </c>
      <c r="M5" s="72" t="s">
        <v>0</v>
      </c>
      <c r="N5" s="71"/>
      <c r="O5" s="73">
        <v>2800</v>
      </c>
      <c r="P5" s="71" t="s">
        <v>0</v>
      </c>
      <c r="Q5" s="71"/>
      <c r="R5" s="73">
        <v>1000</v>
      </c>
      <c r="S5" s="72" t="s">
        <v>0</v>
      </c>
      <c r="T5" s="71"/>
      <c r="U5" s="119"/>
      <c r="V5" s="96"/>
    </row>
    <row r="6" spans="1:22" ht="21.75" customHeight="1" thickTop="1">
      <c r="A6" s="9">
        <v>1</v>
      </c>
      <c r="B6" s="10" t="s">
        <v>17</v>
      </c>
      <c r="C6" s="11">
        <v>5840</v>
      </c>
      <c r="D6" s="12"/>
      <c r="E6" s="13">
        <f t="shared" ref="E6:E20" si="0">SUM(C6*D6)</f>
        <v>0</v>
      </c>
      <c r="F6" s="14">
        <v>300</v>
      </c>
      <c r="G6" s="12"/>
      <c r="H6" s="13">
        <f t="shared" ref="H6:H20" si="1">SUM(F6*G6)</f>
        <v>0</v>
      </c>
      <c r="I6" s="14">
        <v>940</v>
      </c>
      <c r="J6" s="12"/>
      <c r="K6" s="13">
        <f t="shared" ref="K6:K20" si="2">SUM(I6*J6)</f>
        <v>0</v>
      </c>
      <c r="L6" s="14">
        <v>270</v>
      </c>
      <c r="M6" s="12"/>
      <c r="N6" s="15">
        <f t="shared" ref="N6:N20" si="3">SUM(L6*M6)</f>
        <v>0</v>
      </c>
      <c r="O6" s="11">
        <v>2800</v>
      </c>
      <c r="P6" s="12"/>
      <c r="Q6" s="13">
        <f t="shared" ref="Q6:Q20" si="4">SUM(O6*P6)</f>
        <v>0</v>
      </c>
      <c r="R6" s="16">
        <v>1000</v>
      </c>
      <c r="S6" s="17"/>
      <c r="T6" s="18">
        <f t="shared" ref="T6:T20" si="5">SUM(S6*R6)</f>
        <v>0</v>
      </c>
      <c r="U6" s="18"/>
      <c r="V6" s="19">
        <f t="shared" ref="V6:V13" si="6">SUM(E6+H6+K6+N6+Q6+T6)</f>
        <v>0</v>
      </c>
    </row>
    <row r="7" spans="1:22" ht="21.75" customHeight="1">
      <c r="A7" s="9">
        <v>2</v>
      </c>
      <c r="B7" s="9" t="s">
        <v>18</v>
      </c>
      <c r="C7" s="11">
        <v>5840</v>
      </c>
      <c r="D7" s="12">
        <v>17</v>
      </c>
      <c r="E7" s="13">
        <f t="shared" si="0"/>
        <v>99280</v>
      </c>
      <c r="F7" s="14">
        <v>300</v>
      </c>
      <c r="G7" s="12"/>
      <c r="H7" s="13">
        <f t="shared" si="1"/>
        <v>0</v>
      </c>
      <c r="I7" s="14">
        <v>940</v>
      </c>
      <c r="J7" s="20"/>
      <c r="K7" s="13">
        <f t="shared" si="2"/>
        <v>0</v>
      </c>
      <c r="L7" s="14">
        <v>270</v>
      </c>
      <c r="M7" s="20">
        <v>34</v>
      </c>
      <c r="N7" s="15">
        <f t="shared" si="3"/>
        <v>9180</v>
      </c>
      <c r="O7" s="11">
        <v>2800</v>
      </c>
      <c r="P7" s="20"/>
      <c r="Q7" s="13">
        <f t="shared" si="4"/>
        <v>0</v>
      </c>
      <c r="R7" s="21">
        <v>1000</v>
      </c>
      <c r="S7" s="22"/>
      <c r="T7" s="18">
        <f t="shared" si="5"/>
        <v>0</v>
      </c>
      <c r="U7" s="18"/>
      <c r="V7" s="19">
        <f t="shared" si="6"/>
        <v>108460</v>
      </c>
    </row>
    <row r="8" spans="1:22" ht="21.75" customHeight="1">
      <c r="A8" s="9">
        <v>3</v>
      </c>
      <c r="B8" s="9" t="s">
        <v>19</v>
      </c>
      <c r="C8" s="11">
        <v>5840</v>
      </c>
      <c r="D8" s="12">
        <v>23</v>
      </c>
      <c r="E8" s="13">
        <f t="shared" si="0"/>
        <v>134320</v>
      </c>
      <c r="F8" s="14">
        <v>300</v>
      </c>
      <c r="G8" s="12"/>
      <c r="H8" s="13">
        <f t="shared" si="1"/>
        <v>0</v>
      </c>
      <c r="I8" s="14">
        <v>940</v>
      </c>
      <c r="J8" s="20"/>
      <c r="K8" s="13">
        <f t="shared" si="2"/>
        <v>0</v>
      </c>
      <c r="L8" s="14">
        <v>270</v>
      </c>
      <c r="M8" s="20">
        <v>46</v>
      </c>
      <c r="N8" s="15">
        <f t="shared" si="3"/>
        <v>12420</v>
      </c>
      <c r="O8" s="11">
        <v>2800</v>
      </c>
      <c r="P8" s="20"/>
      <c r="Q8" s="13">
        <f t="shared" si="4"/>
        <v>0</v>
      </c>
      <c r="R8" s="21">
        <v>1000</v>
      </c>
      <c r="S8" s="22"/>
      <c r="T8" s="18">
        <f t="shared" si="5"/>
        <v>0</v>
      </c>
      <c r="U8" s="18"/>
      <c r="V8" s="19">
        <f t="shared" si="6"/>
        <v>146740</v>
      </c>
    </row>
    <row r="9" spans="1:22" ht="21.75" customHeight="1">
      <c r="A9" s="9">
        <v>4</v>
      </c>
      <c r="B9" s="9" t="s">
        <v>57</v>
      </c>
      <c r="C9" s="11">
        <v>5840</v>
      </c>
      <c r="D9" s="12">
        <v>12</v>
      </c>
      <c r="E9" s="13">
        <f t="shared" si="0"/>
        <v>70080</v>
      </c>
      <c r="F9" s="14">
        <v>300</v>
      </c>
      <c r="G9" s="12"/>
      <c r="H9" s="13">
        <f t="shared" si="1"/>
        <v>0</v>
      </c>
      <c r="I9" s="14">
        <v>940</v>
      </c>
      <c r="J9" s="20">
        <v>4</v>
      </c>
      <c r="K9" s="13">
        <f t="shared" si="2"/>
        <v>3760</v>
      </c>
      <c r="L9" s="14">
        <v>270</v>
      </c>
      <c r="M9" s="20">
        <v>24</v>
      </c>
      <c r="N9" s="15">
        <f t="shared" si="3"/>
        <v>6480</v>
      </c>
      <c r="O9" s="11">
        <v>2800</v>
      </c>
      <c r="P9" s="20"/>
      <c r="Q9" s="13">
        <f t="shared" si="4"/>
        <v>0</v>
      </c>
      <c r="R9" s="21">
        <v>1000</v>
      </c>
      <c r="S9" s="22"/>
      <c r="T9" s="18">
        <f t="shared" si="5"/>
        <v>0</v>
      </c>
      <c r="U9" s="18"/>
      <c r="V9" s="19">
        <f t="shared" si="6"/>
        <v>80320</v>
      </c>
    </row>
    <row r="10" spans="1:22" ht="21.75" customHeight="1">
      <c r="A10" s="9">
        <v>5</v>
      </c>
      <c r="B10" s="9" t="s">
        <v>21</v>
      </c>
      <c r="C10" s="11">
        <v>5840</v>
      </c>
      <c r="D10" s="12">
        <v>19</v>
      </c>
      <c r="E10" s="13">
        <f t="shared" si="0"/>
        <v>110960</v>
      </c>
      <c r="F10" s="14">
        <v>300</v>
      </c>
      <c r="G10" s="12"/>
      <c r="H10" s="13">
        <f t="shared" si="1"/>
        <v>0</v>
      </c>
      <c r="I10" s="14">
        <v>940</v>
      </c>
      <c r="J10" s="20"/>
      <c r="K10" s="13">
        <f t="shared" si="2"/>
        <v>0</v>
      </c>
      <c r="L10" s="14">
        <v>270</v>
      </c>
      <c r="M10" s="20">
        <v>38</v>
      </c>
      <c r="N10" s="15">
        <f t="shared" si="3"/>
        <v>10260</v>
      </c>
      <c r="O10" s="11">
        <v>2800</v>
      </c>
      <c r="P10" s="20"/>
      <c r="Q10" s="13">
        <f t="shared" si="4"/>
        <v>0</v>
      </c>
      <c r="R10" s="21">
        <v>1000</v>
      </c>
      <c r="S10" s="22"/>
      <c r="T10" s="18">
        <f t="shared" si="5"/>
        <v>0</v>
      </c>
      <c r="U10" s="18"/>
      <c r="V10" s="19">
        <f t="shared" si="6"/>
        <v>121220</v>
      </c>
    </row>
    <row r="11" spans="1:22" ht="21.75" customHeight="1">
      <c r="A11" s="9">
        <v>6</v>
      </c>
      <c r="B11" s="9" t="s">
        <v>22</v>
      </c>
      <c r="C11" s="11">
        <v>5840</v>
      </c>
      <c r="D11" s="12">
        <v>23</v>
      </c>
      <c r="E11" s="13">
        <f t="shared" si="0"/>
        <v>134320</v>
      </c>
      <c r="F11" s="14">
        <v>300</v>
      </c>
      <c r="G11" s="12"/>
      <c r="H11" s="13">
        <f t="shared" si="1"/>
        <v>0</v>
      </c>
      <c r="I11" s="14">
        <v>940</v>
      </c>
      <c r="J11" s="20"/>
      <c r="K11" s="13">
        <f t="shared" si="2"/>
        <v>0</v>
      </c>
      <c r="L11" s="14">
        <v>270</v>
      </c>
      <c r="M11" s="20">
        <v>46</v>
      </c>
      <c r="N11" s="15">
        <f t="shared" si="3"/>
        <v>12420</v>
      </c>
      <c r="O11" s="11">
        <v>2800</v>
      </c>
      <c r="P11" s="20"/>
      <c r="Q11" s="13">
        <f t="shared" si="4"/>
        <v>0</v>
      </c>
      <c r="R11" s="21">
        <v>1000</v>
      </c>
      <c r="S11" s="22"/>
      <c r="T11" s="18">
        <f t="shared" si="5"/>
        <v>0</v>
      </c>
      <c r="U11" s="18"/>
      <c r="V11" s="19">
        <f t="shared" si="6"/>
        <v>146740</v>
      </c>
    </row>
    <row r="12" spans="1:22" ht="21.75" customHeight="1">
      <c r="A12" s="9">
        <v>7</v>
      </c>
      <c r="B12" s="9" t="s">
        <v>23</v>
      </c>
      <c r="C12" s="11">
        <v>5840</v>
      </c>
      <c r="D12" s="12">
        <v>23</v>
      </c>
      <c r="E12" s="13">
        <f t="shared" si="0"/>
        <v>134320</v>
      </c>
      <c r="F12" s="14">
        <v>300</v>
      </c>
      <c r="G12" s="12"/>
      <c r="H12" s="13">
        <f t="shared" si="1"/>
        <v>0</v>
      </c>
      <c r="I12" s="14">
        <v>940</v>
      </c>
      <c r="J12" s="20"/>
      <c r="K12" s="13">
        <f t="shared" si="2"/>
        <v>0</v>
      </c>
      <c r="L12" s="14">
        <v>270</v>
      </c>
      <c r="M12" s="20"/>
      <c r="N12" s="15">
        <f t="shared" si="3"/>
        <v>0</v>
      </c>
      <c r="O12" s="11">
        <v>2800</v>
      </c>
      <c r="P12" s="20"/>
      <c r="Q12" s="13">
        <f t="shared" si="4"/>
        <v>0</v>
      </c>
      <c r="R12" s="21">
        <v>1000</v>
      </c>
      <c r="S12" s="22"/>
      <c r="T12" s="18">
        <f t="shared" si="5"/>
        <v>0</v>
      </c>
      <c r="U12" s="18"/>
      <c r="V12" s="19">
        <f t="shared" si="6"/>
        <v>134320</v>
      </c>
    </row>
    <row r="13" spans="1:22" ht="21.75" customHeight="1">
      <c r="A13" s="9">
        <v>8</v>
      </c>
      <c r="B13" s="10" t="s">
        <v>24</v>
      </c>
      <c r="C13" s="11">
        <v>5840</v>
      </c>
      <c r="D13" s="12">
        <v>23</v>
      </c>
      <c r="E13" s="13">
        <f t="shared" si="0"/>
        <v>134320</v>
      </c>
      <c r="F13" s="14">
        <v>300</v>
      </c>
      <c r="G13" s="12"/>
      <c r="H13" s="13">
        <f t="shared" si="1"/>
        <v>0</v>
      </c>
      <c r="I13" s="14">
        <v>940</v>
      </c>
      <c r="J13" s="20"/>
      <c r="K13" s="13">
        <f t="shared" si="2"/>
        <v>0</v>
      </c>
      <c r="L13" s="14">
        <v>270</v>
      </c>
      <c r="M13" s="20"/>
      <c r="N13" s="15">
        <f t="shared" si="3"/>
        <v>0</v>
      </c>
      <c r="O13" s="11">
        <v>2800</v>
      </c>
      <c r="P13" s="20"/>
      <c r="Q13" s="13">
        <f t="shared" si="4"/>
        <v>0</v>
      </c>
      <c r="R13" s="21">
        <v>1000</v>
      </c>
      <c r="S13" s="22"/>
      <c r="T13" s="18">
        <f t="shared" si="5"/>
        <v>0</v>
      </c>
      <c r="U13" s="18"/>
      <c r="V13" s="19">
        <f t="shared" si="6"/>
        <v>134320</v>
      </c>
    </row>
    <row r="14" spans="1:22" ht="21.75" customHeight="1">
      <c r="A14" s="9">
        <v>9</v>
      </c>
      <c r="B14" s="10" t="s">
        <v>25</v>
      </c>
      <c r="C14" s="11">
        <v>5840</v>
      </c>
      <c r="D14" s="12">
        <v>8</v>
      </c>
      <c r="E14" s="13">
        <f t="shared" si="0"/>
        <v>46720</v>
      </c>
      <c r="F14" s="14">
        <v>300</v>
      </c>
      <c r="G14" s="12"/>
      <c r="H14" s="13">
        <f t="shared" si="1"/>
        <v>0</v>
      </c>
      <c r="I14" s="14">
        <v>940</v>
      </c>
      <c r="J14" s="12"/>
      <c r="K14" s="13">
        <f t="shared" si="2"/>
        <v>0</v>
      </c>
      <c r="L14" s="14">
        <v>270</v>
      </c>
      <c r="M14" s="12">
        <v>16</v>
      </c>
      <c r="N14" s="15">
        <f t="shared" si="3"/>
        <v>4320</v>
      </c>
      <c r="O14" s="11">
        <v>2800</v>
      </c>
      <c r="P14" s="12"/>
      <c r="Q14" s="13">
        <f t="shared" si="4"/>
        <v>0</v>
      </c>
      <c r="R14" s="23">
        <v>1000</v>
      </c>
      <c r="S14" s="17"/>
      <c r="T14" s="18">
        <f t="shared" si="5"/>
        <v>0</v>
      </c>
      <c r="U14" s="18"/>
      <c r="V14" s="19">
        <f>SUM(E14+H14+K14+N14+Q14+T14)-U14</f>
        <v>51040</v>
      </c>
    </row>
    <row r="15" spans="1:22" ht="21.75" customHeight="1">
      <c r="A15" s="9">
        <v>10</v>
      </c>
      <c r="B15" s="9" t="s">
        <v>26</v>
      </c>
      <c r="C15" s="11">
        <v>5840</v>
      </c>
      <c r="D15" s="12">
        <v>9</v>
      </c>
      <c r="E15" s="13">
        <f t="shared" si="0"/>
        <v>52560</v>
      </c>
      <c r="F15" s="14">
        <v>300</v>
      </c>
      <c r="G15" s="12"/>
      <c r="H15" s="13">
        <f t="shared" si="1"/>
        <v>0</v>
      </c>
      <c r="I15" s="14">
        <v>940</v>
      </c>
      <c r="J15" s="20"/>
      <c r="K15" s="13">
        <f t="shared" si="2"/>
        <v>0</v>
      </c>
      <c r="L15" s="14">
        <v>270</v>
      </c>
      <c r="M15" s="20">
        <v>18</v>
      </c>
      <c r="N15" s="15">
        <f t="shared" si="3"/>
        <v>4860</v>
      </c>
      <c r="O15" s="11">
        <v>1870</v>
      </c>
      <c r="P15" s="20">
        <v>2</v>
      </c>
      <c r="Q15" s="13">
        <f t="shared" si="4"/>
        <v>3740</v>
      </c>
      <c r="R15" s="21">
        <v>1000</v>
      </c>
      <c r="S15" s="22"/>
      <c r="T15" s="18">
        <f t="shared" si="5"/>
        <v>0</v>
      </c>
      <c r="U15" s="18"/>
      <c r="V15" s="19">
        <f>SUM(E15+H15+K15+N15+Q15+T15)-U15</f>
        <v>61160</v>
      </c>
    </row>
    <row r="16" spans="1:22" ht="21.75" customHeight="1">
      <c r="A16" s="9">
        <v>12</v>
      </c>
      <c r="B16" s="9" t="s">
        <v>27</v>
      </c>
      <c r="C16" s="11">
        <v>5840</v>
      </c>
      <c r="D16" s="12">
        <v>17</v>
      </c>
      <c r="E16" s="13">
        <f t="shared" si="0"/>
        <v>99280</v>
      </c>
      <c r="F16" s="14">
        <v>300</v>
      </c>
      <c r="G16" s="12"/>
      <c r="H16" s="13">
        <f t="shared" si="1"/>
        <v>0</v>
      </c>
      <c r="I16" s="14">
        <v>940</v>
      </c>
      <c r="J16" s="20"/>
      <c r="K16" s="13">
        <f t="shared" si="2"/>
        <v>0</v>
      </c>
      <c r="L16" s="14">
        <v>270</v>
      </c>
      <c r="M16" s="20">
        <v>34</v>
      </c>
      <c r="N16" s="15">
        <f t="shared" si="3"/>
        <v>9180</v>
      </c>
      <c r="O16" s="11">
        <v>2800</v>
      </c>
      <c r="P16" s="20"/>
      <c r="Q16" s="13">
        <f t="shared" si="4"/>
        <v>0</v>
      </c>
      <c r="R16" s="21">
        <v>1000</v>
      </c>
      <c r="S16" s="22"/>
      <c r="T16" s="18">
        <f t="shared" si="5"/>
        <v>0</v>
      </c>
      <c r="U16" s="18"/>
      <c r="V16" s="19">
        <f>SUM(E16+H16+K16+N16+Q16+T16)-U16</f>
        <v>108460</v>
      </c>
    </row>
    <row r="17" spans="1:22" ht="21.75" customHeight="1">
      <c r="A17" s="9">
        <v>13</v>
      </c>
      <c r="B17" s="9" t="s">
        <v>61</v>
      </c>
      <c r="C17" s="11">
        <v>5840</v>
      </c>
      <c r="D17" s="12">
        <v>4</v>
      </c>
      <c r="E17" s="13">
        <f t="shared" si="0"/>
        <v>23360</v>
      </c>
      <c r="F17" s="14">
        <v>300</v>
      </c>
      <c r="G17" s="12"/>
      <c r="H17" s="13">
        <f t="shared" si="1"/>
        <v>0</v>
      </c>
      <c r="I17" s="14">
        <v>940</v>
      </c>
      <c r="J17" s="20">
        <v>2</v>
      </c>
      <c r="K17" s="13">
        <f t="shared" si="2"/>
        <v>1880</v>
      </c>
      <c r="L17" s="14">
        <v>270</v>
      </c>
      <c r="M17" s="20">
        <v>8</v>
      </c>
      <c r="N17" s="15">
        <f t="shared" si="3"/>
        <v>2160</v>
      </c>
      <c r="O17" s="11">
        <v>2800</v>
      </c>
      <c r="P17" s="20"/>
      <c r="Q17" s="13">
        <f t="shared" si="4"/>
        <v>0</v>
      </c>
      <c r="R17" s="21">
        <v>1000</v>
      </c>
      <c r="S17" s="22"/>
      <c r="T17" s="18">
        <f t="shared" si="5"/>
        <v>0</v>
      </c>
      <c r="U17" s="18"/>
      <c r="V17" s="19">
        <f t="shared" ref="V17:V19" si="7">SUM(E17+H17+K17+N17+Q17+T17)-U17</f>
        <v>27400</v>
      </c>
    </row>
    <row r="18" spans="1:22" ht="21.75" customHeight="1">
      <c r="A18" s="9">
        <v>14</v>
      </c>
      <c r="B18" s="9" t="s">
        <v>59</v>
      </c>
      <c r="C18" s="11">
        <v>5840</v>
      </c>
      <c r="D18" s="12">
        <v>8</v>
      </c>
      <c r="E18" s="13">
        <f t="shared" si="0"/>
        <v>46720</v>
      </c>
      <c r="F18" s="14">
        <v>300</v>
      </c>
      <c r="G18" s="12"/>
      <c r="H18" s="13">
        <f t="shared" si="1"/>
        <v>0</v>
      </c>
      <c r="I18" s="14">
        <v>940</v>
      </c>
      <c r="J18" s="20"/>
      <c r="K18" s="13">
        <f t="shared" si="2"/>
        <v>0</v>
      </c>
      <c r="L18" s="14">
        <v>270</v>
      </c>
      <c r="M18" s="20"/>
      <c r="N18" s="15">
        <f t="shared" si="3"/>
        <v>0</v>
      </c>
      <c r="O18" s="11">
        <v>2800</v>
      </c>
      <c r="P18" s="20"/>
      <c r="Q18" s="13">
        <f t="shared" si="4"/>
        <v>0</v>
      </c>
      <c r="R18" s="21">
        <v>1000</v>
      </c>
      <c r="S18" s="22"/>
      <c r="T18" s="18">
        <f t="shared" si="5"/>
        <v>0</v>
      </c>
      <c r="U18" s="18"/>
      <c r="V18" s="19">
        <f t="shared" si="7"/>
        <v>46720</v>
      </c>
    </row>
    <row r="19" spans="1:22" ht="21.75" customHeight="1">
      <c r="A19" s="9">
        <v>15</v>
      </c>
      <c r="B19" s="9" t="s">
        <v>58</v>
      </c>
      <c r="C19" s="11">
        <v>5840</v>
      </c>
      <c r="D19" s="12">
        <v>8</v>
      </c>
      <c r="E19" s="13">
        <f t="shared" si="0"/>
        <v>46720</v>
      </c>
      <c r="F19" s="14">
        <v>300</v>
      </c>
      <c r="G19" s="12"/>
      <c r="H19" s="13">
        <f t="shared" si="1"/>
        <v>0</v>
      </c>
      <c r="I19" s="14">
        <v>940</v>
      </c>
      <c r="J19" s="20"/>
      <c r="K19" s="13">
        <f t="shared" si="2"/>
        <v>0</v>
      </c>
      <c r="L19" s="14">
        <v>270</v>
      </c>
      <c r="M19" s="20"/>
      <c r="N19" s="15">
        <f t="shared" si="3"/>
        <v>0</v>
      </c>
      <c r="O19" s="11">
        <v>2800</v>
      </c>
      <c r="P19" s="20"/>
      <c r="Q19" s="13">
        <f t="shared" si="4"/>
        <v>0</v>
      </c>
      <c r="R19" s="21">
        <v>1000</v>
      </c>
      <c r="S19" s="22"/>
      <c r="T19" s="18">
        <f t="shared" si="5"/>
        <v>0</v>
      </c>
      <c r="U19" s="18"/>
      <c r="V19" s="19">
        <f t="shared" si="7"/>
        <v>46720</v>
      </c>
    </row>
    <row r="20" spans="1:22" ht="21.75" customHeight="1">
      <c r="A20" s="9">
        <v>16</v>
      </c>
      <c r="B20" s="9" t="s">
        <v>60</v>
      </c>
      <c r="C20" s="11">
        <v>5840</v>
      </c>
      <c r="D20" s="12">
        <v>1</v>
      </c>
      <c r="E20" s="13">
        <f t="shared" si="0"/>
        <v>5840</v>
      </c>
      <c r="F20" s="14">
        <v>300</v>
      </c>
      <c r="G20" s="12"/>
      <c r="H20" s="13">
        <f t="shared" si="1"/>
        <v>0</v>
      </c>
      <c r="I20" s="14">
        <v>940</v>
      </c>
      <c r="J20" s="20"/>
      <c r="K20" s="13">
        <f t="shared" si="2"/>
        <v>0</v>
      </c>
      <c r="L20" s="14">
        <v>270</v>
      </c>
      <c r="M20" s="20">
        <v>2</v>
      </c>
      <c r="N20" s="15">
        <f t="shared" si="3"/>
        <v>540</v>
      </c>
      <c r="O20" s="11">
        <v>2800</v>
      </c>
      <c r="P20" s="20"/>
      <c r="Q20" s="13">
        <f t="shared" si="4"/>
        <v>0</v>
      </c>
      <c r="R20" s="21">
        <v>1000</v>
      </c>
      <c r="S20" s="22"/>
      <c r="T20" s="18">
        <f t="shared" si="5"/>
        <v>0</v>
      </c>
      <c r="U20" s="18"/>
      <c r="V20" s="19">
        <f t="shared" ref="V20" si="8">SUM(E20+H20+K20+N20+Q20+T20)-U20</f>
        <v>6380</v>
      </c>
    </row>
    <row r="21" spans="1:22" ht="21.75" customHeight="1">
      <c r="A21" s="24"/>
      <c r="B21" s="24"/>
      <c r="C21" s="25"/>
      <c r="D21" s="25"/>
      <c r="E21" s="26">
        <f>SUM(E6:E20)</f>
        <v>1138800</v>
      </c>
      <c r="F21" s="26"/>
      <c r="G21" s="26"/>
      <c r="H21" s="26">
        <f>SUM(H6:H20)</f>
        <v>0</v>
      </c>
      <c r="I21" s="26"/>
      <c r="J21" s="26"/>
      <c r="K21" s="26">
        <f>SUM(K6:K20)</f>
        <v>5640</v>
      </c>
      <c r="L21" s="26"/>
      <c r="M21" s="26"/>
      <c r="N21" s="26">
        <f>SUM(N6:N20)</f>
        <v>71820</v>
      </c>
      <c r="O21" s="26"/>
      <c r="P21" s="25"/>
      <c r="Q21" s="26">
        <f>SUM(Q6:Q20)</f>
        <v>3740</v>
      </c>
      <c r="R21" s="24"/>
      <c r="S21" s="24"/>
      <c r="T21" s="21">
        <f>SUM(T6:T20)</f>
        <v>0</v>
      </c>
      <c r="U21" s="21">
        <f>SUM(U6:U20)</f>
        <v>0</v>
      </c>
      <c r="V21" s="27">
        <f>SUM(V6:V20)</f>
        <v>1220000</v>
      </c>
    </row>
    <row r="22" spans="1:22" ht="21.75" customHeight="1"/>
    <row r="23" spans="1:22" ht="33" customHeight="1">
      <c r="N23" s="28"/>
      <c r="O23" s="97" t="s">
        <v>29</v>
      </c>
      <c r="P23" s="98"/>
      <c r="Q23" s="98"/>
      <c r="R23" s="98"/>
      <c r="S23" s="98"/>
      <c r="T23" s="98"/>
      <c r="U23" s="99"/>
      <c r="V23" s="30">
        <f>V21</f>
        <v>1220000</v>
      </c>
    </row>
    <row r="24" spans="1:22" ht="33" customHeight="1" thickBot="1">
      <c r="N24" s="28"/>
      <c r="O24" s="100" t="s">
        <v>30</v>
      </c>
      <c r="P24" s="101"/>
      <c r="Q24" s="101"/>
      <c r="R24" s="101"/>
      <c r="S24" s="101"/>
      <c r="T24" s="101"/>
      <c r="U24" s="102"/>
      <c r="V24" s="32">
        <f>V57</f>
        <v>2240180</v>
      </c>
    </row>
    <row r="25" spans="1:22" ht="33" customHeight="1" thickTop="1">
      <c r="N25" s="28"/>
      <c r="O25" s="103" t="s">
        <v>2</v>
      </c>
      <c r="P25" s="104"/>
      <c r="Q25" s="104"/>
      <c r="R25" s="104"/>
      <c r="S25" s="104"/>
      <c r="T25" s="104"/>
      <c r="U25" s="105"/>
      <c r="V25" s="34">
        <f>V23+V24</f>
        <v>3460180</v>
      </c>
    </row>
    <row r="26" spans="1:22" ht="21.75" customHeight="1">
      <c r="N26" s="28"/>
      <c r="O26" s="28"/>
      <c r="P26" s="28"/>
      <c r="Q26" s="28"/>
      <c r="R26" s="35"/>
      <c r="S26" s="36"/>
      <c r="T26" s="36"/>
      <c r="U26" s="36"/>
      <c r="V26" s="36"/>
    </row>
    <row r="27" spans="1:22" ht="21.75" customHeight="1">
      <c r="N27" s="36"/>
      <c r="O27" s="36"/>
      <c r="P27" s="36"/>
      <c r="Q27" s="36"/>
      <c r="R27" s="36"/>
      <c r="S27" s="36"/>
      <c r="T27" s="36"/>
      <c r="U27" s="36"/>
      <c r="V27" s="36"/>
    </row>
    <row r="28" spans="1:22" ht="21.75" customHeight="1">
      <c r="N28" s="36"/>
      <c r="O28" s="36"/>
      <c r="P28" s="36"/>
      <c r="Q28" s="36"/>
      <c r="R28" s="36"/>
      <c r="S28" s="36"/>
      <c r="T28" s="36"/>
      <c r="U28" s="36"/>
      <c r="V28" s="36"/>
    </row>
    <row r="29" spans="1:22" ht="21.75" customHeight="1">
      <c r="N29" s="36"/>
      <c r="O29" s="36"/>
      <c r="P29" s="36"/>
      <c r="Q29" s="36"/>
      <c r="R29" s="36"/>
      <c r="S29" s="36"/>
      <c r="T29" s="36"/>
      <c r="U29" s="36"/>
      <c r="V29" s="36"/>
    </row>
    <row r="30" spans="1:22" ht="56.25" hidden="1" customHeight="1">
      <c r="N30" s="36"/>
      <c r="O30" s="36"/>
      <c r="P30" s="36"/>
      <c r="Q30" s="36"/>
      <c r="R30" s="36"/>
      <c r="S30" s="36"/>
      <c r="T30" s="36"/>
      <c r="U30" s="36"/>
      <c r="V30" s="36"/>
    </row>
    <row r="31" spans="1:22" ht="21.75" customHeight="1">
      <c r="D31" s="84" t="s">
        <v>12</v>
      </c>
      <c r="E31" s="85"/>
      <c r="F31" s="85"/>
      <c r="G31" s="85"/>
      <c r="H31" s="85"/>
    </row>
    <row r="32" spans="1:22" ht="31.5" customHeight="1">
      <c r="A32" s="93" t="s">
        <v>62</v>
      </c>
      <c r="B32" s="93"/>
      <c r="E32" s="1"/>
      <c r="H32" s="1"/>
      <c r="K32" s="1"/>
      <c r="N32" s="1"/>
    </row>
    <row r="33" spans="1:22" ht="21.75" customHeight="1">
      <c r="A33" s="86" t="s">
        <v>10</v>
      </c>
      <c r="B33" s="87"/>
      <c r="E33" s="1"/>
      <c r="H33" s="1"/>
      <c r="K33" s="1"/>
      <c r="N33" s="1"/>
    </row>
    <row r="34" spans="1:22" ht="21.75" customHeight="1">
      <c r="A34" s="88"/>
      <c r="B34" s="89"/>
      <c r="C34" s="75" t="s">
        <v>9</v>
      </c>
      <c r="D34" s="76"/>
      <c r="E34" s="77"/>
      <c r="F34" s="75" t="s">
        <v>8</v>
      </c>
      <c r="G34" s="76"/>
      <c r="H34" s="77"/>
      <c r="I34" s="75" t="s">
        <v>7</v>
      </c>
      <c r="J34" s="76"/>
      <c r="K34" s="77"/>
      <c r="L34" s="75" t="s">
        <v>6</v>
      </c>
      <c r="M34" s="76"/>
      <c r="N34" s="77"/>
      <c r="O34" s="75" t="s">
        <v>5</v>
      </c>
      <c r="P34" s="76"/>
      <c r="Q34" s="77"/>
      <c r="R34" s="75" t="s">
        <v>4</v>
      </c>
      <c r="S34" s="76"/>
      <c r="T34" s="77"/>
      <c r="U34" s="78" t="s">
        <v>3</v>
      </c>
      <c r="V34" s="80" t="s">
        <v>2</v>
      </c>
    </row>
    <row r="35" spans="1:22" ht="21.75" customHeight="1" thickBot="1">
      <c r="A35" s="3"/>
      <c r="B35" s="4" t="s">
        <v>1</v>
      </c>
      <c r="C35" s="5">
        <v>5840</v>
      </c>
      <c r="D35" s="6" t="s">
        <v>0</v>
      </c>
      <c r="E35" s="5"/>
      <c r="F35" s="5">
        <v>300</v>
      </c>
      <c r="G35" s="6" t="s">
        <v>0</v>
      </c>
      <c r="H35" s="5"/>
      <c r="I35" s="5">
        <v>940</v>
      </c>
      <c r="J35" s="6" t="s">
        <v>0</v>
      </c>
      <c r="K35" s="5"/>
      <c r="L35" s="5">
        <v>130</v>
      </c>
      <c r="M35" s="6" t="s">
        <v>0</v>
      </c>
      <c r="N35" s="5"/>
      <c r="O35" s="8">
        <v>2800</v>
      </c>
      <c r="P35" s="5" t="s">
        <v>0</v>
      </c>
      <c r="Q35" s="5"/>
      <c r="R35" s="8">
        <v>1000</v>
      </c>
      <c r="S35" s="6" t="s">
        <v>0</v>
      </c>
      <c r="T35" s="5"/>
      <c r="U35" s="79"/>
      <c r="V35" s="81"/>
    </row>
    <row r="36" spans="1:22" ht="19.5" customHeight="1" thickTop="1">
      <c r="A36" s="24">
        <v>1</v>
      </c>
      <c r="B36" s="37" t="s">
        <v>31</v>
      </c>
      <c r="C36" s="11">
        <v>5840</v>
      </c>
      <c r="D36" s="12">
        <v>22</v>
      </c>
      <c r="E36" s="13">
        <f t="shared" ref="E36:E56" si="9">SUM(C36*D36)</f>
        <v>128480</v>
      </c>
      <c r="F36" s="14">
        <v>300</v>
      </c>
      <c r="G36" s="12"/>
      <c r="H36" s="13">
        <f t="shared" ref="H36:H56" si="10">SUM(F36*G36)</f>
        <v>0</v>
      </c>
      <c r="I36" s="14">
        <v>940</v>
      </c>
      <c r="J36" s="12">
        <v>1</v>
      </c>
      <c r="K36" s="13">
        <f t="shared" ref="K36:K56" si="11">SUM(I36*J36)</f>
        <v>940</v>
      </c>
      <c r="L36" s="14">
        <v>130</v>
      </c>
      <c r="M36" s="12">
        <v>44</v>
      </c>
      <c r="N36" s="15">
        <f t="shared" ref="N36:N56" si="12">SUM(L36*M36)</f>
        <v>5720</v>
      </c>
      <c r="O36" s="11">
        <v>2800</v>
      </c>
      <c r="P36" s="12"/>
      <c r="Q36" s="13">
        <f t="shared" ref="Q36:Q56" si="13">SUM(O36*P36)</f>
        <v>0</v>
      </c>
      <c r="R36" s="16">
        <v>1000</v>
      </c>
      <c r="S36" s="17"/>
      <c r="T36" s="18">
        <f t="shared" ref="T36:T56" si="14">SUM(S36*R36)</f>
        <v>0</v>
      </c>
      <c r="U36" s="18"/>
      <c r="V36" s="38">
        <f t="shared" ref="V36" si="15">SUM(E36+H36+K36+N36+Q36+T36)</f>
        <v>135140</v>
      </c>
    </row>
    <row r="37" spans="1:22" ht="19.5" customHeight="1">
      <c r="A37" s="24">
        <v>2</v>
      </c>
      <c r="B37" s="39" t="s">
        <v>32</v>
      </c>
      <c r="C37" s="11">
        <v>5840</v>
      </c>
      <c r="D37" s="12">
        <v>23</v>
      </c>
      <c r="E37" s="13">
        <f t="shared" si="9"/>
        <v>134320</v>
      </c>
      <c r="F37" s="14">
        <v>300</v>
      </c>
      <c r="G37" s="12"/>
      <c r="H37" s="13">
        <f t="shared" si="10"/>
        <v>0</v>
      </c>
      <c r="I37" s="14">
        <v>940</v>
      </c>
      <c r="J37" s="20"/>
      <c r="K37" s="13">
        <f t="shared" si="11"/>
        <v>0</v>
      </c>
      <c r="L37" s="14">
        <v>130</v>
      </c>
      <c r="M37" s="20">
        <v>46</v>
      </c>
      <c r="N37" s="15">
        <f t="shared" si="12"/>
        <v>5980</v>
      </c>
      <c r="O37" s="11">
        <v>2800</v>
      </c>
      <c r="P37" s="20"/>
      <c r="Q37" s="13">
        <f t="shared" si="13"/>
        <v>0</v>
      </c>
      <c r="R37" s="21">
        <v>1000</v>
      </c>
      <c r="S37" s="22"/>
      <c r="T37" s="18">
        <f t="shared" si="14"/>
        <v>0</v>
      </c>
      <c r="U37" s="18">
        <v>9300</v>
      </c>
      <c r="V37" s="38">
        <f>SUM(E37+H37+K37+N37+Q37+T37)-U37</f>
        <v>131000</v>
      </c>
    </row>
    <row r="38" spans="1:22" ht="19.5" customHeight="1">
      <c r="A38" s="24">
        <v>3</v>
      </c>
      <c r="B38" s="39" t="s">
        <v>33</v>
      </c>
      <c r="C38" s="11">
        <v>5840</v>
      </c>
      <c r="D38" s="12"/>
      <c r="E38" s="13">
        <f t="shared" si="9"/>
        <v>0</v>
      </c>
      <c r="F38" s="14">
        <v>300</v>
      </c>
      <c r="G38" s="12"/>
      <c r="H38" s="13">
        <f t="shared" si="10"/>
        <v>0</v>
      </c>
      <c r="I38" s="14">
        <v>940</v>
      </c>
      <c r="J38" s="20"/>
      <c r="K38" s="13">
        <f t="shared" si="11"/>
        <v>0</v>
      </c>
      <c r="L38" s="14">
        <v>130</v>
      </c>
      <c r="M38" s="20"/>
      <c r="N38" s="15">
        <f t="shared" si="12"/>
        <v>0</v>
      </c>
      <c r="O38" s="11">
        <v>2800</v>
      </c>
      <c r="P38" s="20"/>
      <c r="Q38" s="13">
        <f t="shared" si="13"/>
        <v>0</v>
      </c>
      <c r="R38" s="21">
        <v>1000</v>
      </c>
      <c r="S38" s="22"/>
      <c r="T38" s="18">
        <f t="shared" si="14"/>
        <v>0</v>
      </c>
      <c r="U38" s="18"/>
      <c r="V38" s="38">
        <f t="shared" ref="V38:V56" si="16">SUM(E38+H38+K38+N38+Q38+T38)-U38</f>
        <v>0</v>
      </c>
    </row>
    <row r="39" spans="1:22" ht="19.5" customHeight="1">
      <c r="A39" s="24">
        <v>4</v>
      </c>
      <c r="B39" s="39" t="s">
        <v>14</v>
      </c>
      <c r="C39" s="11">
        <v>5840</v>
      </c>
      <c r="D39" s="12">
        <v>17</v>
      </c>
      <c r="E39" s="13">
        <f t="shared" si="9"/>
        <v>99280</v>
      </c>
      <c r="F39" s="14">
        <v>300</v>
      </c>
      <c r="G39" s="12"/>
      <c r="H39" s="13">
        <f t="shared" si="10"/>
        <v>0</v>
      </c>
      <c r="I39" s="14">
        <v>940</v>
      </c>
      <c r="J39" s="20">
        <v>4</v>
      </c>
      <c r="K39" s="13">
        <f t="shared" si="11"/>
        <v>3760</v>
      </c>
      <c r="L39" s="14">
        <v>130</v>
      </c>
      <c r="M39" s="20">
        <v>34</v>
      </c>
      <c r="N39" s="15">
        <f t="shared" si="12"/>
        <v>4420</v>
      </c>
      <c r="O39" s="11">
        <v>2800</v>
      </c>
      <c r="P39" s="20"/>
      <c r="Q39" s="13">
        <f t="shared" si="13"/>
        <v>0</v>
      </c>
      <c r="R39" s="21">
        <v>1000</v>
      </c>
      <c r="S39" s="22"/>
      <c r="T39" s="18">
        <f t="shared" si="14"/>
        <v>0</v>
      </c>
      <c r="U39" s="18"/>
      <c r="V39" s="38">
        <f t="shared" si="16"/>
        <v>107460</v>
      </c>
    </row>
    <row r="40" spans="1:22" ht="19.5" customHeight="1">
      <c r="A40" s="24">
        <v>5</v>
      </c>
      <c r="B40" s="39" t="s">
        <v>34</v>
      </c>
      <c r="C40" s="11">
        <v>5840</v>
      </c>
      <c r="D40" s="12">
        <v>12</v>
      </c>
      <c r="E40" s="13">
        <f t="shared" si="9"/>
        <v>70080</v>
      </c>
      <c r="F40" s="14">
        <v>300</v>
      </c>
      <c r="G40" s="12"/>
      <c r="H40" s="13">
        <f t="shared" si="10"/>
        <v>0</v>
      </c>
      <c r="I40" s="14">
        <v>940</v>
      </c>
      <c r="J40" s="20">
        <v>4</v>
      </c>
      <c r="K40" s="13">
        <f t="shared" si="11"/>
        <v>3760</v>
      </c>
      <c r="L40" s="14">
        <v>130</v>
      </c>
      <c r="M40" s="20">
        <v>24</v>
      </c>
      <c r="N40" s="15">
        <f t="shared" si="12"/>
        <v>3120</v>
      </c>
      <c r="O40" s="11">
        <v>2800</v>
      </c>
      <c r="P40" s="20"/>
      <c r="Q40" s="13">
        <f t="shared" si="13"/>
        <v>0</v>
      </c>
      <c r="R40" s="21">
        <v>1000</v>
      </c>
      <c r="S40" s="22"/>
      <c r="T40" s="18">
        <f t="shared" si="14"/>
        <v>0</v>
      </c>
      <c r="U40" s="18"/>
      <c r="V40" s="38">
        <f t="shared" si="16"/>
        <v>76960</v>
      </c>
    </row>
    <row r="41" spans="1:22" ht="19.5" customHeight="1">
      <c r="A41" s="24">
        <v>6</v>
      </c>
      <c r="B41" s="39" t="s">
        <v>35</v>
      </c>
      <c r="C41" s="11">
        <v>5840</v>
      </c>
      <c r="D41" s="12">
        <v>22</v>
      </c>
      <c r="E41" s="13">
        <f t="shared" si="9"/>
        <v>128480</v>
      </c>
      <c r="F41" s="14">
        <v>300</v>
      </c>
      <c r="G41" s="12"/>
      <c r="H41" s="13">
        <f t="shared" si="10"/>
        <v>0</v>
      </c>
      <c r="I41" s="14">
        <v>940</v>
      </c>
      <c r="J41" s="20">
        <v>1</v>
      </c>
      <c r="K41" s="13">
        <f t="shared" si="11"/>
        <v>940</v>
      </c>
      <c r="L41" s="14">
        <v>130</v>
      </c>
      <c r="M41" s="20"/>
      <c r="N41" s="15">
        <f t="shared" si="12"/>
        <v>0</v>
      </c>
      <c r="O41" s="11">
        <v>2800</v>
      </c>
      <c r="P41" s="20"/>
      <c r="Q41" s="13">
        <f t="shared" si="13"/>
        <v>0</v>
      </c>
      <c r="R41" s="21">
        <v>1000</v>
      </c>
      <c r="S41" s="22"/>
      <c r="T41" s="18">
        <f t="shared" si="14"/>
        <v>0</v>
      </c>
      <c r="U41" s="18"/>
      <c r="V41" s="38">
        <f t="shared" si="16"/>
        <v>129420</v>
      </c>
    </row>
    <row r="42" spans="1:22" ht="19.5" customHeight="1">
      <c r="A42" s="24">
        <v>7</v>
      </c>
      <c r="B42" s="39" t="s">
        <v>36</v>
      </c>
      <c r="C42" s="11">
        <v>5840</v>
      </c>
      <c r="D42" s="12">
        <v>21</v>
      </c>
      <c r="E42" s="13">
        <f t="shared" si="9"/>
        <v>122640</v>
      </c>
      <c r="F42" s="14">
        <v>300</v>
      </c>
      <c r="G42" s="12"/>
      <c r="H42" s="13">
        <f t="shared" si="10"/>
        <v>0</v>
      </c>
      <c r="I42" s="14">
        <v>940</v>
      </c>
      <c r="J42" s="20">
        <v>2</v>
      </c>
      <c r="K42" s="13">
        <f t="shared" si="11"/>
        <v>1880</v>
      </c>
      <c r="L42" s="14">
        <v>130</v>
      </c>
      <c r="M42" s="20">
        <v>42</v>
      </c>
      <c r="N42" s="15">
        <f t="shared" si="12"/>
        <v>5460</v>
      </c>
      <c r="O42" s="11">
        <v>2800</v>
      </c>
      <c r="P42" s="20"/>
      <c r="Q42" s="13">
        <f t="shared" si="13"/>
        <v>0</v>
      </c>
      <c r="R42" s="21">
        <v>1000</v>
      </c>
      <c r="S42" s="22"/>
      <c r="T42" s="18">
        <f t="shared" si="14"/>
        <v>0</v>
      </c>
      <c r="U42" s="18"/>
      <c r="V42" s="38">
        <f t="shared" si="16"/>
        <v>129980</v>
      </c>
    </row>
    <row r="43" spans="1:22" ht="19.5" customHeight="1">
      <c r="A43" s="24">
        <v>8</v>
      </c>
      <c r="B43" s="39" t="s">
        <v>37</v>
      </c>
      <c r="C43" s="11">
        <v>5840</v>
      </c>
      <c r="D43" s="12">
        <v>22</v>
      </c>
      <c r="E43" s="13">
        <f t="shared" si="9"/>
        <v>128480</v>
      </c>
      <c r="F43" s="14">
        <v>300</v>
      </c>
      <c r="G43" s="12"/>
      <c r="H43" s="13">
        <f t="shared" si="10"/>
        <v>0</v>
      </c>
      <c r="I43" s="14">
        <v>940</v>
      </c>
      <c r="J43" s="20">
        <v>1</v>
      </c>
      <c r="K43" s="13">
        <f t="shared" si="11"/>
        <v>940</v>
      </c>
      <c r="L43" s="14">
        <v>130</v>
      </c>
      <c r="M43" s="20"/>
      <c r="N43" s="15">
        <f t="shared" si="12"/>
        <v>0</v>
      </c>
      <c r="O43" s="11">
        <v>2800</v>
      </c>
      <c r="P43" s="20"/>
      <c r="Q43" s="13">
        <f t="shared" si="13"/>
        <v>0</v>
      </c>
      <c r="R43" s="21">
        <v>1000</v>
      </c>
      <c r="S43" s="22"/>
      <c r="T43" s="18">
        <f t="shared" si="14"/>
        <v>0</v>
      </c>
      <c r="U43" s="18"/>
      <c r="V43" s="38">
        <f t="shared" si="16"/>
        <v>129420</v>
      </c>
    </row>
    <row r="44" spans="1:22" ht="19.5" customHeight="1">
      <c r="A44" s="24">
        <v>9</v>
      </c>
      <c r="B44" s="37" t="s">
        <v>38</v>
      </c>
      <c r="C44" s="11">
        <v>5840</v>
      </c>
      <c r="D44" s="12">
        <v>16</v>
      </c>
      <c r="E44" s="13">
        <f t="shared" si="9"/>
        <v>93440</v>
      </c>
      <c r="F44" s="14">
        <v>300</v>
      </c>
      <c r="G44" s="12"/>
      <c r="H44" s="13">
        <f t="shared" si="10"/>
        <v>0</v>
      </c>
      <c r="I44" s="14">
        <v>940</v>
      </c>
      <c r="J44" s="20">
        <v>4</v>
      </c>
      <c r="K44" s="13">
        <f t="shared" si="11"/>
        <v>3760</v>
      </c>
      <c r="L44" s="14">
        <v>130</v>
      </c>
      <c r="M44" s="20">
        <v>32</v>
      </c>
      <c r="N44" s="15">
        <f t="shared" si="12"/>
        <v>4160</v>
      </c>
      <c r="O44" s="11">
        <v>2800</v>
      </c>
      <c r="P44" s="20"/>
      <c r="Q44" s="13">
        <f t="shared" si="13"/>
        <v>0</v>
      </c>
      <c r="R44" s="21">
        <v>1000</v>
      </c>
      <c r="S44" s="22"/>
      <c r="T44" s="18">
        <f t="shared" si="14"/>
        <v>0</v>
      </c>
      <c r="U44" s="18"/>
      <c r="V44" s="38">
        <f t="shared" si="16"/>
        <v>101360</v>
      </c>
    </row>
    <row r="45" spans="1:22" ht="19.5" customHeight="1">
      <c r="A45" s="24">
        <v>10</v>
      </c>
      <c r="B45" s="37" t="s">
        <v>39</v>
      </c>
      <c r="C45" s="11">
        <v>5840</v>
      </c>
      <c r="D45" s="12">
        <v>19</v>
      </c>
      <c r="E45" s="13">
        <f t="shared" si="9"/>
        <v>110960</v>
      </c>
      <c r="F45" s="14">
        <v>300</v>
      </c>
      <c r="G45" s="12"/>
      <c r="H45" s="13">
        <f t="shared" si="10"/>
        <v>0</v>
      </c>
      <c r="I45" s="14">
        <v>940</v>
      </c>
      <c r="J45" s="12">
        <v>4</v>
      </c>
      <c r="K45" s="13">
        <f t="shared" si="11"/>
        <v>3760</v>
      </c>
      <c r="L45" s="14">
        <v>130</v>
      </c>
      <c r="M45" s="12">
        <v>38</v>
      </c>
      <c r="N45" s="15">
        <f t="shared" si="12"/>
        <v>4940</v>
      </c>
      <c r="O45" s="11">
        <v>2800</v>
      </c>
      <c r="P45" s="12"/>
      <c r="Q45" s="13">
        <f t="shared" si="13"/>
        <v>0</v>
      </c>
      <c r="R45" s="23">
        <v>1000</v>
      </c>
      <c r="S45" s="17"/>
      <c r="T45" s="18">
        <f t="shared" si="14"/>
        <v>0</v>
      </c>
      <c r="U45" s="18"/>
      <c r="V45" s="38">
        <f t="shared" si="16"/>
        <v>119660</v>
      </c>
    </row>
    <row r="46" spans="1:22" ht="19.5" customHeight="1">
      <c r="A46" s="24">
        <v>11</v>
      </c>
      <c r="B46" s="39" t="s">
        <v>40</v>
      </c>
      <c r="C46" s="11">
        <v>5840</v>
      </c>
      <c r="D46" s="12">
        <v>9</v>
      </c>
      <c r="E46" s="13">
        <f t="shared" si="9"/>
        <v>52560</v>
      </c>
      <c r="F46" s="14">
        <v>300</v>
      </c>
      <c r="G46" s="12"/>
      <c r="H46" s="13">
        <f t="shared" si="10"/>
        <v>0</v>
      </c>
      <c r="I46" s="14">
        <v>940</v>
      </c>
      <c r="J46" s="20">
        <v>4</v>
      </c>
      <c r="K46" s="13">
        <f t="shared" si="11"/>
        <v>3760</v>
      </c>
      <c r="L46" s="14">
        <v>130</v>
      </c>
      <c r="M46" s="20">
        <v>18</v>
      </c>
      <c r="N46" s="15">
        <f t="shared" si="12"/>
        <v>2340</v>
      </c>
      <c r="O46" s="11">
        <v>2800</v>
      </c>
      <c r="P46" s="20"/>
      <c r="Q46" s="13">
        <f t="shared" si="13"/>
        <v>0</v>
      </c>
      <c r="R46" s="21">
        <v>1000</v>
      </c>
      <c r="S46" s="22"/>
      <c r="T46" s="18">
        <f t="shared" si="14"/>
        <v>0</v>
      </c>
      <c r="U46" s="18"/>
      <c r="V46" s="38">
        <f t="shared" si="16"/>
        <v>58660</v>
      </c>
    </row>
    <row r="47" spans="1:22" ht="19.5" customHeight="1">
      <c r="A47" s="24">
        <v>12</v>
      </c>
      <c r="B47" s="39" t="s">
        <v>41</v>
      </c>
      <c r="C47" s="11">
        <v>5840</v>
      </c>
      <c r="D47" s="12">
        <v>21</v>
      </c>
      <c r="E47" s="13">
        <f t="shared" si="9"/>
        <v>122640</v>
      </c>
      <c r="F47" s="14">
        <v>300</v>
      </c>
      <c r="G47" s="12"/>
      <c r="H47" s="13">
        <f t="shared" si="10"/>
        <v>0</v>
      </c>
      <c r="I47" s="14">
        <v>940</v>
      </c>
      <c r="J47" s="20">
        <v>2</v>
      </c>
      <c r="K47" s="13">
        <f t="shared" si="11"/>
        <v>1880</v>
      </c>
      <c r="L47" s="14">
        <v>130</v>
      </c>
      <c r="M47" s="20">
        <v>42</v>
      </c>
      <c r="N47" s="15">
        <f t="shared" si="12"/>
        <v>5460</v>
      </c>
      <c r="O47" s="11">
        <v>2800</v>
      </c>
      <c r="P47" s="20"/>
      <c r="Q47" s="13">
        <f t="shared" si="13"/>
        <v>0</v>
      </c>
      <c r="R47" s="21">
        <v>1000</v>
      </c>
      <c r="S47" s="22"/>
      <c r="T47" s="18">
        <f t="shared" si="14"/>
        <v>0</v>
      </c>
      <c r="U47" s="18"/>
      <c r="V47" s="38">
        <f t="shared" si="16"/>
        <v>129980</v>
      </c>
    </row>
    <row r="48" spans="1:22" ht="19.5" customHeight="1">
      <c r="A48" s="24">
        <v>13</v>
      </c>
      <c r="B48" s="39" t="s">
        <v>42</v>
      </c>
      <c r="C48" s="11">
        <v>5840</v>
      </c>
      <c r="D48" s="12">
        <v>19</v>
      </c>
      <c r="E48" s="13">
        <f t="shared" si="9"/>
        <v>110960</v>
      </c>
      <c r="F48" s="14">
        <v>300</v>
      </c>
      <c r="G48" s="12"/>
      <c r="H48" s="13">
        <f t="shared" si="10"/>
        <v>0</v>
      </c>
      <c r="I48" s="14">
        <v>940</v>
      </c>
      <c r="J48" s="20">
        <v>4</v>
      </c>
      <c r="K48" s="13">
        <f t="shared" si="11"/>
        <v>3760</v>
      </c>
      <c r="L48" s="14">
        <v>130</v>
      </c>
      <c r="M48" s="20">
        <v>38</v>
      </c>
      <c r="N48" s="15">
        <f t="shared" si="12"/>
        <v>4940</v>
      </c>
      <c r="O48" s="11">
        <v>2800</v>
      </c>
      <c r="P48" s="20"/>
      <c r="Q48" s="13">
        <f t="shared" si="13"/>
        <v>0</v>
      </c>
      <c r="R48" s="21">
        <v>1001</v>
      </c>
      <c r="S48" s="22"/>
      <c r="T48" s="18">
        <f t="shared" si="14"/>
        <v>0</v>
      </c>
      <c r="U48" s="18"/>
      <c r="V48" s="38">
        <f t="shared" si="16"/>
        <v>119660</v>
      </c>
    </row>
    <row r="49" spans="1:22" ht="19.5" customHeight="1">
      <c r="A49" s="24">
        <v>14</v>
      </c>
      <c r="B49" s="39" t="s">
        <v>43</v>
      </c>
      <c r="C49" s="11">
        <v>5840</v>
      </c>
      <c r="D49" s="12">
        <v>23</v>
      </c>
      <c r="E49" s="13">
        <f t="shared" si="9"/>
        <v>134320</v>
      </c>
      <c r="F49" s="14">
        <v>300</v>
      </c>
      <c r="G49" s="12"/>
      <c r="H49" s="13">
        <f t="shared" si="10"/>
        <v>0</v>
      </c>
      <c r="I49" s="14">
        <v>940</v>
      </c>
      <c r="J49" s="20"/>
      <c r="K49" s="13">
        <f t="shared" si="11"/>
        <v>0</v>
      </c>
      <c r="L49" s="14">
        <v>130</v>
      </c>
      <c r="M49" s="20">
        <v>46</v>
      </c>
      <c r="N49" s="15">
        <f t="shared" si="12"/>
        <v>5980</v>
      </c>
      <c r="O49" s="11">
        <v>2800</v>
      </c>
      <c r="P49" s="20"/>
      <c r="Q49" s="13">
        <f t="shared" si="13"/>
        <v>0</v>
      </c>
      <c r="R49" s="21">
        <v>1001</v>
      </c>
      <c r="S49" s="22"/>
      <c r="T49" s="18">
        <f t="shared" si="14"/>
        <v>0</v>
      </c>
      <c r="U49" s="18">
        <v>9300</v>
      </c>
      <c r="V49" s="38">
        <f t="shared" si="16"/>
        <v>131000</v>
      </c>
    </row>
    <row r="50" spans="1:22" ht="19.5" customHeight="1">
      <c r="A50" s="24">
        <v>15</v>
      </c>
      <c r="B50" s="39" t="s">
        <v>44</v>
      </c>
      <c r="C50" s="11">
        <v>5840</v>
      </c>
      <c r="D50" s="12">
        <v>14</v>
      </c>
      <c r="E50" s="13">
        <f t="shared" si="9"/>
        <v>81760</v>
      </c>
      <c r="F50" s="14">
        <v>300</v>
      </c>
      <c r="G50" s="12"/>
      <c r="H50" s="13">
        <f t="shared" si="10"/>
        <v>0</v>
      </c>
      <c r="I50" s="14">
        <v>940</v>
      </c>
      <c r="J50" s="20"/>
      <c r="K50" s="13">
        <f t="shared" si="11"/>
        <v>0</v>
      </c>
      <c r="L50" s="14">
        <v>130</v>
      </c>
      <c r="M50" s="20"/>
      <c r="N50" s="15">
        <f t="shared" si="12"/>
        <v>0</v>
      </c>
      <c r="O50" s="11">
        <v>2800</v>
      </c>
      <c r="P50" s="20"/>
      <c r="Q50" s="13">
        <f t="shared" si="13"/>
        <v>0</v>
      </c>
      <c r="R50" s="21">
        <v>1002</v>
      </c>
      <c r="S50" s="22"/>
      <c r="T50" s="18">
        <f t="shared" si="14"/>
        <v>0</v>
      </c>
      <c r="U50" s="18"/>
      <c r="V50" s="38">
        <f t="shared" si="16"/>
        <v>81760</v>
      </c>
    </row>
    <row r="51" spans="1:22" ht="19.5" customHeight="1">
      <c r="A51" s="24">
        <v>16</v>
      </c>
      <c r="B51" s="39" t="s">
        <v>55</v>
      </c>
      <c r="C51" s="11">
        <v>5840</v>
      </c>
      <c r="D51" s="12">
        <v>12</v>
      </c>
      <c r="E51" s="13">
        <f t="shared" si="9"/>
        <v>70080</v>
      </c>
      <c r="F51" s="14">
        <v>300</v>
      </c>
      <c r="G51" s="12"/>
      <c r="H51" s="13">
        <f t="shared" si="10"/>
        <v>0</v>
      </c>
      <c r="I51" s="14">
        <v>940</v>
      </c>
      <c r="J51" s="20"/>
      <c r="K51" s="13">
        <f t="shared" si="11"/>
        <v>0</v>
      </c>
      <c r="L51" s="14">
        <v>130</v>
      </c>
      <c r="M51" s="20">
        <v>24</v>
      </c>
      <c r="N51" s="15">
        <f t="shared" si="12"/>
        <v>3120</v>
      </c>
      <c r="O51" s="11">
        <v>2800</v>
      </c>
      <c r="P51" s="20"/>
      <c r="Q51" s="13">
        <f t="shared" si="13"/>
        <v>0</v>
      </c>
      <c r="R51" s="21">
        <v>1001</v>
      </c>
      <c r="S51" s="22"/>
      <c r="T51" s="18">
        <f t="shared" si="14"/>
        <v>0</v>
      </c>
      <c r="U51" s="18"/>
      <c r="V51" s="38">
        <f t="shared" si="16"/>
        <v>73200</v>
      </c>
    </row>
    <row r="52" spans="1:22" ht="19.5" customHeight="1">
      <c r="A52" s="24">
        <v>17</v>
      </c>
      <c r="B52" s="39" t="s">
        <v>56</v>
      </c>
      <c r="C52" s="11">
        <v>5840</v>
      </c>
      <c r="D52" s="12">
        <v>6</v>
      </c>
      <c r="E52" s="13">
        <f t="shared" si="9"/>
        <v>35040</v>
      </c>
      <c r="F52" s="14">
        <v>300</v>
      </c>
      <c r="G52" s="12"/>
      <c r="H52" s="13">
        <f t="shared" si="10"/>
        <v>0</v>
      </c>
      <c r="I52" s="14">
        <v>940</v>
      </c>
      <c r="J52" s="20">
        <v>4</v>
      </c>
      <c r="K52" s="13">
        <f t="shared" si="11"/>
        <v>3760</v>
      </c>
      <c r="L52" s="14">
        <v>130</v>
      </c>
      <c r="M52" s="20">
        <v>12</v>
      </c>
      <c r="N52" s="15">
        <f t="shared" si="12"/>
        <v>1560</v>
      </c>
      <c r="O52" s="11">
        <v>2800</v>
      </c>
      <c r="P52" s="20"/>
      <c r="Q52" s="13">
        <f t="shared" si="13"/>
        <v>0</v>
      </c>
      <c r="R52" s="21">
        <v>1002</v>
      </c>
      <c r="S52" s="22"/>
      <c r="T52" s="18">
        <f t="shared" si="14"/>
        <v>0</v>
      </c>
      <c r="U52" s="18"/>
      <c r="V52" s="38">
        <f t="shared" si="16"/>
        <v>40360</v>
      </c>
    </row>
    <row r="53" spans="1:22" ht="19.5" customHeight="1">
      <c r="A53" s="24">
        <v>18</v>
      </c>
      <c r="B53" s="39" t="s">
        <v>45</v>
      </c>
      <c r="C53" s="11">
        <v>8040</v>
      </c>
      <c r="D53" s="12">
        <v>22</v>
      </c>
      <c r="E53" s="13">
        <f t="shared" si="9"/>
        <v>176880</v>
      </c>
      <c r="F53" s="14">
        <v>300</v>
      </c>
      <c r="G53" s="12"/>
      <c r="H53" s="13">
        <f t="shared" si="10"/>
        <v>0</v>
      </c>
      <c r="I53" s="14">
        <v>940</v>
      </c>
      <c r="J53" s="20">
        <v>1</v>
      </c>
      <c r="K53" s="13">
        <f t="shared" si="11"/>
        <v>940</v>
      </c>
      <c r="L53" s="14">
        <v>130</v>
      </c>
      <c r="M53" s="20">
        <v>44</v>
      </c>
      <c r="N53" s="15">
        <f t="shared" si="12"/>
        <v>5720</v>
      </c>
      <c r="O53" s="11">
        <v>2800</v>
      </c>
      <c r="P53" s="20"/>
      <c r="Q53" s="13">
        <f t="shared" si="13"/>
        <v>0</v>
      </c>
      <c r="R53" s="21">
        <v>1000</v>
      </c>
      <c r="S53" s="22"/>
      <c r="T53" s="18">
        <f t="shared" si="14"/>
        <v>0</v>
      </c>
      <c r="U53" s="18"/>
      <c r="V53" s="38">
        <f t="shared" si="16"/>
        <v>183540</v>
      </c>
    </row>
    <row r="54" spans="1:22" ht="19.5" customHeight="1">
      <c r="A54" s="24">
        <v>19</v>
      </c>
      <c r="B54" s="39" t="s">
        <v>46</v>
      </c>
      <c r="C54" s="11">
        <v>8040</v>
      </c>
      <c r="D54" s="12">
        <v>23</v>
      </c>
      <c r="E54" s="13">
        <f t="shared" si="9"/>
        <v>184920</v>
      </c>
      <c r="F54" s="14">
        <v>300</v>
      </c>
      <c r="G54" s="12"/>
      <c r="H54" s="13">
        <f t="shared" si="10"/>
        <v>0</v>
      </c>
      <c r="I54" s="14">
        <v>940</v>
      </c>
      <c r="J54" s="20"/>
      <c r="K54" s="13">
        <f t="shared" si="11"/>
        <v>0</v>
      </c>
      <c r="L54" s="14">
        <v>130</v>
      </c>
      <c r="M54" s="20">
        <v>46</v>
      </c>
      <c r="N54" s="15">
        <f t="shared" si="12"/>
        <v>5980</v>
      </c>
      <c r="O54" s="11">
        <v>2800</v>
      </c>
      <c r="P54" s="20"/>
      <c r="Q54" s="13">
        <f t="shared" si="13"/>
        <v>0</v>
      </c>
      <c r="R54" s="21">
        <v>1000</v>
      </c>
      <c r="S54" s="22"/>
      <c r="T54" s="18">
        <f t="shared" si="14"/>
        <v>0</v>
      </c>
      <c r="U54" s="18"/>
      <c r="V54" s="38">
        <f t="shared" si="16"/>
        <v>190900</v>
      </c>
    </row>
    <row r="55" spans="1:22" ht="19.5" customHeight="1">
      <c r="A55" s="24">
        <v>20</v>
      </c>
      <c r="B55" s="39" t="s">
        <v>47</v>
      </c>
      <c r="C55" s="11">
        <v>8040</v>
      </c>
      <c r="D55" s="12">
        <v>21</v>
      </c>
      <c r="E55" s="13">
        <f t="shared" si="9"/>
        <v>168840</v>
      </c>
      <c r="F55" s="14">
        <v>300</v>
      </c>
      <c r="G55" s="12"/>
      <c r="H55" s="13">
        <f t="shared" si="10"/>
        <v>0</v>
      </c>
      <c r="I55" s="14">
        <v>940</v>
      </c>
      <c r="J55" s="20">
        <v>2</v>
      </c>
      <c r="K55" s="13">
        <f t="shared" si="11"/>
        <v>1880</v>
      </c>
      <c r="L55" s="14">
        <v>130</v>
      </c>
      <c r="M55" s="20"/>
      <c r="N55" s="15">
        <f t="shared" si="12"/>
        <v>0</v>
      </c>
      <c r="O55" s="11">
        <v>2800</v>
      </c>
      <c r="P55" s="20"/>
      <c r="Q55" s="13">
        <f t="shared" si="13"/>
        <v>0</v>
      </c>
      <c r="R55" s="21"/>
      <c r="S55" s="22"/>
      <c r="T55" s="18">
        <f t="shared" si="14"/>
        <v>0</v>
      </c>
      <c r="U55" s="18"/>
      <c r="V55" s="38">
        <f t="shared" si="16"/>
        <v>170720</v>
      </c>
    </row>
    <row r="56" spans="1:22" ht="19.5" customHeight="1" thickBot="1">
      <c r="A56" s="5"/>
      <c r="B56" s="5"/>
      <c r="C56" s="40">
        <v>5840</v>
      </c>
      <c r="D56" s="41"/>
      <c r="E56" s="42">
        <f t="shared" si="9"/>
        <v>0</v>
      </c>
      <c r="F56" s="43">
        <v>300</v>
      </c>
      <c r="G56" s="41"/>
      <c r="H56" s="42">
        <f t="shared" si="10"/>
        <v>0</v>
      </c>
      <c r="I56" s="43">
        <v>940</v>
      </c>
      <c r="J56" s="41"/>
      <c r="K56" s="42">
        <f t="shared" si="11"/>
        <v>0</v>
      </c>
      <c r="L56" s="43">
        <v>130</v>
      </c>
      <c r="M56" s="41"/>
      <c r="N56" s="44">
        <f t="shared" si="12"/>
        <v>0</v>
      </c>
      <c r="O56" s="40">
        <v>2800</v>
      </c>
      <c r="P56" s="41"/>
      <c r="Q56" s="42">
        <f t="shared" si="13"/>
        <v>0</v>
      </c>
      <c r="R56" s="8"/>
      <c r="S56" s="45"/>
      <c r="T56" s="46">
        <f t="shared" si="14"/>
        <v>0</v>
      </c>
      <c r="U56" s="46"/>
      <c r="V56" s="47">
        <f t="shared" si="16"/>
        <v>0</v>
      </c>
    </row>
    <row r="57" spans="1:22" ht="19.5" customHeight="1" thickTop="1">
      <c r="A57" s="48"/>
      <c r="B57" s="48"/>
      <c r="C57" s="48"/>
      <c r="D57" s="48"/>
      <c r="E57" s="38">
        <f>SUM(E36:E56)</f>
        <v>2154160</v>
      </c>
      <c r="F57" s="38"/>
      <c r="G57" s="38"/>
      <c r="H57" s="38">
        <f>SUM(H36:H56)</f>
        <v>0</v>
      </c>
      <c r="I57" s="38"/>
      <c r="J57" s="38"/>
      <c r="K57" s="38">
        <f>SUM(K36:K56)</f>
        <v>35720</v>
      </c>
      <c r="L57" s="38"/>
      <c r="M57" s="38"/>
      <c r="N57" s="38">
        <f>SUM(N36:N56)</f>
        <v>68900</v>
      </c>
      <c r="O57" s="38"/>
      <c r="P57" s="48"/>
      <c r="Q57" s="38">
        <f>SUM(Q36:Q56)</f>
        <v>0</v>
      </c>
      <c r="R57" s="48"/>
      <c r="S57" s="48"/>
      <c r="T57" s="38">
        <f>SUM(T36:T56)</f>
        <v>0</v>
      </c>
      <c r="U57" s="38">
        <f>SUM(U36:U56)</f>
        <v>18600</v>
      </c>
      <c r="V57" s="38">
        <f>SUM(V36:V56)</f>
        <v>2240180</v>
      </c>
    </row>
    <row r="58" spans="1:22" ht="19.5" customHeight="1"/>
    <row r="59" spans="1:22" s="49" customFormat="1" ht="19.5" customHeight="1">
      <c r="O59" s="106" t="s">
        <v>29</v>
      </c>
      <c r="P59" s="107"/>
      <c r="Q59" s="107"/>
      <c r="R59" s="107"/>
      <c r="S59" s="107"/>
      <c r="T59" s="107"/>
      <c r="U59" s="108"/>
      <c r="V59" s="51">
        <f>V23</f>
        <v>1220000</v>
      </c>
    </row>
    <row r="60" spans="1:22" s="49" customFormat="1" ht="19.5" customHeight="1" thickBot="1">
      <c r="O60" s="109" t="s">
        <v>30</v>
      </c>
      <c r="P60" s="110"/>
      <c r="Q60" s="110"/>
      <c r="R60" s="110"/>
      <c r="S60" s="110"/>
      <c r="T60" s="110"/>
      <c r="U60" s="111"/>
      <c r="V60" s="55">
        <f>V57</f>
        <v>2240180</v>
      </c>
    </row>
    <row r="61" spans="1:22" s="49" customFormat="1" ht="19.5" customHeight="1" thickTop="1">
      <c r="O61" s="112" t="s">
        <v>2</v>
      </c>
      <c r="P61" s="113"/>
      <c r="Q61" s="113"/>
      <c r="R61" s="113"/>
      <c r="S61" s="113"/>
      <c r="T61" s="113"/>
      <c r="U61" s="114"/>
      <c r="V61" s="53">
        <f>V59+V60</f>
        <v>3460180</v>
      </c>
    </row>
  </sheetData>
  <mergeCells count="28">
    <mergeCell ref="O23:U23"/>
    <mergeCell ref="D1:H1"/>
    <mergeCell ref="A2:B2"/>
    <mergeCell ref="A3:B4"/>
    <mergeCell ref="C4:E4"/>
    <mergeCell ref="F4:H4"/>
    <mergeCell ref="I4:K4"/>
    <mergeCell ref="L4:N4"/>
    <mergeCell ref="O4:Q4"/>
    <mergeCell ref="R4:T4"/>
    <mergeCell ref="U4:U5"/>
    <mergeCell ref="V4:V5"/>
    <mergeCell ref="O61:U61"/>
    <mergeCell ref="O24:U24"/>
    <mergeCell ref="O25:U25"/>
    <mergeCell ref="D31:H31"/>
    <mergeCell ref="A32:B32"/>
    <mergeCell ref="A33:B34"/>
    <mergeCell ref="C34:E34"/>
    <mergeCell ref="F34:H34"/>
    <mergeCell ref="I34:K34"/>
    <mergeCell ref="L34:N34"/>
    <mergeCell ref="O34:Q34"/>
    <mergeCell ref="R34:T34"/>
    <mergeCell ref="U34:U35"/>
    <mergeCell ref="V34:V35"/>
    <mergeCell ref="O59:U59"/>
    <mergeCell ref="O60:U60"/>
  </mergeCells>
  <phoneticPr fontId="2"/>
  <pageMargins left="0.39370078740157483" right="0" top="0.15748031496062992" bottom="0" header="0.19685039370078741" footer="0.19685039370078741"/>
  <pageSetup paperSize="9" scale="99" fitToHeight="0" orientation="landscape" r:id="rId1"/>
  <headerFooter>
    <oddHeader>&amp;R&amp;K00-033カイト今治</oddHeader>
  </headerFooter>
  <rowBreaks count="1" manualBreakCount="1">
    <brk id="30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4</vt:i4>
      </vt:variant>
    </vt:vector>
  </HeadingPairs>
  <TitlesOfParts>
    <vt:vector size="12" baseType="lpstr">
      <vt:lpstr>１月（御調）</vt:lpstr>
      <vt:lpstr>２月（御調）</vt:lpstr>
      <vt:lpstr>３月（御調）</vt:lpstr>
      <vt:lpstr>４月（御調）</vt:lpstr>
      <vt:lpstr>5月（御調） (2)</vt:lpstr>
      <vt:lpstr>Sheet4</vt:lpstr>
      <vt:lpstr>5月（御調） (3)</vt:lpstr>
      <vt:lpstr>10月（御調） (4)</vt:lpstr>
      <vt:lpstr>'10月（御調） (4)'!Print_Area</vt:lpstr>
      <vt:lpstr>'１月（御調）'!Print_Area</vt:lpstr>
      <vt:lpstr>'２月（御調）'!Print_Area</vt:lpstr>
      <vt:lpstr>'３月（御調）'!Print_Area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yamauchi</cp:lastModifiedBy>
  <cp:lastPrinted>2017-09-01T05:11:50Z</cp:lastPrinted>
  <dcterms:created xsi:type="dcterms:W3CDTF">2017-05-12T07:03:22Z</dcterms:created>
  <dcterms:modified xsi:type="dcterms:W3CDTF">2017-11-01T06:19:48Z</dcterms:modified>
</cp:coreProperties>
</file>