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2月貢\"/>
    </mc:Choice>
  </mc:AlternateContent>
  <bookViews>
    <workbookView xWindow="0" yWindow="0" windowWidth="28800" windowHeight="11595" firstSheet="5" activeTab="5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5月（御調） (3)" sheetId="10" r:id="rId6"/>
    <sheet name="Sheet4" sheetId="5" r:id="rId7"/>
  </sheets>
  <definedNames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  <definedName name="_xlnm.Print_Area" localSheetId="5">'5月（御調） (3)'!$A$1:$Y$60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7" i="10" l="1"/>
  <c r="J58" i="10"/>
  <c r="J59" i="10"/>
  <c r="J60" i="10"/>
  <c r="J61" i="10"/>
  <c r="J62" i="10"/>
  <c r="J56" i="10"/>
  <c r="H65" i="10"/>
  <c r="K57" i="10"/>
  <c r="K58" i="10"/>
  <c r="K59" i="10"/>
  <c r="K60" i="10"/>
  <c r="K61" i="10"/>
  <c r="K62" i="10"/>
  <c r="K56" i="10"/>
  <c r="H57" i="10"/>
  <c r="H58" i="10"/>
  <c r="H59" i="10"/>
  <c r="H56" i="10"/>
  <c r="G57" i="10"/>
  <c r="G58" i="10"/>
  <c r="G59" i="10"/>
  <c r="G56" i="10"/>
  <c r="E57" i="10"/>
  <c r="E58" i="10"/>
  <c r="E59" i="10"/>
  <c r="E60" i="10"/>
  <c r="E61" i="10"/>
  <c r="E62" i="10"/>
  <c r="E56" i="10"/>
  <c r="C62" i="10"/>
  <c r="C61" i="10"/>
  <c r="C60" i="10"/>
  <c r="C57" i="10"/>
  <c r="C58" i="10"/>
  <c r="C59" i="10"/>
  <c r="C56" i="10"/>
  <c r="J26" i="10" l="1"/>
  <c r="M21" i="10"/>
  <c r="M22" i="10"/>
  <c r="M23" i="10"/>
  <c r="M24" i="10"/>
  <c r="M25" i="10"/>
  <c r="M20" i="10"/>
  <c r="H21" i="10"/>
  <c r="H22" i="10"/>
  <c r="H23" i="10"/>
  <c r="H24" i="10"/>
  <c r="H25" i="10"/>
  <c r="H20" i="10"/>
  <c r="D21" i="10" l="1"/>
  <c r="D22" i="10"/>
  <c r="D23" i="10"/>
  <c r="D24" i="10"/>
  <c r="D25" i="10"/>
  <c r="D20" i="10"/>
  <c r="J21" i="10"/>
  <c r="J22" i="10"/>
  <c r="J20" i="10"/>
  <c r="C22" i="10"/>
  <c r="G22" i="10" s="1"/>
  <c r="C21" i="10"/>
  <c r="G21" i="10" s="1"/>
  <c r="C20" i="10"/>
  <c r="G20" i="10" s="1"/>
  <c r="X51" i="10" l="1"/>
  <c r="X33" i="10"/>
  <c r="V49" i="10"/>
  <c r="S49" i="10"/>
  <c r="O49" i="10"/>
  <c r="P49" i="10" s="1"/>
  <c r="M49" i="10"/>
  <c r="J49" i="10"/>
  <c r="G49" i="10"/>
  <c r="O34" i="10"/>
  <c r="O35" i="10"/>
  <c r="O36" i="10"/>
  <c r="O38" i="10"/>
  <c r="O40" i="10"/>
  <c r="O41" i="10"/>
  <c r="O42" i="10"/>
  <c r="O43" i="10"/>
  <c r="O44" i="10"/>
  <c r="O46" i="10"/>
  <c r="O47" i="10"/>
  <c r="P48" i="10"/>
  <c r="O50" i="10"/>
  <c r="O51" i="10"/>
  <c r="O33" i="10"/>
  <c r="V48" i="10"/>
  <c r="S48" i="10"/>
  <c r="M48" i="10"/>
  <c r="J48" i="10"/>
  <c r="G48" i="10"/>
  <c r="X49" i="10" l="1"/>
  <c r="X48" i="10"/>
  <c r="W54" i="10"/>
  <c r="V53" i="10"/>
  <c r="S53" i="10"/>
  <c r="P53" i="10"/>
  <c r="M53" i="10"/>
  <c r="J53" i="10"/>
  <c r="G53" i="10"/>
  <c r="V52" i="10"/>
  <c r="S52" i="10"/>
  <c r="P52" i="10"/>
  <c r="P54" i="10" s="1"/>
  <c r="M52" i="10"/>
  <c r="J52" i="10"/>
  <c r="G52" i="10"/>
  <c r="V51" i="10"/>
  <c r="S51" i="10"/>
  <c r="P51" i="10"/>
  <c r="M51" i="10"/>
  <c r="J51" i="10"/>
  <c r="G51" i="10"/>
  <c r="V50" i="10"/>
  <c r="S50" i="10"/>
  <c r="P50" i="10"/>
  <c r="M50" i="10"/>
  <c r="J50" i="10"/>
  <c r="G50" i="10"/>
  <c r="V47" i="10"/>
  <c r="S47" i="10"/>
  <c r="P47" i="10"/>
  <c r="M47" i="10"/>
  <c r="J47" i="10"/>
  <c r="G47" i="10"/>
  <c r="V46" i="10"/>
  <c r="S46" i="10"/>
  <c r="P46" i="10"/>
  <c r="M46" i="10"/>
  <c r="J46" i="10"/>
  <c r="G46" i="10"/>
  <c r="V45" i="10"/>
  <c r="S45" i="10"/>
  <c r="P45" i="10"/>
  <c r="M45" i="10"/>
  <c r="J45" i="10"/>
  <c r="G45" i="10"/>
  <c r="V44" i="10"/>
  <c r="S44" i="10"/>
  <c r="P44" i="10"/>
  <c r="M44" i="10"/>
  <c r="J44" i="10"/>
  <c r="G44" i="10"/>
  <c r="V43" i="10"/>
  <c r="S43" i="10"/>
  <c r="P43" i="10"/>
  <c r="M43" i="10"/>
  <c r="J43" i="10"/>
  <c r="G43" i="10"/>
  <c r="V42" i="10"/>
  <c r="S42" i="10"/>
  <c r="P42" i="10"/>
  <c r="M42" i="10"/>
  <c r="J42" i="10"/>
  <c r="G42" i="10"/>
  <c r="V41" i="10"/>
  <c r="S41" i="10"/>
  <c r="P41" i="10"/>
  <c r="M41" i="10"/>
  <c r="J41" i="10"/>
  <c r="G41" i="10"/>
  <c r="V40" i="10"/>
  <c r="S40" i="10"/>
  <c r="P40" i="10"/>
  <c r="M40" i="10"/>
  <c r="J40" i="10"/>
  <c r="G40" i="10"/>
  <c r="V39" i="10"/>
  <c r="S39" i="10"/>
  <c r="P39" i="10"/>
  <c r="M39" i="10"/>
  <c r="J39" i="10"/>
  <c r="G39" i="10"/>
  <c r="V38" i="10"/>
  <c r="S38" i="10"/>
  <c r="P38" i="10"/>
  <c r="M38" i="10"/>
  <c r="J38" i="10"/>
  <c r="G38" i="10"/>
  <c r="V37" i="10"/>
  <c r="S37" i="10"/>
  <c r="P37" i="10"/>
  <c r="M37" i="10"/>
  <c r="J37" i="10"/>
  <c r="G37" i="10"/>
  <c r="V36" i="10"/>
  <c r="S36" i="10"/>
  <c r="P36" i="10"/>
  <c r="M36" i="10"/>
  <c r="J36" i="10"/>
  <c r="G36" i="10"/>
  <c r="V35" i="10"/>
  <c r="S35" i="10"/>
  <c r="P35" i="10"/>
  <c r="M35" i="10"/>
  <c r="J35" i="10"/>
  <c r="G35" i="10"/>
  <c r="V34" i="10"/>
  <c r="S34" i="10"/>
  <c r="P34" i="10"/>
  <c r="M34" i="10"/>
  <c r="J34" i="10"/>
  <c r="G34" i="10"/>
  <c r="V33" i="10"/>
  <c r="S33" i="10"/>
  <c r="S54" i="10" s="1"/>
  <c r="P33" i="10"/>
  <c r="M33" i="10"/>
  <c r="J33" i="10"/>
  <c r="G33" i="10"/>
  <c r="W18" i="10"/>
  <c r="V17" i="10"/>
  <c r="S17" i="10"/>
  <c r="P17" i="10"/>
  <c r="M17" i="10"/>
  <c r="J17" i="10"/>
  <c r="G17" i="10"/>
  <c r="V16" i="10"/>
  <c r="S16" i="10"/>
  <c r="P16" i="10"/>
  <c r="M16" i="10"/>
  <c r="J16" i="10"/>
  <c r="G16" i="10"/>
  <c r="V15" i="10"/>
  <c r="S15" i="10"/>
  <c r="P15" i="10"/>
  <c r="M15" i="10"/>
  <c r="J15" i="10"/>
  <c r="G15" i="10"/>
  <c r="V14" i="10"/>
  <c r="S14" i="10"/>
  <c r="P14" i="10"/>
  <c r="M14" i="10"/>
  <c r="J14" i="10"/>
  <c r="G14" i="10"/>
  <c r="V13" i="10"/>
  <c r="S13" i="10"/>
  <c r="P13" i="10"/>
  <c r="M13" i="10"/>
  <c r="J13" i="10"/>
  <c r="G13" i="10"/>
  <c r="V12" i="10"/>
  <c r="S12" i="10"/>
  <c r="P12" i="10"/>
  <c r="M12" i="10"/>
  <c r="J12" i="10"/>
  <c r="G12" i="10"/>
  <c r="V11" i="10"/>
  <c r="S11" i="10"/>
  <c r="P11" i="10"/>
  <c r="M11" i="10"/>
  <c r="J11" i="10"/>
  <c r="G11" i="10"/>
  <c r="V10" i="10"/>
  <c r="S10" i="10"/>
  <c r="P10" i="10"/>
  <c r="M10" i="10"/>
  <c r="J10" i="10"/>
  <c r="G10" i="10"/>
  <c r="V9" i="10"/>
  <c r="S9" i="10"/>
  <c r="P9" i="10"/>
  <c r="M9" i="10"/>
  <c r="J9" i="10"/>
  <c r="G9" i="10"/>
  <c r="V8" i="10"/>
  <c r="S8" i="10"/>
  <c r="P8" i="10"/>
  <c r="M8" i="10"/>
  <c r="J8" i="10"/>
  <c r="G8" i="10"/>
  <c r="V7" i="10"/>
  <c r="S7" i="10"/>
  <c r="P7" i="10"/>
  <c r="M7" i="10"/>
  <c r="J7" i="10"/>
  <c r="G7" i="10"/>
  <c r="V6" i="10"/>
  <c r="V18" i="10" s="1"/>
  <c r="S6" i="10"/>
  <c r="P6" i="10"/>
  <c r="M6" i="10"/>
  <c r="J6" i="10"/>
  <c r="J18" i="10" s="1"/>
  <c r="G6" i="10"/>
  <c r="G18" i="10" l="1"/>
  <c r="S18" i="10"/>
  <c r="X8" i="10"/>
  <c r="X10" i="10"/>
  <c r="X12" i="10"/>
  <c r="X14" i="10"/>
  <c r="X16" i="10"/>
  <c r="M18" i="10"/>
  <c r="X7" i="10"/>
  <c r="X9" i="10"/>
  <c r="X11" i="10"/>
  <c r="X13" i="10"/>
  <c r="X15" i="10"/>
  <c r="X17" i="10"/>
  <c r="V54" i="10"/>
  <c r="P18" i="10"/>
  <c r="X53" i="10"/>
  <c r="M54" i="10"/>
  <c r="X34" i="10"/>
  <c r="X35" i="10"/>
  <c r="X37" i="10"/>
  <c r="X39" i="10"/>
  <c r="X42" i="10"/>
  <c r="X44" i="10"/>
  <c r="X46" i="10"/>
  <c r="X50" i="10"/>
  <c r="X52" i="10"/>
  <c r="X54" i="10" s="1"/>
  <c r="G54" i="10"/>
  <c r="X36" i="10"/>
  <c r="X38" i="10"/>
  <c r="X40" i="10"/>
  <c r="X41" i="10"/>
  <c r="X43" i="10"/>
  <c r="X45" i="10"/>
  <c r="X47" i="10"/>
  <c r="J54" i="10"/>
  <c r="X6" i="10"/>
  <c r="V35" i="9"/>
  <c r="V37" i="9"/>
  <c r="V40" i="9"/>
  <c r="V44" i="9"/>
  <c r="V45" i="9"/>
  <c r="V47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E18" i="9" s="1"/>
  <c r="X18" i="10" l="1"/>
  <c r="X20" i="10" s="1"/>
  <c r="X56" i="10" s="1"/>
  <c r="X21" i="10"/>
  <c r="H54" i="9"/>
  <c r="V48" i="9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X22" i="10" l="1"/>
  <c r="X57" i="10"/>
  <c r="X58" i="10" s="1"/>
  <c r="V54" i="9"/>
  <c r="V21" i="9" s="1"/>
  <c r="V22" i="9" s="1"/>
  <c r="V56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57" i="9" l="1"/>
  <c r="V58" i="9" s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<sst xmlns="http://schemas.openxmlformats.org/spreadsheetml/2006/main" count="429" uniqueCount="59">
  <si>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</si>
  <si>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</si>
  <si>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</si>
  <si>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</si>
  <si>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</si>
  <si>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</si>
  <si>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</si>
  <si>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</si>
  <si>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</si>
  <si>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</si>
  <si>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</si>
  <si>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</si>
  <si>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</si>
  <si>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</si>
  <si>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</si>
  <si>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</si>
  <si>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</si>
  <si>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</si>
  <si>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</si>
  <si>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</si>
  <si>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</si>
  <si>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</si>
  <si>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</si>
  <si>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</si>
  <si>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</si>
  <si>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</si>
  <si>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</si>
  <si>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</si>
  <si>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</si>
  <si>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</si>
  <si>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</si>
  <si>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</si>
  <si>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</si>
  <si>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</si>
  <si>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</si>
  <si>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</si>
  <si>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</si>
  <si>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</si>
  <si>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</si>
  <si>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</si>
  <si>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</si>
  <si>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</si>
  <si>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</si>
  <si>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</si>
  <si>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</si>
  <si>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</si>
  <si>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</si>
  <si>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</si>
  <si>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</si>
  <si>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</si>
  <si>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</si>
  <si>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</si>
  <si>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</si>
  <si>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</si>
  <si>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</si>
  <si>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</si>
  <si>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</si>
  <si>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宇江寿江</t>
    <phoneticPr fontId="2"/>
  </si>
  <si>
    <t>＝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</si>
</sst>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0.0%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7" fillId="0" borderId="2" xfId="0" applyFont="1" applyBorder="1" applyAlignment="1">
      <alignment vertical="center" shrinkToFit="1"/>
    </xf>
    <xf numFmtId="176" fontId="0" fillId="0" borderId="0" xfId="3" applyNumberFormat="1" applyFont="1" applyAlignment="1">
      <alignment vertical="center" shrinkToFit="1"/>
    </xf>
    <xf numFmtId="38" fontId="8" fillId="0" borderId="0" xfId="1" applyFont="1" applyAlignment="1">
      <alignment vertical="center" shrinkToFit="1"/>
    </xf>
    <xf numFmtId="6" fontId="18" fillId="3" borderId="2" xfId="2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38" fontId="0" fillId="0" borderId="0" xfId="1" applyFont="1" applyAlignment="1">
      <alignment vertical="center" shrinkToFit="1"/>
    </xf>
    <xf numFmtId="38" fontId="18" fillId="0" borderId="0" xfId="1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38" fontId="18" fillId="0" borderId="0" xfId="1" applyFont="1" applyAlignment="1">
      <alignment horizontal="center" vertical="center" shrinkToFit="1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17.25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>
      <c r="D1" s="91" t="s">
        <v>12</v>
      </c>
      <c r="E1" s="92"/>
      <c r="F1" s="92"/>
      <c r="G1" s="92"/>
      <c r="H1" s="92"/>
    </row>
    <row r="2" spans="1:22" ht="18" customHeight="1">
      <c r="B2" s="1" t="s">
        <v>11</v>
      </c>
    </row>
    <row r="3" spans="1:22">
      <c r="A3" s="93" t="s">
        <v>51</v>
      </c>
      <c r="B3" s="94"/>
    </row>
    <row r="4" spans="1:22" ht="20.25" customHeight="1">
      <c r="A4" s="95"/>
      <c r="B4" s="96"/>
      <c r="C4" s="82" t="s">
        <v>9</v>
      </c>
      <c r="D4" s="83"/>
      <c r="E4" s="84"/>
      <c r="F4" s="82" t="s">
        <v>8</v>
      </c>
      <c r="G4" s="83"/>
      <c r="H4" s="84"/>
      <c r="I4" s="82" t="s">
        <v>7</v>
      </c>
      <c r="J4" s="83"/>
      <c r="K4" s="84"/>
      <c r="L4" s="82" t="s">
        <v>6</v>
      </c>
      <c r="M4" s="83"/>
      <c r="N4" s="84"/>
      <c r="O4" s="82" t="s">
        <v>5</v>
      </c>
      <c r="P4" s="83"/>
      <c r="Q4" s="84"/>
      <c r="R4" s="82" t="s">
        <v>4</v>
      </c>
      <c r="S4" s="83"/>
      <c r="T4" s="84"/>
      <c r="U4" s="85" t="s">
        <v>3</v>
      </c>
      <c r="V4" s="87" t="s">
        <v>2</v>
      </c>
    </row>
    <row r="5" spans="1:22" ht="25.5" customHeight="1" thickBot="1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6"/>
      <c r="V5" s="88"/>
    </row>
    <row r="6" spans="1:22" ht="26.25" customHeight="1" thickTop="1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>
      <c r="N21" s="28"/>
      <c r="O21" s="97" t="s">
        <v>29</v>
      </c>
      <c r="P21" s="97"/>
      <c r="Q21" s="97"/>
      <c r="R21" s="29"/>
      <c r="S21" s="29"/>
      <c r="T21" s="29"/>
      <c r="U21" s="29"/>
      <c r="V21" s="61">
        <f>V19</f>
        <v>1393720</v>
      </c>
    </row>
    <row r="22" spans="1:22" ht="26.25" customHeight="1" thickBot="1">
      <c r="N22" s="36"/>
      <c r="O22" s="98" t="s">
        <v>30</v>
      </c>
      <c r="P22" s="98"/>
      <c r="Q22" s="98"/>
      <c r="R22" s="31"/>
      <c r="S22" s="31"/>
      <c r="T22" s="31"/>
      <c r="U22" s="31"/>
      <c r="V22" s="62">
        <f>V52</f>
        <v>1326740</v>
      </c>
    </row>
    <row r="23" spans="1:22" ht="26.25" customHeight="1" thickTop="1">
      <c r="N23" s="36"/>
      <c r="O23" s="99" t="s">
        <v>2</v>
      </c>
      <c r="P23" s="99"/>
      <c r="Q23" s="99"/>
      <c r="R23" s="33"/>
      <c r="S23" s="33"/>
      <c r="T23" s="33"/>
      <c r="U23" s="33"/>
      <c r="V23" s="64">
        <f>V21+V22</f>
        <v>2720460</v>
      </c>
    </row>
    <row r="24" spans="1:22" ht="0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/>
    <row r="27" spans="1:22" hidden="1"/>
    <row r="28" spans="1:22" ht="27" customHeight="1">
      <c r="D28" s="91" t="s">
        <v>12</v>
      </c>
      <c r="E28" s="92"/>
      <c r="F28" s="92"/>
      <c r="G28" s="92"/>
      <c r="H28" s="92"/>
      <c r="K28" s="1"/>
      <c r="N28" s="1"/>
    </row>
    <row r="29" spans="1:22" ht="18" customHeight="1">
      <c r="B29" s="1" t="s">
        <v>16</v>
      </c>
      <c r="E29" s="1"/>
      <c r="H29" s="1"/>
      <c r="K29" s="1"/>
      <c r="N29" s="1"/>
    </row>
    <row r="30" spans="1:22" ht="13.5">
      <c r="A30" s="93" t="s">
        <v>10</v>
      </c>
      <c r="B30" s="94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3.5">
      <c r="A31" s="95"/>
      <c r="B31" s="96"/>
      <c r="C31" s="82" t="s">
        <v>9</v>
      </c>
      <c r="D31" s="83"/>
      <c r="E31" s="84"/>
      <c r="F31" s="82" t="s">
        <v>8</v>
      </c>
      <c r="G31" s="83"/>
      <c r="H31" s="84"/>
      <c r="I31" s="82" t="s">
        <v>7</v>
      </c>
      <c r="J31" s="83"/>
      <c r="K31" s="84"/>
      <c r="L31" s="82" t="s">
        <v>6</v>
      </c>
      <c r="M31" s="83"/>
      <c r="N31" s="84"/>
      <c r="O31" s="82" t="s">
        <v>5</v>
      </c>
      <c r="P31" s="83"/>
      <c r="Q31" s="84"/>
      <c r="R31" s="82" t="s">
        <v>4</v>
      </c>
      <c r="S31" s="83"/>
      <c r="T31" s="84"/>
      <c r="U31" s="85" t="s">
        <v>3</v>
      </c>
      <c r="V31" s="87" t="s">
        <v>2</v>
      </c>
    </row>
    <row r="32" spans="1:22" ht="14.25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6"/>
      <c r="V32" s="88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9" t="s">
        <v>29</v>
      </c>
      <c r="P54" s="89"/>
      <c r="Q54" s="89"/>
      <c r="R54" s="50"/>
      <c r="S54" s="50"/>
      <c r="T54" s="50"/>
      <c r="U54" s="50"/>
      <c r="V54" s="51">
        <f>V21</f>
        <v>1393720</v>
      </c>
    </row>
    <row r="55" spans="1:22" ht="19.5" customHeight="1" thickBot="1">
      <c r="E55" s="1"/>
      <c r="H55" s="1"/>
      <c r="K55" s="1"/>
      <c r="N55" s="63"/>
      <c r="O55" s="90" t="s">
        <v>30</v>
      </c>
      <c r="P55" s="90"/>
      <c r="Q55" s="90"/>
      <c r="R55" s="54"/>
      <c r="S55" s="54"/>
      <c r="T55" s="54"/>
      <c r="U55" s="54"/>
      <c r="V55" s="55">
        <f>V52</f>
        <v>1326740</v>
      </c>
    </row>
    <row r="56" spans="1:22" ht="19.5" customHeight="1" thickTop="1">
      <c r="E56" s="1"/>
      <c r="H56" s="1"/>
      <c r="K56" s="1"/>
      <c r="N56" s="66"/>
      <c r="O56" s="81" t="s">
        <v>2</v>
      </c>
      <c r="P56" s="81"/>
      <c r="Q56" s="81"/>
      <c r="R56" s="52"/>
      <c r="S56" s="52"/>
      <c r="T56" s="52"/>
      <c r="U56" s="52"/>
      <c r="V56" s="53">
        <f>V54+V55</f>
        <v>2720460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D1:H1"/>
    <mergeCell ref="A3:B4"/>
    <mergeCell ref="C4:E4"/>
    <mergeCell ref="F4:H4"/>
    <mergeCell ref="I4:K4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28:H28"/>
    <mergeCell ref="A30:B31"/>
    <mergeCell ref="C31:E31"/>
    <mergeCell ref="F31:H31"/>
    <mergeCell ref="I31:K31"/>
    <mergeCell ref="O56:Q56"/>
    <mergeCell ref="O31:Q31"/>
    <mergeCell ref="R31:T31"/>
    <mergeCell ref="U31:U32"/>
    <mergeCell ref="V31:V32"/>
    <mergeCell ref="O54:Q54"/>
    <mergeCell ref="O55:Q55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91" t="s">
        <v>12</v>
      </c>
      <c r="E1" s="92"/>
      <c r="F1" s="92"/>
      <c r="G1" s="92"/>
      <c r="H1" s="92"/>
    </row>
    <row r="2" spans="1:22" ht="18" customHeight="1">
      <c r="B2" s="1" t="s">
        <v>11</v>
      </c>
    </row>
    <row r="3" spans="1:22">
      <c r="A3" s="93" t="s">
        <v>50</v>
      </c>
      <c r="B3" s="94"/>
    </row>
    <row r="4" spans="1:22" ht="20.25" customHeight="1">
      <c r="A4" s="95"/>
      <c r="B4" s="96"/>
      <c r="C4" s="82" t="s">
        <v>9</v>
      </c>
      <c r="D4" s="83"/>
      <c r="E4" s="84"/>
      <c r="F4" s="82" t="s">
        <v>8</v>
      </c>
      <c r="G4" s="83"/>
      <c r="H4" s="84"/>
      <c r="I4" s="82" t="s">
        <v>7</v>
      </c>
      <c r="J4" s="83"/>
      <c r="K4" s="84"/>
      <c r="L4" s="82" t="s">
        <v>6</v>
      </c>
      <c r="M4" s="83"/>
      <c r="N4" s="84"/>
      <c r="O4" s="82" t="s">
        <v>5</v>
      </c>
      <c r="P4" s="83"/>
      <c r="Q4" s="84"/>
      <c r="R4" s="82" t="s">
        <v>4</v>
      </c>
      <c r="S4" s="83"/>
      <c r="T4" s="84"/>
      <c r="U4" s="85" t="s">
        <v>3</v>
      </c>
      <c r="V4" s="87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6"/>
      <c r="V5" s="88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>
      <c r="N20" s="28"/>
      <c r="O20" s="97" t="s">
        <v>29</v>
      </c>
      <c r="P20" s="97"/>
      <c r="Q20" s="97"/>
      <c r="R20" s="29"/>
      <c r="S20" s="29"/>
      <c r="T20" s="29"/>
      <c r="U20" s="29"/>
      <c r="V20" s="61">
        <f>V18</f>
        <v>1351440</v>
      </c>
    </row>
    <row r="21" spans="1:22" ht="30" customHeight="1" thickBot="1">
      <c r="N21" s="36"/>
      <c r="O21" s="98" t="s">
        <v>30</v>
      </c>
      <c r="P21" s="98"/>
      <c r="Q21" s="98"/>
      <c r="R21" s="31"/>
      <c r="S21" s="31"/>
      <c r="T21" s="31"/>
      <c r="U21" s="31"/>
      <c r="V21" s="62">
        <f>V52</f>
        <v>1399020</v>
      </c>
    </row>
    <row r="22" spans="1:22" ht="30" customHeight="1" thickTop="1">
      <c r="N22" s="36"/>
      <c r="O22" s="99" t="s">
        <v>2</v>
      </c>
      <c r="P22" s="99"/>
      <c r="Q22" s="99"/>
      <c r="R22" s="33"/>
      <c r="S22" s="33"/>
      <c r="T22" s="33"/>
      <c r="U22" s="33"/>
      <c r="V22" s="64">
        <f>V20+V21</f>
        <v>2750460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/>
    <row r="26" spans="1:22" hidden="1"/>
    <row r="27" spans="1:22" hidden="1"/>
    <row r="28" spans="1:22" ht="27" customHeight="1">
      <c r="D28" s="91" t="s">
        <v>12</v>
      </c>
      <c r="E28" s="92"/>
      <c r="F28" s="92"/>
      <c r="G28" s="92"/>
      <c r="H28" s="92"/>
    </row>
    <row r="29" spans="1:22" ht="18" customHeight="1">
      <c r="B29" s="1" t="s">
        <v>11</v>
      </c>
    </row>
    <row r="30" spans="1:22" ht="21.75" customHeight="1">
      <c r="A30" s="93" t="s">
        <v>48</v>
      </c>
      <c r="B30" s="94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>
      <c r="A31" s="95"/>
      <c r="B31" s="96"/>
      <c r="C31" s="82" t="s">
        <v>9</v>
      </c>
      <c r="D31" s="83"/>
      <c r="E31" s="84"/>
      <c r="F31" s="82" t="s">
        <v>8</v>
      </c>
      <c r="G31" s="83"/>
      <c r="H31" s="84"/>
      <c r="I31" s="82" t="s">
        <v>7</v>
      </c>
      <c r="J31" s="83"/>
      <c r="K31" s="84"/>
      <c r="L31" s="82" t="s">
        <v>6</v>
      </c>
      <c r="M31" s="83"/>
      <c r="N31" s="84"/>
      <c r="O31" s="82" t="s">
        <v>5</v>
      </c>
      <c r="P31" s="83"/>
      <c r="Q31" s="84"/>
      <c r="R31" s="82" t="s">
        <v>4</v>
      </c>
      <c r="S31" s="83"/>
      <c r="T31" s="84"/>
      <c r="U31" s="85" t="s">
        <v>3</v>
      </c>
      <c r="V31" s="87" t="s">
        <v>2</v>
      </c>
    </row>
    <row r="32" spans="1:22" ht="21.75" customHeight="1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6"/>
      <c r="V32" s="88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9" t="s">
        <v>29</v>
      </c>
      <c r="P54" s="89"/>
      <c r="Q54" s="89"/>
      <c r="R54" s="50"/>
      <c r="S54" s="50"/>
      <c r="T54" s="50"/>
      <c r="U54" s="50"/>
      <c r="V54" s="51">
        <f>V20</f>
        <v>1351440</v>
      </c>
    </row>
    <row r="55" spans="1:22" ht="19.5" customHeight="1" thickBot="1">
      <c r="E55" s="1"/>
      <c r="H55" s="1"/>
      <c r="K55" s="1"/>
      <c r="N55" s="63"/>
      <c r="O55" s="90" t="s">
        <v>30</v>
      </c>
      <c r="P55" s="90"/>
      <c r="Q55" s="90"/>
      <c r="R55" s="54"/>
      <c r="S55" s="54"/>
      <c r="T55" s="54"/>
      <c r="U55" s="54"/>
      <c r="V55" s="55">
        <f>V52</f>
        <v>1399020</v>
      </c>
    </row>
    <row r="56" spans="1:22" ht="19.5" customHeight="1" thickTop="1">
      <c r="E56" s="1"/>
      <c r="H56" s="1"/>
      <c r="K56" s="1"/>
      <c r="N56" s="66"/>
      <c r="O56" s="81" t="s">
        <v>2</v>
      </c>
      <c r="P56" s="81"/>
      <c r="Q56" s="81"/>
      <c r="R56" s="52"/>
      <c r="S56" s="52"/>
      <c r="T56" s="52"/>
      <c r="U56" s="52"/>
      <c r="V56" s="53">
        <f>V54+V55</f>
        <v>2750460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L4:N4"/>
    <mergeCell ref="O4:Q4"/>
    <mergeCell ref="D1:H1"/>
    <mergeCell ref="A3:B4"/>
    <mergeCell ref="C4:E4"/>
    <mergeCell ref="F4:H4"/>
    <mergeCell ref="I4:K4"/>
    <mergeCell ref="R4:T4"/>
    <mergeCell ref="U4:U5"/>
    <mergeCell ref="V4:V5"/>
    <mergeCell ref="O20:Q20"/>
    <mergeCell ref="U31:U32"/>
    <mergeCell ref="V31:V32"/>
    <mergeCell ref="O21:Q21"/>
    <mergeCell ref="O22:Q22"/>
    <mergeCell ref="D28:H28"/>
    <mergeCell ref="A30:B31"/>
    <mergeCell ref="C31:E31"/>
    <mergeCell ref="F31:H31"/>
    <mergeCell ref="I31:K31"/>
    <mergeCell ref="O55:Q55"/>
    <mergeCell ref="O56:Q56"/>
    <mergeCell ref="L31:N31"/>
    <mergeCell ref="O31:Q31"/>
    <mergeCell ref="R31:T31"/>
    <mergeCell ref="O54:Q5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91" t="s">
        <v>12</v>
      </c>
      <c r="E1" s="92"/>
      <c r="F1" s="92"/>
      <c r="G1" s="92"/>
      <c r="H1" s="92"/>
    </row>
    <row r="2" spans="1:22" ht="18" customHeight="1">
      <c r="B2" s="1" t="s">
        <v>13</v>
      </c>
    </row>
    <row r="3" spans="1:22">
      <c r="A3" s="93" t="s">
        <v>10</v>
      </c>
      <c r="B3" s="94"/>
    </row>
    <row r="4" spans="1:22" ht="13.5">
      <c r="A4" s="95"/>
      <c r="B4" s="96"/>
      <c r="C4" s="82" t="s">
        <v>9</v>
      </c>
      <c r="D4" s="83"/>
      <c r="E4" s="84"/>
      <c r="F4" s="82" t="s">
        <v>8</v>
      </c>
      <c r="G4" s="83"/>
      <c r="H4" s="84"/>
      <c r="I4" s="82" t="s">
        <v>7</v>
      </c>
      <c r="J4" s="83"/>
      <c r="K4" s="84"/>
      <c r="L4" s="82" t="s">
        <v>6</v>
      </c>
      <c r="M4" s="83"/>
      <c r="N4" s="84"/>
      <c r="O4" s="82" t="s">
        <v>5</v>
      </c>
      <c r="P4" s="83"/>
      <c r="Q4" s="84"/>
      <c r="R4" s="82" t="s">
        <v>4</v>
      </c>
      <c r="S4" s="83"/>
      <c r="T4" s="84"/>
      <c r="U4" s="85" t="s">
        <v>3</v>
      </c>
      <c r="V4" s="87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6"/>
      <c r="V5" s="88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>
      <c r="N20" s="28"/>
      <c r="O20" s="97" t="s">
        <v>29</v>
      </c>
      <c r="P20" s="97"/>
      <c r="Q20" s="97"/>
      <c r="R20" s="29"/>
      <c r="S20" s="29"/>
      <c r="T20" s="29"/>
      <c r="U20" s="29"/>
      <c r="V20" s="61">
        <f>V18</f>
        <v>1384800</v>
      </c>
    </row>
    <row r="21" spans="1:22" ht="30" customHeight="1" thickBot="1">
      <c r="N21" s="36"/>
      <c r="O21" s="98" t="s">
        <v>30</v>
      </c>
      <c r="P21" s="98"/>
      <c r="Q21" s="98"/>
      <c r="R21" s="31"/>
      <c r="S21" s="31"/>
      <c r="T21" s="31"/>
      <c r="U21" s="31"/>
      <c r="V21" s="62">
        <f>V52</f>
        <v>2110520</v>
      </c>
    </row>
    <row r="22" spans="1:22" ht="30" customHeight="1" thickTop="1">
      <c r="N22" s="36"/>
      <c r="O22" s="99" t="s">
        <v>2</v>
      </c>
      <c r="P22" s="99"/>
      <c r="Q22" s="99"/>
      <c r="R22" s="33"/>
      <c r="S22" s="33"/>
      <c r="T22" s="33"/>
      <c r="U22" s="33"/>
      <c r="V22" s="64">
        <f>V20+V21</f>
        <v>3495320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/>
    <row r="27" spans="1:22" hidden="1"/>
    <row r="28" spans="1:22" ht="27" customHeight="1">
      <c r="D28" s="91" t="s">
        <v>12</v>
      </c>
      <c r="E28" s="92"/>
      <c r="F28" s="92"/>
      <c r="G28" s="92"/>
      <c r="H28" s="92"/>
    </row>
    <row r="29" spans="1:22" ht="21.75" customHeight="1">
      <c r="A29" s="100" t="s">
        <v>11</v>
      </c>
      <c r="B29" s="100"/>
      <c r="E29" s="1"/>
      <c r="H29" s="1"/>
      <c r="K29" s="1"/>
      <c r="N29" s="1"/>
    </row>
    <row r="30" spans="1:22" ht="21.75" customHeight="1">
      <c r="A30" s="93" t="s">
        <v>49</v>
      </c>
      <c r="B30" s="94"/>
      <c r="E30" s="1"/>
      <c r="H30" s="1"/>
      <c r="K30" s="1"/>
      <c r="N30" s="1"/>
    </row>
    <row r="31" spans="1:22" ht="21.75" customHeight="1">
      <c r="A31" s="95"/>
      <c r="B31" s="96"/>
      <c r="C31" s="82" t="s">
        <v>9</v>
      </c>
      <c r="D31" s="83"/>
      <c r="E31" s="84"/>
      <c r="F31" s="82" t="s">
        <v>8</v>
      </c>
      <c r="G31" s="83"/>
      <c r="H31" s="84"/>
      <c r="I31" s="82" t="s">
        <v>7</v>
      </c>
      <c r="J31" s="83"/>
      <c r="K31" s="84"/>
      <c r="L31" s="82" t="s">
        <v>6</v>
      </c>
      <c r="M31" s="83"/>
      <c r="N31" s="84"/>
      <c r="O31" s="82" t="s">
        <v>5</v>
      </c>
      <c r="P31" s="83"/>
      <c r="Q31" s="84"/>
      <c r="R31" s="82" t="s">
        <v>4</v>
      </c>
      <c r="S31" s="83"/>
      <c r="T31" s="84"/>
      <c r="U31" s="85" t="s">
        <v>3</v>
      </c>
      <c r="V31" s="87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6"/>
      <c r="V32" s="88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9" t="s">
        <v>29</v>
      </c>
      <c r="P54" s="89"/>
      <c r="Q54" s="89"/>
      <c r="R54" s="50"/>
      <c r="S54" s="50"/>
      <c r="T54" s="50"/>
      <c r="U54" s="50"/>
      <c r="V54" s="51">
        <f>V20</f>
        <v>1384800</v>
      </c>
    </row>
    <row r="55" spans="1:22" ht="19.5" customHeight="1" thickBot="1">
      <c r="E55" s="1"/>
      <c r="H55" s="1"/>
      <c r="K55" s="1"/>
      <c r="N55" s="63"/>
      <c r="O55" s="90" t="s">
        <v>30</v>
      </c>
      <c r="P55" s="90"/>
      <c r="Q55" s="90"/>
      <c r="R55" s="54"/>
      <c r="S55" s="54"/>
      <c r="T55" s="54"/>
      <c r="U55" s="54"/>
      <c r="V55" s="55">
        <f>V52</f>
        <v>2110520</v>
      </c>
    </row>
    <row r="56" spans="1:22" ht="19.5" customHeight="1" thickTop="1">
      <c r="E56" s="1"/>
      <c r="H56" s="1"/>
      <c r="K56" s="1"/>
      <c r="N56" s="66"/>
      <c r="O56" s="81" t="s">
        <v>2</v>
      </c>
      <c r="P56" s="81"/>
      <c r="Q56" s="81"/>
      <c r="R56" s="52"/>
      <c r="S56" s="52"/>
      <c r="T56" s="52"/>
      <c r="U56" s="52"/>
      <c r="V56" s="53">
        <f>V54+V55</f>
        <v>3495320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D1:H1"/>
    <mergeCell ref="D28:H28"/>
    <mergeCell ref="A30:B31"/>
    <mergeCell ref="C31:E31"/>
    <mergeCell ref="F31:H31"/>
    <mergeCell ref="I31:K31"/>
    <mergeCell ref="R31:T31"/>
    <mergeCell ref="U31:U32"/>
    <mergeCell ref="V31:V32"/>
    <mergeCell ref="O20:Q20"/>
    <mergeCell ref="O21:Q21"/>
    <mergeCell ref="O22:Q22"/>
    <mergeCell ref="O54:Q54"/>
    <mergeCell ref="O55:Q55"/>
    <mergeCell ref="O56:Q56"/>
    <mergeCell ref="A29:B29"/>
    <mergeCell ref="L31:N31"/>
    <mergeCell ref="O31:Q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>
      <c r="D1" s="91" t="s">
        <v>12</v>
      </c>
      <c r="E1" s="92"/>
      <c r="F1" s="92"/>
      <c r="G1" s="92"/>
      <c r="H1" s="92"/>
    </row>
    <row r="2" spans="1:22" ht="21.75" customHeight="1">
      <c r="A2" s="101" t="s">
        <v>28</v>
      </c>
      <c r="B2" s="101"/>
    </row>
    <row r="3" spans="1:22" ht="21.75" customHeight="1">
      <c r="A3" s="93" t="s">
        <v>10</v>
      </c>
      <c r="B3" s="94"/>
    </row>
    <row r="4" spans="1:22" ht="21.75" customHeight="1">
      <c r="A4" s="95"/>
      <c r="B4" s="96"/>
      <c r="C4" s="82" t="s">
        <v>9</v>
      </c>
      <c r="D4" s="83"/>
      <c r="E4" s="84"/>
      <c r="F4" s="82" t="s">
        <v>8</v>
      </c>
      <c r="G4" s="83"/>
      <c r="H4" s="84"/>
      <c r="I4" s="82" t="s">
        <v>7</v>
      </c>
      <c r="J4" s="83"/>
      <c r="K4" s="84"/>
      <c r="L4" s="82" t="s">
        <v>6</v>
      </c>
      <c r="M4" s="83"/>
      <c r="N4" s="84"/>
      <c r="O4" s="82" t="s">
        <v>5</v>
      </c>
      <c r="P4" s="83"/>
      <c r="Q4" s="84"/>
      <c r="R4" s="82" t="s">
        <v>4</v>
      </c>
      <c r="S4" s="83"/>
      <c r="T4" s="84"/>
      <c r="U4" s="85" t="s">
        <v>3</v>
      </c>
      <c r="V4" s="87" t="s">
        <v>2</v>
      </c>
    </row>
    <row r="5" spans="1:22" ht="21.7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6"/>
      <c r="V5" s="88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/>
    <row r="20" spans="1:22" ht="33" customHeight="1">
      <c r="N20" s="28"/>
      <c r="O20" s="97" t="s">
        <v>29</v>
      </c>
      <c r="P20" s="97"/>
      <c r="Q20" s="97"/>
      <c r="R20" s="29"/>
      <c r="S20" s="29"/>
      <c r="T20" s="29"/>
      <c r="U20" s="29"/>
      <c r="V20" s="30">
        <f>V18</f>
        <v>1220920</v>
      </c>
    </row>
    <row r="21" spans="1:22" ht="33" customHeight="1" thickBot="1">
      <c r="N21" s="28"/>
      <c r="O21" s="98" t="s">
        <v>30</v>
      </c>
      <c r="P21" s="98"/>
      <c r="Q21" s="98"/>
      <c r="R21" s="31"/>
      <c r="S21" s="31"/>
      <c r="T21" s="31"/>
      <c r="U21" s="31"/>
      <c r="V21" s="32">
        <f>V52</f>
        <v>1904320</v>
      </c>
    </row>
    <row r="22" spans="1:22" ht="33" customHeight="1" thickTop="1">
      <c r="N22" s="28"/>
      <c r="O22" s="99" t="s">
        <v>2</v>
      </c>
      <c r="P22" s="99"/>
      <c r="Q22" s="99"/>
      <c r="R22" s="33"/>
      <c r="S22" s="33"/>
      <c r="T22" s="33"/>
      <c r="U22" s="33"/>
      <c r="V22" s="34">
        <f>V20+V21</f>
        <v>3125240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91" t="s">
        <v>12</v>
      </c>
      <c r="E28" s="92"/>
      <c r="F28" s="92"/>
      <c r="G28" s="92"/>
      <c r="H28" s="92"/>
    </row>
    <row r="29" spans="1:22" ht="31.5" customHeight="1">
      <c r="A29" s="100" t="s">
        <v>28</v>
      </c>
      <c r="B29" s="100"/>
      <c r="E29" s="1"/>
      <c r="H29" s="1"/>
      <c r="K29" s="1"/>
      <c r="N29" s="1"/>
    </row>
    <row r="30" spans="1:22" ht="21.75" customHeight="1">
      <c r="A30" s="93" t="s">
        <v>10</v>
      </c>
      <c r="B30" s="94"/>
      <c r="E30" s="1"/>
      <c r="H30" s="1"/>
      <c r="K30" s="1"/>
      <c r="N30" s="1"/>
    </row>
    <row r="31" spans="1:22" ht="21.75" customHeight="1">
      <c r="A31" s="95"/>
      <c r="B31" s="96"/>
      <c r="C31" s="82" t="s">
        <v>9</v>
      </c>
      <c r="D31" s="83"/>
      <c r="E31" s="84"/>
      <c r="F31" s="82" t="s">
        <v>8</v>
      </c>
      <c r="G31" s="83"/>
      <c r="H31" s="84"/>
      <c r="I31" s="82" t="s">
        <v>7</v>
      </c>
      <c r="J31" s="83"/>
      <c r="K31" s="84"/>
      <c r="L31" s="82" t="s">
        <v>6</v>
      </c>
      <c r="M31" s="83"/>
      <c r="N31" s="84"/>
      <c r="O31" s="82" t="s">
        <v>5</v>
      </c>
      <c r="P31" s="83"/>
      <c r="Q31" s="84"/>
      <c r="R31" s="82" t="s">
        <v>4</v>
      </c>
      <c r="S31" s="83"/>
      <c r="T31" s="84"/>
      <c r="U31" s="85" t="s">
        <v>3</v>
      </c>
      <c r="V31" s="87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6"/>
      <c r="V32" s="88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/>
    <row r="54" spans="1:22" s="49" customFormat="1" ht="19.5" customHeight="1">
      <c r="O54" s="89" t="s">
        <v>29</v>
      </c>
      <c r="P54" s="89"/>
      <c r="Q54" s="89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>
      <c r="O55" s="90" t="s">
        <v>30</v>
      </c>
      <c r="P55" s="90"/>
      <c r="Q55" s="90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>
      <c r="O56" s="81" t="s">
        <v>2</v>
      </c>
      <c r="P56" s="81"/>
      <c r="Q56" s="81"/>
      <c r="R56" s="52"/>
      <c r="S56" s="52"/>
      <c r="T56" s="52"/>
      <c r="U56" s="52"/>
      <c r="V56" s="53">
        <f>V54+V55</f>
        <v>3125240</v>
      </c>
    </row>
  </sheetData>
  <mergeCells count="28">
    <mergeCell ref="V4:V5"/>
    <mergeCell ref="D1:H1"/>
    <mergeCell ref="A3:B4"/>
    <mergeCell ref="C4:E4"/>
    <mergeCell ref="F4:H4"/>
    <mergeCell ref="I4:K4"/>
    <mergeCell ref="L4:N4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O54:Q54"/>
    <mergeCell ref="O55:Q55"/>
    <mergeCell ref="O56:Q56"/>
    <mergeCell ref="D28:H28"/>
    <mergeCell ref="R31:T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zoomScale="85" zoomScaleNormal="100" zoomScaleSheetLayoutView="85" workbookViewId="0">
      <selection activeCell="X25" sqref="X25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91" t="s">
        <v>12</v>
      </c>
      <c r="E1" s="92"/>
      <c r="F1" s="92"/>
      <c r="G1" s="92"/>
      <c r="H1" s="92"/>
    </row>
    <row r="2" spans="1:22" ht="21.75" customHeight="1">
      <c r="A2" s="101" t="s">
        <v>54</v>
      </c>
      <c r="B2" s="101"/>
    </row>
    <row r="3" spans="1:22" ht="21.75" customHeight="1">
      <c r="A3" s="93" t="s">
        <v>10</v>
      </c>
      <c r="B3" s="94"/>
    </row>
    <row r="4" spans="1:22" ht="21.75" customHeight="1">
      <c r="A4" s="95"/>
      <c r="B4" s="96"/>
      <c r="C4" s="119" t="s">
        <v>9</v>
      </c>
      <c r="D4" s="120"/>
      <c r="E4" s="121"/>
      <c r="F4" s="119" t="s">
        <v>8</v>
      </c>
      <c r="G4" s="120"/>
      <c r="H4" s="121"/>
      <c r="I4" s="119" t="s">
        <v>7</v>
      </c>
      <c r="J4" s="120"/>
      <c r="K4" s="121"/>
      <c r="L4" s="119" t="s">
        <v>6</v>
      </c>
      <c r="M4" s="120"/>
      <c r="N4" s="121"/>
      <c r="O4" s="119" t="s">
        <v>5</v>
      </c>
      <c r="P4" s="120"/>
      <c r="Q4" s="121"/>
      <c r="R4" s="119" t="s">
        <v>4</v>
      </c>
      <c r="S4" s="120"/>
      <c r="T4" s="121"/>
      <c r="U4" s="125" t="s">
        <v>3</v>
      </c>
      <c r="V4" s="117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26"/>
      <c r="V5" s="118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12</v>
      </c>
      <c r="E7" s="13">
        <f t="shared" si="0"/>
        <v>70080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24</v>
      </c>
      <c r="N7" s="15">
        <f t="shared" si="3"/>
        <v>6480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76560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1132960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79110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1219590</v>
      </c>
    </row>
    <row r="19" spans="1:22" ht="21.75" customHeight="1"/>
    <row r="20" spans="1:22" ht="33" customHeight="1">
      <c r="N20" s="28"/>
      <c r="O20" s="122" t="s">
        <v>29</v>
      </c>
      <c r="P20" s="123"/>
      <c r="Q20" s="123"/>
      <c r="R20" s="123"/>
      <c r="S20" s="123"/>
      <c r="T20" s="123"/>
      <c r="U20" s="124"/>
      <c r="V20" s="30">
        <f>V18</f>
        <v>1219590</v>
      </c>
    </row>
    <row r="21" spans="1:22" ht="33" customHeight="1" thickBot="1">
      <c r="N21" s="28"/>
      <c r="O21" s="111" t="s">
        <v>30</v>
      </c>
      <c r="P21" s="112"/>
      <c r="Q21" s="112"/>
      <c r="R21" s="112"/>
      <c r="S21" s="112"/>
      <c r="T21" s="112"/>
      <c r="U21" s="113"/>
      <c r="V21" s="32">
        <f>V54</f>
        <v>2243700</v>
      </c>
    </row>
    <row r="22" spans="1:22" ht="33" customHeight="1" thickTop="1">
      <c r="N22" s="28"/>
      <c r="O22" s="114" t="s">
        <v>2</v>
      </c>
      <c r="P22" s="115"/>
      <c r="Q22" s="115"/>
      <c r="R22" s="115"/>
      <c r="S22" s="115"/>
      <c r="T22" s="115"/>
      <c r="U22" s="116"/>
      <c r="V22" s="34">
        <f>V20+V21</f>
        <v>3463290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91" t="s">
        <v>12</v>
      </c>
      <c r="E28" s="92"/>
      <c r="F28" s="92"/>
      <c r="G28" s="92"/>
      <c r="H28" s="92"/>
    </row>
    <row r="29" spans="1:22" ht="31.5" customHeight="1">
      <c r="A29" s="100" t="s">
        <v>28</v>
      </c>
      <c r="B29" s="100"/>
      <c r="E29" s="1"/>
      <c r="H29" s="1"/>
      <c r="K29" s="1"/>
      <c r="N29" s="1"/>
    </row>
    <row r="30" spans="1:22" ht="21.75" customHeight="1">
      <c r="A30" s="93" t="s">
        <v>10</v>
      </c>
      <c r="B30" s="94"/>
      <c r="E30" s="1"/>
      <c r="H30" s="1"/>
      <c r="K30" s="1"/>
      <c r="N30" s="1"/>
    </row>
    <row r="31" spans="1:22" ht="21.75" customHeight="1">
      <c r="A31" s="95"/>
      <c r="B31" s="96"/>
      <c r="C31" s="82" t="s">
        <v>9</v>
      </c>
      <c r="D31" s="83"/>
      <c r="E31" s="84"/>
      <c r="F31" s="82" t="s">
        <v>8</v>
      </c>
      <c r="G31" s="83"/>
      <c r="H31" s="84"/>
      <c r="I31" s="82" t="s">
        <v>7</v>
      </c>
      <c r="J31" s="83"/>
      <c r="K31" s="84"/>
      <c r="L31" s="82" t="s">
        <v>6</v>
      </c>
      <c r="M31" s="83"/>
      <c r="N31" s="84"/>
      <c r="O31" s="82" t="s">
        <v>5</v>
      </c>
      <c r="P31" s="83"/>
      <c r="Q31" s="84"/>
      <c r="R31" s="82" t="s">
        <v>4</v>
      </c>
      <c r="S31" s="83"/>
      <c r="T31" s="84"/>
      <c r="U31" s="85" t="s">
        <v>3</v>
      </c>
      <c r="V31" s="87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6"/>
      <c r="V32" s="88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0</v>
      </c>
      <c r="K43" s="13">
        <f t="shared" si="10"/>
        <v>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54900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>
      <c r="A48" s="24"/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>
        <v>12</v>
      </c>
      <c r="H48" s="13">
        <f t="shared" ref="H48:H49" si="17">SUM(F48*G48)</f>
        <v>3600</v>
      </c>
      <c r="I48" s="14">
        <v>940</v>
      </c>
      <c r="J48" s="20">
        <v>2</v>
      </c>
      <c r="K48" s="13">
        <f t="shared" ref="K48:K49" si="18">SUM(I48*J48)</f>
        <v>1880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78680</v>
      </c>
    </row>
    <row r="49" spans="1:22" ht="19.5" customHeight="1">
      <c r="A49" s="24"/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>
        <v>6</v>
      </c>
      <c r="H49" s="13">
        <f t="shared" si="17"/>
        <v>1800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42160</v>
      </c>
    </row>
    <row r="50" spans="1:22" ht="19.5" customHeight="1">
      <c r="A50" s="24">
        <v>16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>
      <c r="A51" s="24">
        <v>17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>
      <c r="A52" s="24">
        <v>18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5400</v>
      </c>
      <c r="I54" s="38"/>
      <c r="J54" s="38"/>
      <c r="K54" s="38">
        <f>SUM(K33:K53)</f>
        <v>33840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2243700</v>
      </c>
    </row>
    <row r="55" spans="1:22" ht="19.5" customHeight="1"/>
    <row r="56" spans="1:22" s="49" customFormat="1" ht="19.5" customHeight="1">
      <c r="O56" s="102" t="s">
        <v>29</v>
      </c>
      <c r="P56" s="103"/>
      <c r="Q56" s="103"/>
      <c r="R56" s="103"/>
      <c r="S56" s="103"/>
      <c r="T56" s="103"/>
      <c r="U56" s="104"/>
      <c r="V56" s="51">
        <f>V20</f>
        <v>1219590</v>
      </c>
    </row>
    <row r="57" spans="1:22" s="49" customFormat="1" ht="19.5" customHeight="1" thickBot="1">
      <c r="O57" s="105" t="s">
        <v>30</v>
      </c>
      <c r="P57" s="106"/>
      <c r="Q57" s="106"/>
      <c r="R57" s="106"/>
      <c r="S57" s="106"/>
      <c r="T57" s="106"/>
      <c r="U57" s="107"/>
      <c r="V57" s="55">
        <f>V54</f>
        <v>2243700</v>
      </c>
    </row>
    <row r="58" spans="1:22" s="49" customFormat="1" ht="19.5" customHeight="1" thickTop="1">
      <c r="O58" s="108" t="s">
        <v>2</v>
      </c>
      <c r="P58" s="109"/>
      <c r="Q58" s="109"/>
      <c r="R58" s="109"/>
      <c r="S58" s="109"/>
      <c r="T58" s="109"/>
      <c r="U58" s="110"/>
      <c r="V58" s="53">
        <f>V56+V57</f>
        <v>3463290</v>
      </c>
    </row>
  </sheetData>
  <mergeCells count="28">
    <mergeCell ref="D1:H1"/>
    <mergeCell ref="A2:B2"/>
    <mergeCell ref="A3:B4"/>
    <mergeCell ref="C4:E4"/>
    <mergeCell ref="F4:H4"/>
    <mergeCell ref="V4:V5"/>
    <mergeCell ref="D28:H28"/>
    <mergeCell ref="A29:B29"/>
    <mergeCell ref="A30:B31"/>
    <mergeCell ref="C31:E31"/>
    <mergeCell ref="F31:H31"/>
    <mergeCell ref="I31:K31"/>
    <mergeCell ref="L31:N31"/>
    <mergeCell ref="O31:Q31"/>
    <mergeCell ref="V31:V32"/>
    <mergeCell ref="I4:K4"/>
    <mergeCell ref="O20:U20"/>
    <mergeCell ref="L4:N4"/>
    <mergeCell ref="O4:Q4"/>
    <mergeCell ref="R4:T4"/>
    <mergeCell ref="U4:U5"/>
    <mergeCell ref="O56:U56"/>
    <mergeCell ref="O57:U57"/>
    <mergeCell ref="O58:U58"/>
    <mergeCell ref="O21:U21"/>
    <mergeCell ref="O22:U22"/>
    <mergeCell ref="R31:T31"/>
    <mergeCell ref="U31:U32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tabSelected="1" view="pageBreakPreview" topLeftCell="A11" zoomScale="85" zoomScaleNormal="100" zoomScaleSheetLayoutView="85" workbookViewId="0">
      <selection activeCell="C22" sqref="C22"/>
    </sheetView>
  </sheetViews>
  <sheetFormatPr defaultRowHeight="17.25"/>
  <cols>
    <col min="1" max="1" width="4.25" style="1" bestFit="1" customWidth="1"/>
    <col min="2" max="2" width="16.125" style="1" bestFit="1" customWidth="1"/>
    <col min="3" max="4" width="16.125" style="1" customWidth="1"/>
    <col min="5" max="5" width="6.625" style="1" customWidth="1"/>
    <col min="6" max="6" width="4.125" style="1" customWidth="1"/>
    <col min="7" max="7" width="12.375" style="2" customWidth="1"/>
    <col min="8" max="8" width="5.5" style="1" customWidth="1"/>
    <col min="9" max="9" width="3.5" style="1" customWidth="1"/>
    <col min="10" max="10" width="10.625" style="2" customWidth="1"/>
    <col min="11" max="11" width="5.625" style="1" customWidth="1"/>
    <col min="12" max="12" width="4.125" style="1" customWidth="1"/>
    <col min="13" max="13" width="10.625" style="2" customWidth="1"/>
    <col min="14" max="14" width="5.625" style="1" customWidth="1"/>
    <col min="15" max="15" width="4.125" style="1" customWidth="1"/>
    <col min="16" max="16" width="10.625" style="2" customWidth="1"/>
    <col min="17" max="17" width="6" style="1" customWidth="1"/>
    <col min="18" max="18" width="4.125" style="1" customWidth="1"/>
    <col min="19" max="19" width="8.875" style="1" customWidth="1"/>
    <col min="20" max="22" width="12.875" style="1" hidden="1" customWidth="1"/>
    <col min="23" max="23" width="10.625" style="1" customWidth="1"/>
    <col min="24" max="24" width="12.875" style="1" customWidth="1"/>
    <col min="25" max="16384" width="9" style="1"/>
  </cols>
  <sheetData>
    <row r="1" spans="1:24" ht="21.75" customHeight="1">
      <c r="F1" s="91" t="s">
        <v>12</v>
      </c>
      <c r="G1" s="92"/>
      <c r="H1" s="92"/>
      <c r="I1" s="92"/>
      <c r="J1" s="92"/>
    </row>
    <row r="2" spans="1:24" ht="21.75" customHeight="1">
      <c r="A2" s="101" t="s">
        <v>54</v>
      </c>
      <c r="B2" s="101"/>
      <c r="C2" s="74"/>
      <c r="D2" s="74"/>
    </row>
    <row r="3" spans="1:24" ht="21.75" customHeight="1">
      <c r="A3" s="93" t="s">
        <v>10</v>
      </c>
      <c r="B3" s="94"/>
      <c r="C3" s="75"/>
      <c r="D3" s="75"/>
    </row>
    <row r="4" spans="1:24" ht="21.75" customHeight="1">
      <c r="A4" s="95"/>
      <c r="B4" s="96"/>
      <c r="C4" s="76"/>
      <c r="D4" s="76"/>
      <c r="E4" s="119" t="s">
        <v>9</v>
      </c>
      <c r="F4" s="120"/>
      <c r="G4" s="121"/>
      <c r="H4" s="119" t="s">
        <v>8</v>
      </c>
      <c r="I4" s="120"/>
      <c r="J4" s="121"/>
      <c r="K4" s="119" t="s">
        <v>7</v>
      </c>
      <c r="L4" s="120"/>
      <c r="M4" s="121"/>
      <c r="N4" s="119" t="s">
        <v>6</v>
      </c>
      <c r="O4" s="120"/>
      <c r="P4" s="121"/>
      <c r="Q4" s="119" t="s">
        <v>5</v>
      </c>
      <c r="R4" s="120"/>
      <c r="S4" s="121"/>
      <c r="T4" s="119" t="s">
        <v>4</v>
      </c>
      <c r="U4" s="120"/>
      <c r="V4" s="121"/>
      <c r="W4" s="125" t="s">
        <v>3</v>
      </c>
      <c r="X4" s="117" t="s">
        <v>2</v>
      </c>
    </row>
    <row r="5" spans="1:24" ht="21.75" customHeight="1" thickBot="1">
      <c r="A5" s="3"/>
      <c r="B5" s="4" t="s">
        <v>1</v>
      </c>
      <c r="C5" s="4"/>
      <c r="D5" s="4"/>
      <c r="E5" s="71">
        <v>5840</v>
      </c>
      <c r="F5" s="72" t="s">
        <v>0</v>
      </c>
      <c r="G5" s="71"/>
      <c r="H5" s="71">
        <v>300</v>
      </c>
      <c r="I5" s="72" t="s">
        <v>0</v>
      </c>
      <c r="J5" s="71"/>
      <c r="K5" s="71">
        <v>940</v>
      </c>
      <c r="L5" s="72" t="s">
        <v>0</v>
      </c>
      <c r="M5" s="71"/>
      <c r="N5" s="71">
        <v>130</v>
      </c>
      <c r="O5" s="72" t="s">
        <v>0</v>
      </c>
      <c r="P5" s="71"/>
      <c r="Q5" s="73">
        <v>2800</v>
      </c>
      <c r="R5" s="71" t="s">
        <v>0</v>
      </c>
      <c r="S5" s="71"/>
      <c r="T5" s="73">
        <v>1000</v>
      </c>
      <c r="U5" s="72" t="s">
        <v>0</v>
      </c>
      <c r="V5" s="71"/>
      <c r="W5" s="126"/>
      <c r="X5" s="118"/>
    </row>
    <row r="6" spans="1:24" ht="21.75" customHeight="1" thickTop="1">
      <c r="A6" s="9">
        <v>1</v>
      </c>
      <c r="B6" s="10" t="s">
        <v>17</v>
      </c>
      <c r="C6" s="10">
        <v>3</v>
      </c>
      <c r="D6" s="10">
        <v>4</v>
      </c>
      <c r="E6" s="11">
        <v>5840</v>
      </c>
      <c r="F6" s="12">
        <v>13</v>
      </c>
      <c r="G6" s="13">
        <f t="shared" ref="G6:G17" si="0">SUM(E6*F6)</f>
        <v>75920</v>
      </c>
      <c r="H6" s="14">
        <v>300</v>
      </c>
      <c r="I6" s="12"/>
      <c r="J6" s="13">
        <f t="shared" ref="J6:J17" si="1">SUM(H6*I6)</f>
        <v>0</v>
      </c>
      <c r="K6" s="14">
        <v>940</v>
      </c>
      <c r="L6" s="12"/>
      <c r="M6" s="13">
        <f t="shared" ref="M6:M17" si="2">SUM(K6*L6)</f>
        <v>0</v>
      </c>
      <c r="N6" s="14">
        <v>270</v>
      </c>
      <c r="O6" s="12">
        <v>26</v>
      </c>
      <c r="P6" s="15">
        <f t="shared" ref="P6:P17" si="3">SUM(N6*O6)</f>
        <v>7020</v>
      </c>
      <c r="Q6" s="11">
        <v>2800</v>
      </c>
      <c r="R6" s="12"/>
      <c r="S6" s="13">
        <f t="shared" ref="S6:S17" si="4">SUM(Q6*R6)</f>
        <v>0</v>
      </c>
      <c r="T6" s="16">
        <v>1000</v>
      </c>
      <c r="U6" s="17"/>
      <c r="V6" s="18">
        <f t="shared" ref="V6:V17" si="5">SUM(U6*T6)</f>
        <v>0</v>
      </c>
      <c r="W6" s="18"/>
      <c r="X6" s="19">
        <f t="shared" ref="X6:X13" si="6">SUM(G6+J6+M6+P6+S6+V6)</f>
        <v>82940</v>
      </c>
    </row>
    <row r="7" spans="1:24" ht="21.75" customHeight="1">
      <c r="A7" s="9">
        <v>2</v>
      </c>
      <c r="B7" s="9" t="s">
        <v>18</v>
      </c>
      <c r="C7" s="10">
        <v>3</v>
      </c>
      <c r="D7" s="10">
        <v>5</v>
      </c>
      <c r="E7" s="11">
        <v>5840</v>
      </c>
      <c r="F7" s="12">
        <v>14</v>
      </c>
      <c r="G7" s="13">
        <f t="shared" si="0"/>
        <v>81760</v>
      </c>
      <c r="H7" s="14">
        <v>300</v>
      </c>
      <c r="I7" s="12"/>
      <c r="J7" s="13">
        <f t="shared" si="1"/>
        <v>0</v>
      </c>
      <c r="K7" s="14">
        <v>940</v>
      </c>
      <c r="L7" s="20"/>
      <c r="M7" s="13">
        <f t="shared" si="2"/>
        <v>0</v>
      </c>
      <c r="N7" s="14">
        <v>270</v>
      </c>
      <c r="O7" s="20">
        <v>28</v>
      </c>
      <c r="P7" s="15">
        <f t="shared" si="3"/>
        <v>7560</v>
      </c>
      <c r="Q7" s="11">
        <v>2800</v>
      </c>
      <c r="R7" s="20"/>
      <c r="S7" s="13">
        <f t="shared" si="4"/>
        <v>0</v>
      </c>
      <c r="T7" s="21">
        <v>1000</v>
      </c>
      <c r="U7" s="22"/>
      <c r="V7" s="18">
        <f t="shared" si="5"/>
        <v>0</v>
      </c>
      <c r="W7" s="18"/>
      <c r="X7" s="19">
        <f t="shared" si="6"/>
        <v>89320</v>
      </c>
    </row>
    <row r="8" spans="1:24" ht="21.75" customHeight="1">
      <c r="A8" s="9">
        <v>3</v>
      </c>
      <c r="B8" s="9" t="s">
        <v>19</v>
      </c>
      <c r="C8" s="10">
        <v>2</v>
      </c>
      <c r="D8" s="10">
        <v>2</v>
      </c>
      <c r="E8" s="11">
        <v>5840</v>
      </c>
      <c r="F8" s="12">
        <v>22</v>
      </c>
      <c r="G8" s="13">
        <f t="shared" si="0"/>
        <v>128480</v>
      </c>
      <c r="H8" s="14">
        <v>300</v>
      </c>
      <c r="I8" s="12"/>
      <c r="J8" s="13">
        <f t="shared" si="1"/>
        <v>0</v>
      </c>
      <c r="K8" s="14">
        <v>940</v>
      </c>
      <c r="L8" s="20"/>
      <c r="M8" s="13">
        <f t="shared" si="2"/>
        <v>0</v>
      </c>
      <c r="N8" s="14">
        <v>270</v>
      </c>
      <c r="O8" s="20">
        <v>44</v>
      </c>
      <c r="P8" s="15">
        <f t="shared" si="3"/>
        <v>11880</v>
      </c>
      <c r="Q8" s="11">
        <v>2800</v>
      </c>
      <c r="R8" s="20"/>
      <c r="S8" s="13">
        <f t="shared" si="4"/>
        <v>0</v>
      </c>
      <c r="T8" s="21">
        <v>1000</v>
      </c>
      <c r="U8" s="22"/>
      <c r="V8" s="18">
        <f t="shared" si="5"/>
        <v>0</v>
      </c>
      <c r="W8" s="18"/>
      <c r="X8" s="19">
        <f t="shared" si="6"/>
        <v>140360</v>
      </c>
    </row>
    <row r="9" spans="1:24" ht="21.75" customHeight="1">
      <c r="A9" s="9">
        <v>4</v>
      </c>
      <c r="B9" s="9" t="s">
        <v>20</v>
      </c>
      <c r="C9" s="10">
        <v>1</v>
      </c>
      <c r="D9" s="10">
        <v>3</v>
      </c>
      <c r="E9" s="11">
        <v>5840</v>
      </c>
      <c r="F9" s="12">
        <v>6</v>
      </c>
      <c r="G9" s="13">
        <f t="shared" si="0"/>
        <v>35040</v>
      </c>
      <c r="H9" s="14">
        <v>300</v>
      </c>
      <c r="I9" s="12"/>
      <c r="J9" s="13">
        <f t="shared" si="1"/>
        <v>0</v>
      </c>
      <c r="K9" s="14">
        <v>940</v>
      </c>
      <c r="L9" s="20">
        <v>4</v>
      </c>
      <c r="M9" s="13">
        <f t="shared" si="2"/>
        <v>3760</v>
      </c>
      <c r="N9" s="14">
        <v>270</v>
      </c>
      <c r="O9" s="20">
        <v>12</v>
      </c>
      <c r="P9" s="15">
        <f t="shared" si="3"/>
        <v>3240</v>
      </c>
      <c r="Q9" s="11">
        <v>2800</v>
      </c>
      <c r="R9" s="20"/>
      <c r="S9" s="13">
        <f t="shared" si="4"/>
        <v>0</v>
      </c>
      <c r="T9" s="21">
        <v>1000</v>
      </c>
      <c r="U9" s="22"/>
      <c r="V9" s="18">
        <f t="shared" si="5"/>
        <v>0</v>
      </c>
      <c r="W9" s="18"/>
      <c r="X9" s="19">
        <f t="shared" si="6"/>
        <v>42040</v>
      </c>
    </row>
    <row r="10" spans="1:24" ht="21.75" customHeight="1">
      <c r="A10" s="9">
        <v>5</v>
      </c>
      <c r="B10" s="9" t="s">
        <v>21</v>
      </c>
      <c r="C10" s="10">
        <v>1</v>
      </c>
      <c r="D10" s="10">
        <v>6</v>
      </c>
      <c r="E10" s="11">
        <v>5840</v>
      </c>
      <c r="F10" s="12">
        <v>20</v>
      </c>
      <c r="G10" s="13">
        <f t="shared" si="0"/>
        <v>116800</v>
      </c>
      <c r="H10" s="14">
        <v>300</v>
      </c>
      <c r="I10" s="12"/>
      <c r="J10" s="13">
        <f t="shared" si="1"/>
        <v>0</v>
      </c>
      <c r="K10" s="14">
        <v>940</v>
      </c>
      <c r="L10" s="20">
        <v>2</v>
      </c>
      <c r="M10" s="13">
        <f t="shared" si="2"/>
        <v>1880</v>
      </c>
      <c r="N10" s="14">
        <v>270</v>
      </c>
      <c r="O10" s="20">
        <v>40</v>
      </c>
      <c r="P10" s="15">
        <f t="shared" si="3"/>
        <v>10800</v>
      </c>
      <c r="Q10" s="11">
        <v>2800</v>
      </c>
      <c r="R10" s="20"/>
      <c r="S10" s="13">
        <f t="shared" si="4"/>
        <v>0</v>
      </c>
      <c r="T10" s="21">
        <v>1000</v>
      </c>
      <c r="U10" s="22"/>
      <c r="V10" s="18">
        <f t="shared" si="5"/>
        <v>0</v>
      </c>
      <c r="W10" s="18"/>
      <c r="X10" s="19">
        <f t="shared" si="6"/>
        <v>129480</v>
      </c>
    </row>
    <row r="11" spans="1:24" ht="21.75" customHeight="1">
      <c r="A11" s="9">
        <v>6</v>
      </c>
      <c r="B11" s="9" t="s">
        <v>22</v>
      </c>
      <c r="C11" s="10">
        <v>2</v>
      </c>
      <c r="D11" s="10">
        <v>1</v>
      </c>
      <c r="E11" s="11">
        <v>5840</v>
      </c>
      <c r="F11" s="12">
        <v>22</v>
      </c>
      <c r="G11" s="13">
        <f t="shared" si="0"/>
        <v>128480</v>
      </c>
      <c r="H11" s="14">
        <v>300</v>
      </c>
      <c r="I11" s="12"/>
      <c r="J11" s="13">
        <f t="shared" si="1"/>
        <v>0</v>
      </c>
      <c r="K11" s="14">
        <v>940</v>
      </c>
      <c r="L11" s="20"/>
      <c r="M11" s="13">
        <f t="shared" si="2"/>
        <v>0</v>
      </c>
      <c r="N11" s="14">
        <v>270</v>
      </c>
      <c r="O11" s="20">
        <v>44</v>
      </c>
      <c r="P11" s="15">
        <f t="shared" si="3"/>
        <v>11880</v>
      </c>
      <c r="Q11" s="11">
        <v>2800</v>
      </c>
      <c r="R11" s="20"/>
      <c r="S11" s="13">
        <f t="shared" si="4"/>
        <v>0</v>
      </c>
      <c r="T11" s="21">
        <v>1000</v>
      </c>
      <c r="U11" s="22"/>
      <c r="V11" s="18">
        <f t="shared" si="5"/>
        <v>0</v>
      </c>
      <c r="W11" s="18"/>
      <c r="X11" s="19">
        <f t="shared" si="6"/>
        <v>140360</v>
      </c>
    </row>
    <row r="12" spans="1:24" ht="21.75" customHeight="1">
      <c r="A12" s="9">
        <v>7</v>
      </c>
      <c r="B12" s="9" t="s">
        <v>23</v>
      </c>
      <c r="C12" s="10">
        <v>2</v>
      </c>
      <c r="D12" s="10">
        <v>6</v>
      </c>
      <c r="E12" s="11">
        <v>5840</v>
      </c>
      <c r="F12" s="12">
        <v>22</v>
      </c>
      <c r="G12" s="13">
        <f t="shared" si="0"/>
        <v>128480</v>
      </c>
      <c r="H12" s="14">
        <v>300</v>
      </c>
      <c r="I12" s="12"/>
      <c r="J12" s="13">
        <f t="shared" si="1"/>
        <v>0</v>
      </c>
      <c r="K12" s="14">
        <v>940</v>
      </c>
      <c r="L12" s="20"/>
      <c r="M12" s="13">
        <f t="shared" si="2"/>
        <v>0</v>
      </c>
      <c r="N12" s="14">
        <v>270</v>
      </c>
      <c r="O12" s="20"/>
      <c r="P12" s="15">
        <f t="shared" si="3"/>
        <v>0</v>
      </c>
      <c r="Q12" s="11">
        <v>2800</v>
      </c>
      <c r="R12" s="20"/>
      <c r="S12" s="13">
        <f t="shared" si="4"/>
        <v>0</v>
      </c>
      <c r="T12" s="21">
        <v>1000</v>
      </c>
      <c r="U12" s="22"/>
      <c r="V12" s="18">
        <f t="shared" si="5"/>
        <v>0</v>
      </c>
      <c r="W12" s="18"/>
      <c r="X12" s="19">
        <f t="shared" si="6"/>
        <v>128480</v>
      </c>
    </row>
    <row r="13" spans="1:24" ht="21.75" customHeight="1">
      <c r="A13" s="9">
        <v>8</v>
      </c>
      <c r="B13" s="10" t="s">
        <v>24</v>
      </c>
      <c r="C13" s="10">
        <v>2</v>
      </c>
      <c r="D13" s="10">
        <v>5</v>
      </c>
      <c r="E13" s="11">
        <v>5840</v>
      </c>
      <c r="F13" s="12">
        <v>22</v>
      </c>
      <c r="G13" s="13">
        <f t="shared" si="0"/>
        <v>128480</v>
      </c>
      <c r="H13" s="14">
        <v>300</v>
      </c>
      <c r="I13" s="12"/>
      <c r="J13" s="13">
        <f t="shared" si="1"/>
        <v>0</v>
      </c>
      <c r="K13" s="14">
        <v>940</v>
      </c>
      <c r="L13" s="20"/>
      <c r="M13" s="13">
        <f t="shared" si="2"/>
        <v>0</v>
      </c>
      <c r="N13" s="14">
        <v>270</v>
      </c>
      <c r="O13" s="20"/>
      <c r="P13" s="15">
        <f t="shared" si="3"/>
        <v>0</v>
      </c>
      <c r="Q13" s="11">
        <v>2800</v>
      </c>
      <c r="R13" s="20"/>
      <c r="S13" s="13">
        <f t="shared" si="4"/>
        <v>0</v>
      </c>
      <c r="T13" s="21">
        <v>1000</v>
      </c>
      <c r="U13" s="22"/>
      <c r="V13" s="18">
        <f t="shared" si="5"/>
        <v>0</v>
      </c>
      <c r="W13" s="18"/>
      <c r="X13" s="19">
        <f t="shared" si="6"/>
        <v>128480</v>
      </c>
    </row>
    <row r="14" spans="1:24" ht="21.75" customHeight="1">
      <c r="A14" s="9">
        <v>9</v>
      </c>
      <c r="B14" s="10" t="s">
        <v>25</v>
      </c>
      <c r="C14" s="10">
        <v>3</v>
      </c>
      <c r="D14" s="10">
        <v>4</v>
      </c>
      <c r="E14" s="11">
        <v>5840</v>
      </c>
      <c r="F14" s="12"/>
      <c r="G14" s="13">
        <f t="shared" si="0"/>
        <v>0</v>
      </c>
      <c r="H14" s="14">
        <v>300</v>
      </c>
      <c r="I14" s="12"/>
      <c r="J14" s="13">
        <f t="shared" si="1"/>
        <v>0</v>
      </c>
      <c r="K14" s="14">
        <v>940</v>
      </c>
      <c r="L14" s="12"/>
      <c r="M14" s="13">
        <f t="shared" si="2"/>
        <v>0</v>
      </c>
      <c r="N14" s="14">
        <v>270</v>
      </c>
      <c r="O14" s="12"/>
      <c r="P14" s="15">
        <f t="shared" si="3"/>
        <v>0</v>
      </c>
      <c r="Q14" s="11">
        <v>2800</v>
      </c>
      <c r="R14" s="12"/>
      <c r="S14" s="13">
        <f t="shared" si="4"/>
        <v>0</v>
      </c>
      <c r="T14" s="23">
        <v>1000</v>
      </c>
      <c r="U14" s="17"/>
      <c r="V14" s="18">
        <f t="shared" si="5"/>
        <v>0</v>
      </c>
      <c r="W14" s="18"/>
      <c r="X14" s="19">
        <f>SUM(G14+J14+M14+P14+S14+V14)-W14</f>
        <v>0</v>
      </c>
    </row>
    <row r="15" spans="1:24" ht="21.75" customHeight="1">
      <c r="A15" s="9">
        <v>10</v>
      </c>
      <c r="B15" s="9" t="s">
        <v>26</v>
      </c>
      <c r="C15" s="10">
        <v>3</v>
      </c>
      <c r="D15" s="10">
        <v>3</v>
      </c>
      <c r="E15" s="11">
        <v>5840</v>
      </c>
      <c r="F15" s="12">
        <v>10</v>
      </c>
      <c r="G15" s="13">
        <f t="shared" si="0"/>
        <v>58400</v>
      </c>
      <c r="H15" s="14">
        <v>300</v>
      </c>
      <c r="I15" s="12"/>
      <c r="J15" s="13">
        <f t="shared" si="1"/>
        <v>0</v>
      </c>
      <c r="K15" s="14">
        <v>940</v>
      </c>
      <c r="L15" s="20">
        <v>4</v>
      </c>
      <c r="M15" s="13">
        <f t="shared" si="2"/>
        <v>3760</v>
      </c>
      <c r="N15" s="14">
        <v>270</v>
      </c>
      <c r="O15" s="20">
        <v>20</v>
      </c>
      <c r="P15" s="15">
        <f t="shared" si="3"/>
        <v>5400</v>
      </c>
      <c r="Q15" s="11">
        <v>2800</v>
      </c>
      <c r="R15" s="20">
        <v>1</v>
      </c>
      <c r="S15" s="13">
        <f t="shared" si="4"/>
        <v>2800</v>
      </c>
      <c r="T15" s="21">
        <v>1000</v>
      </c>
      <c r="U15" s="22"/>
      <c r="V15" s="18">
        <f t="shared" si="5"/>
        <v>0</v>
      </c>
      <c r="W15" s="18"/>
      <c r="X15" s="19">
        <f>SUM(G15+J15+M15+P15+S15+V15)-W15</f>
        <v>70360</v>
      </c>
    </row>
    <row r="16" spans="1:24" ht="21.75" customHeight="1">
      <c r="A16" s="9">
        <v>11</v>
      </c>
      <c r="B16" s="9" t="s">
        <v>27</v>
      </c>
      <c r="C16" s="10">
        <v>3</v>
      </c>
      <c r="D16" s="10">
        <v>6</v>
      </c>
      <c r="E16" s="11">
        <v>5840</v>
      </c>
      <c r="F16" s="12">
        <v>19</v>
      </c>
      <c r="G16" s="13">
        <f t="shared" si="0"/>
        <v>110960</v>
      </c>
      <c r="H16" s="14">
        <v>300</v>
      </c>
      <c r="I16" s="12"/>
      <c r="J16" s="13">
        <f t="shared" si="1"/>
        <v>0</v>
      </c>
      <c r="K16" s="14">
        <v>940</v>
      </c>
      <c r="L16" s="20"/>
      <c r="M16" s="13">
        <f t="shared" si="2"/>
        <v>0</v>
      </c>
      <c r="N16" s="14">
        <v>270</v>
      </c>
      <c r="O16" s="20">
        <v>38</v>
      </c>
      <c r="P16" s="15">
        <f t="shared" si="3"/>
        <v>10260</v>
      </c>
      <c r="Q16" s="11">
        <v>2800</v>
      </c>
      <c r="R16" s="20"/>
      <c r="S16" s="13">
        <f t="shared" si="4"/>
        <v>0</v>
      </c>
      <c r="T16" s="21">
        <v>1000</v>
      </c>
      <c r="U16" s="22"/>
      <c r="V16" s="18">
        <f t="shared" si="5"/>
        <v>0</v>
      </c>
      <c r="W16" s="18"/>
      <c r="X16" s="19">
        <f>SUM(G16+J16+M16+P16+S16+V16)-W16</f>
        <v>121220</v>
      </c>
    </row>
    <row r="17" spans="1:24" ht="21.75" customHeight="1">
      <c r="A17" s="9">
        <v>13</v>
      </c>
      <c r="B17" s="9"/>
      <c r="C17" s="10"/>
      <c r="D17" s="10"/>
      <c r="E17" s="11">
        <v>5840</v>
      </c>
      <c r="F17" s="12"/>
      <c r="G17" s="13">
        <f t="shared" si="0"/>
        <v>0</v>
      </c>
      <c r="H17" s="14">
        <v>300</v>
      </c>
      <c r="I17" s="12"/>
      <c r="J17" s="13">
        <f t="shared" si="1"/>
        <v>0</v>
      </c>
      <c r="K17" s="14">
        <v>940</v>
      </c>
      <c r="L17" s="20"/>
      <c r="M17" s="13">
        <f t="shared" si="2"/>
        <v>0</v>
      </c>
      <c r="N17" s="14">
        <v>270</v>
      </c>
      <c r="O17" s="20"/>
      <c r="P17" s="15">
        <f t="shared" si="3"/>
        <v>0</v>
      </c>
      <c r="Q17" s="11">
        <v>2800</v>
      </c>
      <c r="R17" s="20"/>
      <c r="S17" s="13">
        <f t="shared" si="4"/>
        <v>0</v>
      </c>
      <c r="T17" s="21">
        <v>1000</v>
      </c>
      <c r="U17" s="22"/>
      <c r="V17" s="18">
        <f t="shared" si="5"/>
        <v>0</v>
      </c>
      <c r="W17" s="18"/>
      <c r="X17" s="19">
        <f t="shared" ref="X17" si="7">SUM(G17+J17+M17+P17+S17+V17)-W17</f>
        <v>0</v>
      </c>
    </row>
    <row r="18" spans="1:24" ht="21.75" customHeight="1">
      <c r="A18" s="24"/>
      <c r="B18" s="24"/>
      <c r="C18" s="24"/>
      <c r="D18" s="24"/>
      <c r="E18" s="25"/>
      <c r="F18" s="25"/>
      <c r="G18" s="26">
        <f>SUM(G6:G17)</f>
        <v>992800</v>
      </c>
      <c r="H18" s="26"/>
      <c r="I18" s="26"/>
      <c r="J18" s="26">
        <f>SUM(J6:J17)</f>
        <v>0</v>
      </c>
      <c r="K18" s="26"/>
      <c r="L18" s="26"/>
      <c r="M18" s="26">
        <f>SUM(M6:M17)</f>
        <v>9400</v>
      </c>
      <c r="N18" s="26"/>
      <c r="O18" s="26"/>
      <c r="P18" s="26">
        <f>SUM(P6:P17)</f>
        <v>68040</v>
      </c>
      <c r="Q18" s="26"/>
      <c r="R18" s="25"/>
      <c r="S18" s="26">
        <f>SUM(S6:S17)</f>
        <v>2800</v>
      </c>
      <c r="T18" s="24"/>
      <c r="U18" s="24"/>
      <c r="V18" s="21">
        <f>SUM(V6:V17)</f>
        <v>0</v>
      </c>
      <c r="W18" s="21">
        <f>SUM(W6:W17)</f>
        <v>0</v>
      </c>
      <c r="X18" s="27">
        <f>SUM(X6:X17)</f>
        <v>1073040</v>
      </c>
    </row>
    <row r="19" spans="1:24" ht="21.75" customHeight="1"/>
    <row r="20" spans="1:24" ht="33" customHeight="1">
      <c r="C20" s="79">
        <f>5/11</f>
        <v>0.45454545454545453</v>
      </c>
      <c r="D20" s="79">
        <f>E20/11</f>
        <v>9.0909090909090912E-2</v>
      </c>
      <c r="E20" s="1">
        <v>1</v>
      </c>
      <c r="G20" s="80">
        <f>175*C20</f>
        <v>79.545454545454547</v>
      </c>
      <c r="H20" s="127">
        <f>D20*175</f>
        <v>15.90909090909091</v>
      </c>
      <c r="J20" s="80">
        <f>C20*3318650</f>
        <v>1508477.2727272727</v>
      </c>
      <c r="K20" s="1" t="s">
        <v>58</v>
      </c>
      <c r="M20" s="80">
        <f>3318650*D20</f>
        <v>301695.45454545453</v>
      </c>
      <c r="P20" s="28"/>
      <c r="Q20" s="122" t="s">
        <v>29</v>
      </c>
      <c r="R20" s="123"/>
      <c r="S20" s="123"/>
      <c r="T20" s="123"/>
      <c r="U20" s="123"/>
      <c r="V20" s="123"/>
      <c r="W20" s="124"/>
      <c r="X20" s="30">
        <f>X18</f>
        <v>1073040</v>
      </c>
    </row>
    <row r="21" spans="1:24" ht="33" customHeight="1" thickBot="1">
      <c r="C21" s="79">
        <f>2/11</f>
        <v>0.18181818181818182</v>
      </c>
      <c r="D21" s="79">
        <f t="shared" ref="D21:D25" si="8">E21/11</f>
        <v>9.0909090909090912E-2</v>
      </c>
      <c r="E21" s="1">
        <v>1</v>
      </c>
      <c r="G21" s="80">
        <f t="shared" ref="G21:G22" si="9">175*C21</f>
        <v>31.81818181818182</v>
      </c>
      <c r="H21" s="127">
        <f t="shared" ref="H21:H25" si="10">D21*175</f>
        <v>15.90909090909091</v>
      </c>
      <c r="J21" s="80">
        <f t="shared" ref="J21:J22" si="11">C21*3318650</f>
        <v>603390.90909090906</v>
      </c>
      <c r="M21" s="80">
        <f t="shared" ref="M21:M25" si="12">3318650*D21</f>
        <v>301695.45454545453</v>
      </c>
      <c r="P21" s="28"/>
      <c r="Q21" s="111" t="s">
        <v>30</v>
      </c>
      <c r="R21" s="112"/>
      <c r="S21" s="112"/>
      <c r="T21" s="112"/>
      <c r="U21" s="112"/>
      <c r="V21" s="112"/>
      <c r="W21" s="113"/>
      <c r="X21" s="32">
        <f>X54</f>
        <v>2284200</v>
      </c>
    </row>
    <row r="22" spans="1:24" ht="33" customHeight="1" thickTop="1">
      <c r="C22" s="79">
        <f>4/11</f>
        <v>0.36363636363636365</v>
      </c>
      <c r="D22" s="79">
        <f t="shared" si="8"/>
        <v>0.18181818181818182</v>
      </c>
      <c r="E22" s="1">
        <v>2</v>
      </c>
      <c r="G22" s="80">
        <f t="shared" si="9"/>
        <v>63.63636363636364</v>
      </c>
      <c r="H22" s="127">
        <f t="shared" si="10"/>
        <v>31.81818181818182</v>
      </c>
      <c r="J22" s="80">
        <f t="shared" si="11"/>
        <v>1206781.8181818181</v>
      </c>
      <c r="M22" s="80">
        <f t="shared" si="12"/>
        <v>603390.90909090906</v>
      </c>
      <c r="P22" s="28"/>
      <c r="Q22" s="114" t="s">
        <v>2</v>
      </c>
      <c r="R22" s="115"/>
      <c r="S22" s="115"/>
      <c r="T22" s="115"/>
      <c r="U22" s="115"/>
      <c r="V22" s="115"/>
      <c r="W22" s="116"/>
      <c r="X22" s="34">
        <f>X20+X21</f>
        <v>3357240</v>
      </c>
    </row>
    <row r="23" spans="1:24" ht="21.75" customHeight="1">
      <c r="D23" s="79">
        <f t="shared" si="8"/>
        <v>0.18181818181818182</v>
      </c>
      <c r="E23" s="1">
        <v>2</v>
      </c>
      <c r="H23" s="127">
        <f t="shared" si="10"/>
        <v>31.81818181818182</v>
      </c>
      <c r="M23" s="80">
        <f t="shared" si="12"/>
        <v>603390.90909090906</v>
      </c>
      <c r="P23" s="28"/>
      <c r="Q23" s="28"/>
      <c r="R23" s="28"/>
      <c r="S23" s="28"/>
      <c r="T23" s="35"/>
      <c r="U23" s="36"/>
      <c r="V23" s="36"/>
      <c r="W23" s="36"/>
      <c r="X23" s="36"/>
    </row>
    <row r="24" spans="1:24" ht="21.75" customHeight="1">
      <c r="D24" s="79">
        <f t="shared" si="8"/>
        <v>0.18181818181818182</v>
      </c>
      <c r="E24" s="1">
        <v>2</v>
      </c>
      <c r="H24" s="127">
        <f t="shared" si="10"/>
        <v>31.81818181818182</v>
      </c>
      <c r="M24" s="80">
        <f t="shared" si="12"/>
        <v>603390.90909090906</v>
      </c>
      <c r="P24" s="36"/>
      <c r="Q24" s="36"/>
      <c r="R24" s="36"/>
      <c r="S24" s="36"/>
      <c r="T24" s="36"/>
      <c r="U24" s="36"/>
      <c r="V24" s="36"/>
      <c r="W24" s="36"/>
      <c r="X24" s="36"/>
    </row>
    <row r="25" spans="1:24" ht="21.75" customHeight="1">
      <c r="D25" s="79">
        <f t="shared" si="8"/>
        <v>0.27272727272727271</v>
      </c>
      <c r="E25" s="1">
        <v>3</v>
      </c>
      <c r="H25" s="127">
        <f t="shared" si="10"/>
        <v>47.727272727272727</v>
      </c>
      <c r="M25" s="80">
        <f t="shared" si="12"/>
        <v>905086.36363636353</v>
      </c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21.75" customHeight="1">
      <c r="J26" s="2">
        <f>3318650-2429841</f>
        <v>888809</v>
      </c>
      <c r="P26" s="36"/>
      <c r="Q26" s="36"/>
      <c r="R26" s="36"/>
      <c r="S26" s="36"/>
      <c r="T26" s="36"/>
      <c r="U26" s="36"/>
      <c r="V26" s="36"/>
      <c r="W26" s="36"/>
      <c r="X26" s="36"/>
    </row>
    <row r="27" spans="1:24" ht="56.25" hidden="1" customHeight="1"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21.75" customHeight="1">
      <c r="F28" s="91" t="s">
        <v>12</v>
      </c>
      <c r="G28" s="92"/>
      <c r="H28" s="92"/>
      <c r="I28" s="92"/>
      <c r="J28" s="92"/>
    </row>
    <row r="29" spans="1:24" ht="31.5" customHeight="1">
      <c r="A29" s="100" t="s">
        <v>28</v>
      </c>
      <c r="B29" s="100"/>
      <c r="C29" s="77"/>
      <c r="D29" s="77"/>
      <c r="G29" s="1"/>
      <c r="J29" s="1"/>
      <c r="M29" s="1"/>
      <c r="P29" s="1"/>
    </row>
    <row r="30" spans="1:24" ht="21.75" customHeight="1">
      <c r="A30" s="93" t="s">
        <v>10</v>
      </c>
      <c r="B30" s="94"/>
      <c r="C30" s="75"/>
      <c r="D30" s="75"/>
      <c r="G30" s="1"/>
      <c r="J30" s="1"/>
      <c r="M30" s="1"/>
      <c r="P30" s="1"/>
    </row>
    <row r="31" spans="1:24" ht="21.75" customHeight="1">
      <c r="A31" s="95"/>
      <c r="B31" s="96"/>
      <c r="C31" s="76"/>
      <c r="D31" s="76"/>
      <c r="E31" s="82" t="s">
        <v>9</v>
      </c>
      <c r="F31" s="83"/>
      <c r="G31" s="84"/>
      <c r="H31" s="82" t="s">
        <v>8</v>
      </c>
      <c r="I31" s="83"/>
      <c r="J31" s="84"/>
      <c r="K31" s="82" t="s">
        <v>7</v>
      </c>
      <c r="L31" s="83"/>
      <c r="M31" s="84"/>
      <c r="N31" s="82" t="s">
        <v>6</v>
      </c>
      <c r="O31" s="83"/>
      <c r="P31" s="84"/>
      <c r="Q31" s="82" t="s">
        <v>5</v>
      </c>
      <c r="R31" s="83"/>
      <c r="S31" s="84"/>
      <c r="T31" s="82" t="s">
        <v>4</v>
      </c>
      <c r="U31" s="83"/>
      <c r="V31" s="84"/>
      <c r="W31" s="85" t="s">
        <v>3</v>
      </c>
      <c r="X31" s="87" t="s">
        <v>2</v>
      </c>
    </row>
    <row r="32" spans="1:24" ht="21.75" customHeight="1" thickBot="1">
      <c r="A32" s="3"/>
      <c r="B32" s="4" t="s">
        <v>1</v>
      </c>
      <c r="C32" s="4"/>
      <c r="D32" s="4"/>
      <c r="E32" s="5">
        <v>5840</v>
      </c>
      <c r="F32" s="6" t="s">
        <v>0</v>
      </c>
      <c r="G32" s="5"/>
      <c r="H32" s="5">
        <v>300</v>
      </c>
      <c r="I32" s="6" t="s">
        <v>0</v>
      </c>
      <c r="J32" s="5"/>
      <c r="K32" s="5">
        <v>940</v>
      </c>
      <c r="L32" s="6" t="s">
        <v>0</v>
      </c>
      <c r="M32" s="5"/>
      <c r="N32" s="5">
        <v>130</v>
      </c>
      <c r="O32" s="6" t="s">
        <v>0</v>
      </c>
      <c r="P32" s="5"/>
      <c r="Q32" s="8">
        <v>2800</v>
      </c>
      <c r="R32" s="5" t="s">
        <v>0</v>
      </c>
      <c r="S32" s="5"/>
      <c r="T32" s="8">
        <v>1000</v>
      </c>
      <c r="U32" s="6" t="s">
        <v>0</v>
      </c>
      <c r="V32" s="5"/>
      <c r="W32" s="86"/>
      <c r="X32" s="88"/>
    </row>
    <row r="33" spans="1:25" ht="19.5" customHeight="1" thickTop="1">
      <c r="A33" s="24">
        <v>1</v>
      </c>
      <c r="B33" s="37" t="s">
        <v>31</v>
      </c>
      <c r="C33" s="37">
        <v>3</v>
      </c>
      <c r="D33" s="37">
        <v>6</v>
      </c>
      <c r="E33" s="11">
        <v>5840</v>
      </c>
      <c r="F33" s="12">
        <v>21</v>
      </c>
      <c r="G33" s="13">
        <f t="shared" ref="G33:G53" si="13">SUM(E33*F33)</f>
        <v>122640</v>
      </c>
      <c r="H33" s="14">
        <v>300</v>
      </c>
      <c r="I33" s="12"/>
      <c r="J33" s="13">
        <f t="shared" ref="J33:J53" si="14">SUM(H33*I33)</f>
        <v>0</v>
      </c>
      <c r="K33" s="14">
        <v>940</v>
      </c>
      <c r="L33" s="12">
        <v>1</v>
      </c>
      <c r="M33" s="13">
        <f t="shared" ref="M33:M53" si="15">SUM(K33*L33)</f>
        <v>940</v>
      </c>
      <c r="N33" s="14">
        <v>130</v>
      </c>
      <c r="O33" s="12">
        <f>F33*2</f>
        <v>42</v>
      </c>
      <c r="P33" s="13">
        <f t="shared" ref="P33:P53" si="16">SUM(N33*O33)</f>
        <v>5460</v>
      </c>
      <c r="Q33" s="11">
        <v>2800</v>
      </c>
      <c r="R33" s="12"/>
      <c r="S33" s="13">
        <f t="shared" ref="S33:S53" si="17">SUM(Q33*R33)</f>
        <v>0</v>
      </c>
      <c r="T33" s="16">
        <v>1000</v>
      </c>
      <c r="U33" s="17"/>
      <c r="V33" s="18">
        <f t="shared" ref="V33:V53" si="18">SUM(U33*T33)</f>
        <v>0</v>
      </c>
      <c r="W33" s="18"/>
      <c r="X33" s="38">
        <f>SUM(G33+J33+M33+P33+S33+V33)</f>
        <v>129040</v>
      </c>
      <c r="Y33" s="1">
        <v>1</v>
      </c>
    </row>
    <row r="34" spans="1:25" ht="19.5" customHeight="1">
      <c r="A34" s="24">
        <v>2</v>
      </c>
      <c r="B34" s="39" t="s">
        <v>32</v>
      </c>
      <c r="C34" s="78">
        <v>1</v>
      </c>
      <c r="D34" s="78">
        <v>7</v>
      </c>
      <c r="E34" s="11">
        <v>5840</v>
      </c>
      <c r="F34" s="12">
        <v>20</v>
      </c>
      <c r="G34" s="13">
        <f t="shared" si="13"/>
        <v>116800</v>
      </c>
      <c r="H34" s="14">
        <v>300</v>
      </c>
      <c r="I34" s="12"/>
      <c r="J34" s="13">
        <f t="shared" si="14"/>
        <v>0</v>
      </c>
      <c r="K34" s="14">
        <v>940</v>
      </c>
      <c r="L34" s="20">
        <v>2</v>
      </c>
      <c r="M34" s="13">
        <f t="shared" si="15"/>
        <v>1880</v>
      </c>
      <c r="N34" s="14">
        <v>130</v>
      </c>
      <c r="O34" s="20">
        <f t="shared" ref="O34:O51" si="19">F34*2</f>
        <v>40</v>
      </c>
      <c r="P34" s="13">
        <f t="shared" si="16"/>
        <v>5200</v>
      </c>
      <c r="Q34" s="11">
        <v>2800</v>
      </c>
      <c r="R34" s="20"/>
      <c r="S34" s="13">
        <f t="shared" si="17"/>
        <v>0</v>
      </c>
      <c r="T34" s="21">
        <v>1000</v>
      </c>
      <c r="U34" s="22"/>
      <c r="V34" s="18">
        <f t="shared" si="18"/>
        <v>0</v>
      </c>
      <c r="W34" s="18">
        <v>9300</v>
      </c>
      <c r="X34" s="38">
        <f>SUM(G34+J34+M34+P34+S34+V34)-W34</f>
        <v>114580</v>
      </c>
      <c r="Y34" s="1">
        <v>1</v>
      </c>
    </row>
    <row r="35" spans="1:25" ht="19.5" customHeight="1">
      <c r="A35" s="24">
        <v>3</v>
      </c>
      <c r="B35" s="39" t="s">
        <v>14</v>
      </c>
      <c r="C35" s="78">
        <v>4</v>
      </c>
      <c r="D35" s="78">
        <v>3</v>
      </c>
      <c r="E35" s="11">
        <v>5840</v>
      </c>
      <c r="F35" s="12">
        <v>19</v>
      </c>
      <c r="G35" s="13">
        <f t="shared" si="13"/>
        <v>110960</v>
      </c>
      <c r="H35" s="14">
        <v>300</v>
      </c>
      <c r="I35" s="12"/>
      <c r="J35" s="13">
        <f t="shared" si="14"/>
        <v>0</v>
      </c>
      <c r="K35" s="14">
        <v>940</v>
      </c>
      <c r="L35" s="20">
        <v>3</v>
      </c>
      <c r="M35" s="13">
        <f t="shared" si="15"/>
        <v>2820</v>
      </c>
      <c r="N35" s="14">
        <v>130</v>
      </c>
      <c r="O35" s="20">
        <f t="shared" si="19"/>
        <v>38</v>
      </c>
      <c r="P35" s="13">
        <f t="shared" si="16"/>
        <v>4940</v>
      </c>
      <c r="Q35" s="11">
        <v>2800</v>
      </c>
      <c r="R35" s="20"/>
      <c r="S35" s="13">
        <f t="shared" si="17"/>
        <v>0</v>
      </c>
      <c r="T35" s="21">
        <v>1000</v>
      </c>
      <c r="U35" s="22"/>
      <c r="V35" s="18">
        <f t="shared" si="18"/>
        <v>0</v>
      </c>
      <c r="W35" s="18"/>
      <c r="X35" s="38">
        <f t="shared" ref="X35:X53" si="20">SUM(G35+J35+M35+P35+S35+V35)-W35</f>
        <v>118720</v>
      </c>
      <c r="Y35" s="1">
        <v>1</v>
      </c>
    </row>
    <row r="36" spans="1:25" ht="19.5" customHeight="1">
      <c r="A36" s="24">
        <v>4</v>
      </c>
      <c r="B36" s="39" t="s">
        <v>34</v>
      </c>
      <c r="C36" s="78">
        <v>3</v>
      </c>
      <c r="D36" s="78">
        <v>5</v>
      </c>
      <c r="E36" s="11">
        <v>5840</v>
      </c>
      <c r="F36" s="12">
        <v>9</v>
      </c>
      <c r="G36" s="13">
        <f t="shared" si="13"/>
        <v>52560</v>
      </c>
      <c r="H36" s="14">
        <v>300</v>
      </c>
      <c r="I36" s="12"/>
      <c r="J36" s="13">
        <f t="shared" si="14"/>
        <v>0</v>
      </c>
      <c r="K36" s="14">
        <v>940</v>
      </c>
      <c r="L36" s="20">
        <v>4</v>
      </c>
      <c r="M36" s="13">
        <f t="shared" si="15"/>
        <v>3760</v>
      </c>
      <c r="N36" s="14">
        <v>130</v>
      </c>
      <c r="O36" s="20">
        <f t="shared" si="19"/>
        <v>18</v>
      </c>
      <c r="P36" s="13">
        <f t="shared" si="16"/>
        <v>2340</v>
      </c>
      <c r="Q36" s="11">
        <v>2800</v>
      </c>
      <c r="R36" s="20"/>
      <c r="S36" s="13">
        <f t="shared" si="17"/>
        <v>0</v>
      </c>
      <c r="T36" s="21">
        <v>1000</v>
      </c>
      <c r="U36" s="22"/>
      <c r="V36" s="18">
        <f t="shared" si="18"/>
        <v>0</v>
      </c>
      <c r="W36" s="18"/>
      <c r="X36" s="38">
        <f t="shared" si="20"/>
        <v>58660</v>
      </c>
      <c r="Y36" s="1">
        <v>1</v>
      </c>
    </row>
    <row r="37" spans="1:25" ht="19.5" customHeight="1">
      <c r="A37" s="24">
        <v>5</v>
      </c>
      <c r="B37" s="39" t="s">
        <v>35</v>
      </c>
      <c r="C37" s="78">
        <v>1</v>
      </c>
      <c r="D37" s="78">
        <v>6</v>
      </c>
      <c r="E37" s="11">
        <v>5840</v>
      </c>
      <c r="F37" s="12">
        <v>20</v>
      </c>
      <c r="G37" s="13">
        <f t="shared" si="13"/>
        <v>116800</v>
      </c>
      <c r="H37" s="14">
        <v>300</v>
      </c>
      <c r="I37" s="12"/>
      <c r="J37" s="13">
        <f t="shared" si="14"/>
        <v>0</v>
      </c>
      <c r="K37" s="14">
        <v>940</v>
      </c>
      <c r="L37" s="20">
        <v>2</v>
      </c>
      <c r="M37" s="13">
        <f t="shared" si="15"/>
        <v>1880</v>
      </c>
      <c r="N37" s="14">
        <v>130</v>
      </c>
      <c r="O37" s="20">
        <v>0</v>
      </c>
      <c r="P37" s="13">
        <f t="shared" si="16"/>
        <v>0</v>
      </c>
      <c r="Q37" s="11">
        <v>2800</v>
      </c>
      <c r="R37" s="20"/>
      <c r="S37" s="13">
        <f t="shared" si="17"/>
        <v>0</v>
      </c>
      <c r="T37" s="21">
        <v>1000</v>
      </c>
      <c r="U37" s="22"/>
      <c r="V37" s="18">
        <f t="shared" si="18"/>
        <v>0</v>
      </c>
      <c r="W37" s="18"/>
      <c r="X37" s="38">
        <f t="shared" si="20"/>
        <v>118680</v>
      </c>
      <c r="Y37" s="1">
        <v>1</v>
      </c>
    </row>
    <row r="38" spans="1:25" ht="19.5" customHeight="1">
      <c r="A38" s="24">
        <v>6</v>
      </c>
      <c r="B38" s="39" t="s">
        <v>36</v>
      </c>
      <c r="C38" s="78">
        <v>3</v>
      </c>
      <c r="D38" s="78">
        <v>5</v>
      </c>
      <c r="E38" s="11">
        <v>5840</v>
      </c>
      <c r="F38" s="12">
        <v>17</v>
      </c>
      <c r="G38" s="13">
        <f t="shared" si="13"/>
        <v>99280</v>
      </c>
      <c r="H38" s="14">
        <v>300</v>
      </c>
      <c r="I38" s="12"/>
      <c r="J38" s="13">
        <f t="shared" si="14"/>
        <v>0</v>
      </c>
      <c r="K38" s="14">
        <v>940</v>
      </c>
      <c r="L38" s="20">
        <v>4</v>
      </c>
      <c r="M38" s="13">
        <f t="shared" si="15"/>
        <v>3760</v>
      </c>
      <c r="N38" s="14">
        <v>130</v>
      </c>
      <c r="O38" s="20">
        <f t="shared" si="19"/>
        <v>34</v>
      </c>
      <c r="P38" s="13">
        <f t="shared" si="16"/>
        <v>4420</v>
      </c>
      <c r="Q38" s="11">
        <v>2800</v>
      </c>
      <c r="R38" s="20"/>
      <c r="S38" s="13">
        <f t="shared" si="17"/>
        <v>0</v>
      </c>
      <c r="T38" s="21">
        <v>1000</v>
      </c>
      <c r="U38" s="22"/>
      <c r="V38" s="18">
        <f t="shared" si="18"/>
        <v>0</v>
      </c>
      <c r="W38" s="18"/>
      <c r="X38" s="38">
        <f t="shared" si="20"/>
        <v>107460</v>
      </c>
      <c r="Y38" s="1">
        <v>1</v>
      </c>
    </row>
    <row r="39" spans="1:25" ht="19.5" customHeight="1">
      <c r="A39" s="24">
        <v>7</v>
      </c>
      <c r="B39" s="39" t="s">
        <v>37</v>
      </c>
      <c r="C39" s="78">
        <v>2</v>
      </c>
      <c r="D39" s="78">
        <v>3</v>
      </c>
      <c r="E39" s="11">
        <v>5840</v>
      </c>
      <c r="F39" s="12">
        <v>7</v>
      </c>
      <c r="G39" s="13">
        <f t="shared" si="13"/>
        <v>40880</v>
      </c>
      <c r="H39" s="14">
        <v>300</v>
      </c>
      <c r="I39" s="12"/>
      <c r="J39" s="13">
        <f t="shared" si="14"/>
        <v>0</v>
      </c>
      <c r="K39" s="14">
        <v>940</v>
      </c>
      <c r="L39" s="20"/>
      <c r="M39" s="13">
        <f t="shared" si="15"/>
        <v>0</v>
      </c>
      <c r="N39" s="14">
        <v>130</v>
      </c>
      <c r="O39" s="20"/>
      <c r="P39" s="13">
        <f t="shared" si="16"/>
        <v>0</v>
      </c>
      <c r="Q39" s="11">
        <v>2800</v>
      </c>
      <c r="R39" s="20"/>
      <c r="S39" s="13">
        <f t="shared" si="17"/>
        <v>0</v>
      </c>
      <c r="T39" s="21">
        <v>1000</v>
      </c>
      <c r="U39" s="22"/>
      <c r="V39" s="18">
        <f t="shared" si="18"/>
        <v>0</v>
      </c>
      <c r="W39" s="18"/>
      <c r="X39" s="38">
        <f t="shared" si="20"/>
        <v>40880</v>
      </c>
    </row>
    <row r="40" spans="1:25" ht="19.5" customHeight="1">
      <c r="A40" s="24">
        <v>8</v>
      </c>
      <c r="B40" s="37" t="s">
        <v>38</v>
      </c>
      <c r="C40" s="37">
        <v>2</v>
      </c>
      <c r="D40" s="37">
        <v>1</v>
      </c>
      <c r="E40" s="11">
        <v>5840</v>
      </c>
      <c r="F40" s="12">
        <v>18</v>
      </c>
      <c r="G40" s="13">
        <f t="shared" si="13"/>
        <v>105120</v>
      </c>
      <c r="H40" s="14">
        <v>300</v>
      </c>
      <c r="I40" s="12"/>
      <c r="J40" s="13">
        <f t="shared" si="14"/>
        <v>0</v>
      </c>
      <c r="K40" s="14">
        <v>940</v>
      </c>
      <c r="L40" s="20">
        <v>4</v>
      </c>
      <c r="M40" s="13">
        <f t="shared" si="15"/>
        <v>3760</v>
      </c>
      <c r="N40" s="14">
        <v>130</v>
      </c>
      <c r="O40" s="20">
        <f t="shared" si="19"/>
        <v>36</v>
      </c>
      <c r="P40" s="13">
        <f t="shared" si="16"/>
        <v>4680</v>
      </c>
      <c r="Q40" s="11">
        <v>2800</v>
      </c>
      <c r="R40" s="20"/>
      <c r="S40" s="13">
        <f t="shared" si="17"/>
        <v>0</v>
      </c>
      <c r="T40" s="21">
        <v>1000</v>
      </c>
      <c r="U40" s="22"/>
      <c r="V40" s="18">
        <f t="shared" si="18"/>
        <v>0</v>
      </c>
      <c r="W40" s="18"/>
      <c r="X40" s="38">
        <f t="shared" si="20"/>
        <v>113560</v>
      </c>
      <c r="Y40" s="1">
        <v>1</v>
      </c>
    </row>
    <row r="41" spans="1:25" ht="19.5" customHeight="1">
      <c r="A41" s="24">
        <v>9</v>
      </c>
      <c r="B41" s="39" t="s">
        <v>40</v>
      </c>
      <c r="C41" s="78">
        <v>3</v>
      </c>
      <c r="D41" s="78">
        <v>5</v>
      </c>
      <c r="E41" s="11">
        <v>5840</v>
      </c>
      <c r="F41" s="12">
        <v>4</v>
      </c>
      <c r="G41" s="13">
        <f t="shared" si="13"/>
        <v>23360</v>
      </c>
      <c r="H41" s="14">
        <v>300</v>
      </c>
      <c r="I41" s="12"/>
      <c r="J41" s="13">
        <f t="shared" si="14"/>
        <v>0</v>
      </c>
      <c r="K41" s="14">
        <v>940</v>
      </c>
      <c r="L41" s="20"/>
      <c r="M41" s="13">
        <f t="shared" si="15"/>
        <v>0</v>
      </c>
      <c r="N41" s="14">
        <v>130</v>
      </c>
      <c r="O41" s="20">
        <f t="shared" si="19"/>
        <v>8</v>
      </c>
      <c r="P41" s="13">
        <f t="shared" si="16"/>
        <v>1040</v>
      </c>
      <c r="Q41" s="11">
        <v>2800</v>
      </c>
      <c r="R41" s="20"/>
      <c r="S41" s="13">
        <f t="shared" si="17"/>
        <v>0</v>
      </c>
      <c r="T41" s="21">
        <v>1000</v>
      </c>
      <c r="U41" s="22"/>
      <c r="V41" s="18">
        <f t="shared" si="18"/>
        <v>0</v>
      </c>
      <c r="W41" s="18"/>
      <c r="X41" s="38">
        <f t="shared" si="20"/>
        <v>24400</v>
      </c>
      <c r="Y41" s="1">
        <v>1</v>
      </c>
    </row>
    <row r="42" spans="1:25" ht="19.5" customHeight="1">
      <c r="A42" s="24">
        <v>10</v>
      </c>
      <c r="B42" s="39" t="s">
        <v>41</v>
      </c>
      <c r="C42" s="78">
        <v>3</v>
      </c>
      <c r="D42" s="78">
        <v>6</v>
      </c>
      <c r="E42" s="11">
        <v>5840</v>
      </c>
      <c r="F42" s="12">
        <v>20</v>
      </c>
      <c r="G42" s="13">
        <f t="shared" si="13"/>
        <v>116800</v>
      </c>
      <c r="H42" s="14">
        <v>300</v>
      </c>
      <c r="I42" s="12"/>
      <c r="J42" s="13">
        <f t="shared" si="14"/>
        <v>0</v>
      </c>
      <c r="K42" s="14">
        <v>940</v>
      </c>
      <c r="L42" s="20">
        <v>2</v>
      </c>
      <c r="M42" s="13">
        <f t="shared" si="15"/>
        <v>1880</v>
      </c>
      <c r="N42" s="14">
        <v>130</v>
      </c>
      <c r="O42" s="20">
        <f t="shared" si="19"/>
        <v>40</v>
      </c>
      <c r="P42" s="13">
        <f t="shared" si="16"/>
        <v>5200</v>
      </c>
      <c r="Q42" s="11">
        <v>2800</v>
      </c>
      <c r="R42" s="20"/>
      <c r="S42" s="13">
        <f t="shared" si="17"/>
        <v>0</v>
      </c>
      <c r="T42" s="21">
        <v>1000</v>
      </c>
      <c r="U42" s="22"/>
      <c r="V42" s="18">
        <f t="shared" si="18"/>
        <v>0</v>
      </c>
      <c r="W42" s="18"/>
      <c r="X42" s="38">
        <f t="shared" si="20"/>
        <v>123880</v>
      </c>
      <c r="Y42" s="1">
        <v>1</v>
      </c>
    </row>
    <row r="43" spans="1:25" ht="19.5" customHeight="1">
      <c r="A43" s="24">
        <v>11</v>
      </c>
      <c r="B43" s="39" t="s">
        <v>42</v>
      </c>
      <c r="C43" s="78">
        <v>1</v>
      </c>
      <c r="D43" s="78">
        <v>6</v>
      </c>
      <c r="E43" s="11">
        <v>5840</v>
      </c>
      <c r="F43" s="12">
        <v>20</v>
      </c>
      <c r="G43" s="13">
        <f t="shared" si="13"/>
        <v>116800</v>
      </c>
      <c r="H43" s="14">
        <v>300</v>
      </c>
      <c r="I43" s="12"/>
      <c r="J43" s="13">
        <f t="shared" si="14"/>
        <v>0</v>
      </c>
      <c r="K43" s="14">
        <v>940</v>
      </c>
      <c r="L43" s="20">
        <v>2</v>
      </c>
      <c r="M43" s="13">
        <f t="shared" si="15"/>
        <v>1880</v>
      </c>
      <c r="N43" s="14">
        <v>130</v>
      </c>
      <c r="O43" s="20">
        <f t="shared" si="19"/>
        <v>40</v>
      </c>
      <c r="P43" s="13">
        <f t="shared" si="16"/>
        <v>5200</v>
      </c>
      <c r="Q43" s="11">
        <v>2800</v>
      </c>
      <c r="R43" s="20"/>
      <c r="S43" s="13">
        <f t="shared" si="17"/>
        <v>0</v>
      </c>
      <c r="T43" s="21">
        <v>1001</v>
      </c>
      <c r="U43" s="22"/>
      <c r="V43" s="18">
        <f t="shared" si="18"/>
        <v>0</v>
      </c>
      <c r="W43" s="18"/>
      <c r="X43" s="38">
        <f t="shared" si="20"/>
        <v>123880</v>
      </c>
      <c r="Y43" s="1">
        <v>1</v>
      </c>
    </row>
    <row r="44" spans="1:25" ht="19.5" customHeight="1">
      <c r="A44" s="24">
        <v>12</v>
      </c>
      <c r="B44" s="39" t="s">
        <v>43</v>
      </c>
      <c r="C44" s="78">
        <v>3</v>
      </c>
      <c r="D44" s="78">
        <v>7</v>
      </c>
      <c r="E44" s="11">
        <v>5840</v>
      </c>
      <c r="F44" s="12">
        <v>22</v>
      </c>
      <c r="G44" s="13">
        <f t="shared" si="13"/>
        <v>128480</v>
      </c>
      <c r="H44" s="14">
        <v>300</v>
      </c>
      <c r="I44" s="12"/>
      <c r="J44" s="13">
        <f t="shared" si="14"/>
        <v>0</v>
      </c>
      <c r="K44" s="14">
        <v>940</v>
      </c>
      <c r="L44" s="20"/>
      <c r="M44" s="13">
        <f t="shared" si="15"/>
        <v>0</v>
      </c>
      <c r="N44" s="14">
        <v>130</v>
      </c>
      <c r="O44" s="20">
        <f t="shared" si="19"/>
        <v>44</v>
      </c>
      <c r="P44" s="13">
        <f t="shared" si="16"/>
        <v>5720</v>
      </c>
      <c r="Q44" s="11">
        <v>2800</v>
      </c>
      <c r="R44" s="20"/>
      <c r="S44" s="13">
        <f t="shared" si="17"/>
        <v>0</v>
      </c>
      <c r="T44" s="21">
        <v>1001</v>
      </c>
      <c r="U44" s="22"/>
      <c r="V44" s="18">
        <f t="shared" si="18"/>
        <v>0</v>
      </c>
      <c r="W44" s="18">
        <v>9300</v>
      </c>
      <c r="X44" s="38">
        <f t="shared" si="20"/>
        <v>124900</v>
      </c>
      <c r="Y44" s="1">
        <v>1</v>
      </c>
    </row>
    <row r="45" spans="1:25" ht="19.5" customHeight="1">
      <c r="A45" s="24">
        <v>13</v>
      </c>
      <c r="B45" s="39" t="s">
        <v>44</v>
      </c>
      <c r="C45" s="78">
        <v>3</v>
      </c>
      <c r="D45" s="78">
        <v>4</v>
      </c>
      <c r="E45" s="11">
        <v>5840</v>
      </c>
      <c r="F45" s="12">
        <v>20</v>
      </c>
      <c r="G45" s="13">
        <f t="shared" si="13"/>
        <v>116800</v>
      </c>
      <c r="H45" s="14">
        <v>300</v>
      </c>
      <c r="I45" s="12"/>
      <c r="J45" s="13">
        <f t="shared" si="14"/>
        <v>0</v>
      </c>
      <c r="K45" s="14">
        <v>940</v>
      </c>
      <c r="L45" s="20"/>
      <c r="M45" s="13">
        <f t="shared" si="15"/>
        <v>0</v>
      </c>
      <c r="N45" s="14">
        <v>130</v>
      </c>
      <c r="O45" s="20">
        <v>0</v>
      </c>
      <c r="P45" s="13">
        <f t="shared" si="16"/>
        <v>0</v>
      </c>
      <c r="Q45" s="11">
        <v>2800</v>
      </c>
      <c r="R45" s="20"/>
      <c r="S45" s="13">
        <f t="shared" si="17"/>
        <v>0</v>
      </c>
      <c r="T45" s="21">
        <v>1002</v>
      </c>
      <c r="U45" s="22"/>
      <c r="V45" s="18">
        <f t="shared" si="18"/>
        <v>0</v>
      </c>
      <c r="W45" s="18"/>
      <c r="X45" s="38">
        <f t="shared" si="20"/>
        <v>116800</v>
      </c>
      <c r="Y45" s="1">
        <v>1</v>
      </c>
    </row>
    <row r="46" spans="1:25" ht="19.5" customHeight="1">
      <c r="A46" s="24">
        <v>14</v>
      </c>
      <c r="B46" s="39" t="s">
        <v>55</v>
      </c>
      <c r="C46" s="78">
        <v>1</v>
      </c>
      <c r="D46" s="78">
        <v>6</v>
      </c>
      <c r="E46" s="11">
        <v>5840</v>
      </c>
      <c r="F46" s="12">
        <v>11</v>
      </c>
      <c r="G46" s="13">
        <f t="shared" si="13"/>
        <v>64240</v>
      </c>
      <c r="H46" s="14">
        <v>300</v>
      </c>
      <c r="I46" s="12"/>
      <c r="J46" s="13">
        <f t="shared" si="14"/>
        <v>0</v>
      </c>
      <c r="K46" s="14">
        <v>940</v>
      </c>
      <c r="L46" s="20">
        <v>4</v>
      </c>
      <c r="M46" s="13">
        <f t="shared" ref="M46:M48" si="21">SUM(K46*L46)</f>
        <v>3760</v>
      </c>
      <c r="N46" s="14">
        <v>130</v>
      </c>
      <c r="O46" s="20">
        <f t="shared" si="19"/>
        <v>22</v>
      </c>
      <c r="P46" s="13">
        <f t="shared" ref="P46:P48" si="22">SUM(N46*O46)</f>
        <v>2860</v>
      </c>
      <c r="Q46" s="11">
        <v>2800</v>
      </c>
      <c r="R46" s="20"/>
      <c r="S46" s="13">
        <f t="shared" ref="S46:S48" si="23">SUM(Q46*R46)</f>
        <v>0</v>
      </c>
      <c r="T46" s="21">
        <v>1001</v>
      </c>
      <c r="U46" s="22"/>
      <c r="V46" s="18">
        <f t="shared" ref="V46:V48" si="24">SUM(U46*T46)</f>
        <v>0</v>
      </c>
      <c r="W46" s="18"/>
      <c r="X46" s="38">
        <f t="shared" si="20"/>
        <v>70860</v>
      </c>
      <c r="Y46" s="1">
        <v>1</v>
      </c>
    </row>
    <row r="47" spans="1:25" ht="19.5" customHeight="1">
      <c r="A47" s="24">
        <v>15</v>
      </c>
      <c r="B47" s="39" t="s">
        <v>56</v>
      </c>
      <c r="C47" s="78">
        <v>1</v>
      </c>
      <c r="D47" s="78">
        <v>7</v>
      </c>
      <c r="E47" s="11">
        <v>5840</v>
      </c>
      <c r="F47" s="12">
        <v>14</v>
      </c>
      <c r="G47" s="13">
        <f t="shared" si="13"/>
        <v>81760</v>
      </c>
      <c r="H47" s="14">
        <v>300</v>
      </c>
      <c r="I47" s="12"/>
      <c r="J47" s="13">
        <f t="shared" si="14"/>
        <v>0</v>
      </c>
      <c r="K47" s="14">
        <v>940</v>
      </c>
      <c r="L47" s="20">
        <v>4</v>
      </c>
      <c r="M47" s="13">
        <f t="shared" si="21"/>
        <v>3760</v>
      </c>
      <c r="N47" s="14">
        <v>130</v>
      </c>
      <c r="O47" s="20">
        <f t="shared" si="19"/>
        <v>28</v>
      </c>
      <c r="P47" s="13">
        <f t="shared" si="22"/>
        <v>3640</v>
      </c>
      <c r="Q47" s="11">
        <v>2800</v>
      </c>
      <c r="R47" s="20"/>
      <c r="S47" s="13">
        <f t="shared" si="23"/>
        <v>0</v>
      </c>
      <c r="T47" s="21">
        <v>1002</v>
      </c>
      <c r="U47" s="22"/>
      <c r="V47" s="18">
        <f t="shared" si="24"/>
        <v>0</v>
      </c>
      <c r="W47" s="18"/>
      <c r="X47" s="38">
        <f t="shared" si="20"/>
        <v>89160</v>
      </c>
      <c r="Y47" s="1">
        <v>1</v>
      </c>
    </row>
    <row r="48" spans="1:25" ht="19.5" customHeight="1">
      <c r="A48" s="24">
        <v>16</v>
      </c>
      <c r="B48" s="39"/>
      <c r="C48" s="78"/>
      <c r="D48" s="78"/>
      <c r="E48" s="11">
        <v>8040</v>
      </c>
      <c r="F48" s="12">
        <v>15</v>
      </c>
      <c r="G48" s="13">
        <f t="shared" ref="G48" si="25">SUM(E48*F48)</f>
        <v>120600</v>
      </c>
      <c r="H48" s="14">
        <v>300</v>
      </c>
      <c r="I48" s="12"/>
      <c r="J48" s="13">
        <f t="shared" ref="J48" si="26">SUM(H48*I48)</f>
        <v>0</v>
      </c>
      <c r="K48" s="14">
        <v>940</v>
      </c>
      <c r="L48" s="20"/>
      <c r="M48" s="13">
        <f t="shared" si="21"/>
        <v>0</v>
      </c>
      <c r="N48" s="14">
        <v>130</v>
      </c>
      <c r="O48" s="20"/>
      <c r="P48" s="13">
        <f t="shared" si="22"/>
        <v>0</v>
      </c>
      <c r="Q48" s="11">
        <v>2800</v>
      </c>
      <c r="R48" s="20"/>
      <c r="S48" s="13">
        <f t="shared" si="23"/>
        <v>0</v>
      </c>
      <c r="T48" s="21">
        <v>1000</v>
      </c>
      <c r="U48" s="22"/>
      <c r="V48" s="18">
        <f t="shared" si="24"/>
        <v>0</v>
      </c>
      <c r="W48" s="18"/>
      <c r="X48" s="38">
        <f t="shared" ref="X48" si="27">SUM(G48+J48+M48+P48+S48+V48)-W48</f>
        <v>120600</v>
      </c>
    </row>
    <row r="49" spans="1:25" ht="19.5" customHeight="1">
      <c r="A49" s="24">
        <v>17</v>
      </c>
      <c r="B49" s="39" t="s">
        <v>57</v>
      </c>
      <c r="C49" s="78">
        <v>4</v>
      </c>
      <c r="D49" s="78">
        <v>2</v>
      </c>
      <c r="E49" s="11">
        <v>8040</v>
      </c>
      <c r="F49" s="12">
        <v>19</v>
      </c>
      <c r="G49" s="13">
        <f t="shared" ref="G49" si="28">SUM(E49*F49)</f>
        <v>152760</v>
      </c>
      <c r="H49" s="14">
        <v>300</v>
      </c>
      <c r="I49" s="12"/>
      <c r="J49" s="13">
        <f t="shared" ref="J49" si="29">SUM(H49*I49)</f>
        <v>0</v>
      </c>
      <c r="K49" s="14">
        <v>940</v>
      </c>
      <c r="L49" s="20">
        <v>3</v>
      </c>
      <c r="M49" s="13">
        <f t="shared" ref="M49" si="30">SUM(K49*L49)</f>
        <v>2820</v>
      </c>
      <c r="N49" s="14">
        <v>130</v>
      </c>
      <c r="O49" s="20">
        <f t="shared" ref="O49" si="31">F49*2</f>
        <v>38</v>
      </c>
      <c r="P49" s="13">
        <f t="shared" ref="P49" si="32">SUM(N49*O49)</f>
        <v>4940</v>
      </c>
      <c r="Q49" s="11">
        <v>2800</v>
      </c>
      <c r="R49" s="20"/>
      <c r="S49" s="13">
        <f t="shared" ref="S49" si="33">SUM(Q49*R49)</f>
        <v>0</v>
      </c>
      <c r="T49" s="21">
        <v>1000</v>
      </c>
      <c r="U49" s="22"/>
      <c r="V49" s="18">
        <f t="shared" ref="V49" si="34">SUM(U49*T49)</f>
        <v>0</v>
      </c>
      <c r="W49" s="18"/>
      <c r="X49" s="38">
        <f t="shared" ref="X49" si="35">SUM(G49+J49+M49+P49+S49+V49)-W49</f>
        <v>160520</v>
      </c>
      <c r="Y49" s="1">
        <v>1</v>
      </c>
    </row>
    <row r="50" spans="1:25" ht="19.5" customHeight="1">
      <c r="A50" s="24">
        <v>18</v>
      </c>
      <c r="B50" s="39" t="s">
        <v>45</v>
      </c>
      <c r="C50" s="78">
        <v>1</v>
      </c>
      <c r="D50" s="78">
        <v>1</v>
      </c>
      <c r="E50" s="11">
        <v>8040</v>
      </c>
      <c r="F50" s="12">
        <v>22</v>
      </c>
      <c r="G50" s="13">
        <f t="shared" si="13"/>
        <v>176880</v>
      </c>
      <c r="H50" s="14">
        <v>300</v>
      </c>
      <c r="I50" s="12"/>
      <c r="J50" s="13">
        <f t="shared" si="14"/>
        <v>0</v>
      </c>
      <c r="K50" s="14">
        <v>940</v>
      </c>
      <c r="L50" s="20"/>
      <c r="M50" s="13">
        <f t="shared" si="15"/>
        <v>0</v>
      </c>
      <c r="N50" s="14">
        <v>130</v>
      </c>
      <c r="O50" s="20">
        <f t="shared" si="19"/>
        <v>44</v>
      </c>
      <c r="P50" s="13">
        <f t="shared" si="16"/>
        <v>5720</v>
      </c>
      <c r="Q50" s="11">
        <v>2800</v>
      </c>
      <c r="R50" s="20"/>
      <c r="S50" s="13">
        <f t="shared" si="17"/>
        <v>0</v>
      </c>
      <c r="T50" s="21">
        <v>1000</v>
      </c>
      <c r="U50" s="22"/>
      <c r="V50" s="18">
        <f t="shared" si="18"/>
        <v>0</v>
      </c>
      <c r="W50" s="18"/>
      <c r="X50" s="38">
        <f t="shared" si="20"/>
        <v>182600</v>
      </c>
      <c r="Y50" s="1">
        <v>1</v>
      </c>
    </row>
    <row r="51" spans="1:25" ht="19.5" customHeight="1">
      <c r="A51" s="24">
        <v>19</v>
      </c>
      <c r="B51" s="39" t="s">
        <v>46</v>
      </c>
      <c r="C51" s="78">
        <v>2</v>
      </c>
      <c r="D51" s="78">
        <v>2</v>
      </c>
      <c r="E51" s="11">
        <v>8040</v>
      </c>
      <c r="F51" s="12">
        <v>21</v>
      </c>
      <c r="G51" s="13">
        <f t="shared" si="13"/>
        <v>168840</v>
      </c>
      <c r="H51" s="14">
        <v>300</v>
      </c>
      <c r="I51" s="12"/>
      <c r="J51" s="13">
        <f t="shared" si="14"/>
        <v>0</v>
      </c>
      <c r="K51" s="14">
        <v>940</v>
      </c>
      <c r="L51" s="20">
        <v>1</v>
      </c>
      <c r="M51" s="13">
        <f t="shared" si="15"/>
        <v>940</v>
      </c>
      <c r="N51" s="14">
        <v>130</v>
      </c>
      <c r="O51" s="20">
        <f t="shared" si="19"/>
        <v>42</v>
      </c>
      <c r="P51" s="13">
        <f t="shared" si="16"/>
        <v>5460</v>
      </c>
      <c r="Q51" s="11">
        <v>2800</v>
      </c>
      <c r="R51" s="20"/>
      <c r="S51" s="13">
        <f t="shared" si="17"/>
        <v>0</v>
      </c>
      <c r="T51" s="21">
        <v>1000</v>
      </c>
      <c r="U51" s="22"/>
      <c r="V51" s="18">
        <f t="shared" si="18"/>
        <v>0</v>
      </c>
      <c r="W51" s="18"/>
      <c r="X51" s="38">
        <f>SUM(G51+J51+M51+P51+S51+V51)-W51</f>
        <v>175240</v>
      </c>
      <c r="Y51" s="1">
        <v>1</v>
      </c>
    </row>
    <row r="52" spans="1:25" ht="19.5" customHeight="1">
      <c r="A52" s="24">
        <v>20</v>
      </c>
      <c r="B52" s="39" t="s">
        <v>47</v>
      </c>
      <c r="C52" s="78">
        <v>2</v>
      </c>
      <c r="D52" s="78">
        <v>1</v>
      </c>
      <c r="E52" s="11">
        <v>8040</v>
      </c>
      <c r="F52" s="12">
        <v>21</v>
      </c>
      <c r="G52" s="13">
        <f t="shared" si="13"/>
        <v>168840</v>
      </c>
      <c r="H52" s="14">
        <v>300</v>
      </c>
      <c r="I52" s="12"/>
      <c r="J52" s="13">
        <f t="shared" si="14"/>
        <v>0</v>
      </c>
      <c r="K52" s="14">
        <v>940</v>
      </c>
      <c r="L52" s="20">
        <v>1</v>
      </c>
      <c r="M52" s="13">
        <f t="shared" si="15"/>
        <v>940</v>
      </c>
      <c r="N52" s="14">
        <v>130</v>
      </c>
      <c r="O52" s="20">
        <v>0</v>
      </c>
      <c r="P52" s="13">
        <f t="shared" si="16"/>
        <v>0</v>
      </c>
      <c r="Q52" s="11">
        <v>2800</v>
      </c>
      <c r="R52" s="20"/>
      <c r="S52" s="13">
        <f t="shared" si="17"/>
        <v>0</v>
      </c>
      <c r="T52" s="21"/>
      <c r="U52" s="22"/>
      <c r="V52" s="18">
        <f t="shared" si="18"/>
        <v>0</v>
      </c>
      <c r="W52" s="18"/>
      <c r="X52" s="38">
        <f t="shared" si="20"/>
        <v>169780</v>
      </c>
    </row>
    <row r="53" spans="1:25" ht="19.5" customHeight="1" thickBot="1">
      <c r="A53" s="5"/>
      <c r="B53" s="5"/>
      <c r="C53" s="5"/>
      <c r="D53" s="5"/>
      <c r="E53" s="40">
        <v>5840</v>
      </c>
      <c r="F53" s="41"/>
      <c r="G53" s="42">
        <f t="shared" si="13"/>
        <v>0</v>
      </c>
      <c r="H53" s="43">
        <v>300</v>
      </c>
      <c r="I53" s="41"/>
      <c r="J53" s="42">
        <f t="shared" si="14"/>
        <v>0</v>
      </c>
      <c r="K53" s="43">
        <v>940</v>
      </c>
      <c r="L53" s="41"/>
      <c r="M53" s="42">
        <f t="shared" si="15"/>
        <v>0</v>
      </c>
      <c r="N53" s="43">
        <v>130</v>
      </c>
      <c r="O53" s="41"/>
      <c r="P53" s="42">
        <f t="shared" si="16"/>
        <v>0</v>
      </c>
      <c r="Q53" s="40">
        <v>2800</v>
      </c>
      <c r="R53" s="41"/>
      <c r="S53" s="42">
        <f t="shared" si="17"/>
        <v>0</v>
      </c>
      <c r="T53" s="8"/>
      <c r="U53" s="45"/>
      <c r="V53" s="46">
        <f t="shared" si="18"/>
        <v>0</v>
      </c>
      <c r="W53" s="46"/>
      <c r="X53" s="47">
        <f t="shared" si="20"/>
        <v>0</v>
      </c>
    </row>
    <row r="54" spans="1:25" ht="19.5" customHeight="1" thickTop="1">
      <c r="A54" s="48"/>
      <c r="B54" s="48"/>
      <c r="C54" s="48"/>
      <c r="D54" s="48"/>
      <c r="E54" s="48"/>
      <c r="F54" s="48"/>
      <c r="G54" s="38">
        <f>SUM(G33:G53)</f>
        <v>2201200</v>
      </c>
      <c r="H54" s="38"/>
      <c r="I54" s="38"/>
      <c r="J54" s="38">
        <f>SUM(J33:J53)</f>
        <v>0</v>
      </c>
      <c r="K54" s="38"/>
      <c r="L54" s="38"/>
      <c r="M54" s="38">
        <f>SUM(M33:M53)</f>
        <v>34780</v>
      </c>
      <c r="N54" s="38"/>
      <c r="O54" s="38"/>
      <c r="P54" s="38">
        <f>SUM(P33:P53)</f>
        <v>66820</v>
      </c>
      <c r="Q54" s="38"/>
      <c r="R54" s="48"/>
      <c r="S54" s="38">
        <f>SUM(S33:S53)</f>
        <v>0</v>
      </c>
      <c r="T54" s="48"/>
      <c r="U54" s="48"/>
      <c r="V54" s="38">
        <f>SUM(V33:V53)</f>
        <v>0</v>
      </c>
      <c r="W54" s="38">
        <f>SUM(W33:W53)</f>
        <v>18600</v>
      </c>
      <c r="X54" s="38">
        <f>SUM(X33:X53)</f>
        <v>2284200</v>
      </c>
    </row>
    <row r="55" spans="1:25" ht="19.5" customHeight="1">
      <c r="G55" s="2">
        <v>171</v>
      </c>
    </row>
    <row r="56" spans="1:25" s="49" customFormat="1" ht="19.5" customHeight="1">
      <c r="B56" s="49">
        <v>1</v>
      </c>
      <c r="C56" s="49">
        <f>COUNTIF($C$33:$C$53,B56)</f>
        <v>6</v>
      </c>
      <c r="D56" s="49">
        <v>1</v>
      </c>
      <c r="E56" s="49">
        <f>COUNTIF($D$33:$D$52,D56)</f>
        <v>3</v>
      </c>
      <c r="G56" s="128">
        <f>171*(C56/19)</f>
        <v>54</v>
      </c>
      <c r="H56" s="130">
        <f>2779950*(C56/19)</f>
        <v>877878.94736842101</v>
      </c>
      <c r="I56" s="130"/>
      <c r="J56" s="49">
        <f>171*(E56/19)</f>
        <v>27</v>
      </c>
      <c r="K56" s="130">
        <f>2779950*(E56/19)</f>
        <v>438939.4736842105</v>
      </c>
      <c r="L56" s="130"/>
      <c r="Q56" s="102" t="s">
        <v>29</v>
      </c>
      <c r="R56" s="103"/>
      <c r="S56" s="103"/>
      <c r="T56" s="103"/>
      <c r="U56" s="103"/>
      <c r="V56" s="103"/>
      <c r="W56" s="104"/>
      <c r="X56" s="51">
        <f>X20</f>
        <v>1073040</v>
      </c>
    </row>
    <row r="57" spans="1:25" s="49" customFormat="1" ht="19.5" customHeight="1" thickBot="1">
      <c r="B57" s="49">
        <v>2</v>
      </c>
      <c r="C57" s="49">
        <f t="shared" ref="C57:C62" si="36">COUNTIF($C$33:$C$53,B57)</f>
        <v>4</v>
      </c>
      <c r="D57" s="49">
        <v>2</v>
      </c>
      <c r="E57" s="49">
        <f t="shared" ref="E57:E62" si="37">COUNTIF($D$33:$D$52,D57)</f>
        <v>2</v>
      </c>
      <c r="G57" s="128">
        <f t="shared" ref="G57:G59" si="38">171*(C57/19)</f>
        <v>36</v>
      </c>
      <c r="H57" s="130">
        <f t="shared" ref="H57:H59" si="39">2779950*(C57/19)</f>
        <v>585252.6315789473</v>
      </c>
      <c r="I57" s="130"/>
      <c r="J57" s="49">
        <f t="shared" ref="J57:J62" si="40">171*(E57/19)</f>
        <v>18</v>
      </c>
      <c r="K57" s="130">
        <f t="shared" ref="K57:K62" si="41">2779950*(E57/19)</f>
        <v>292626.31578947365</v>
      </c>
      <c r="L57" s="130"/>
      <c r="Q57" s="105" t="s">
        <v>30</v>
      </c>
      <c r="R57" s="106"/>
      <c r="S57" s="106"/>
      <c r="T57" s="106"/>
      <c r="U57" s="106"/>
      <c r="V57" s="106"/>
      <c r="W57" s="107"/>
      <c r="X57" s="55">
        <f>X54</f>
        <v>2284200</v>
      </c>
    </row>
    <row r="58" spans="1:25" s="49" customFormat="1" ht="19.5" customHeight="1" thickTop="1">
      <c r="B58" s="49">
        <v>3</v>
      </c>
      <c r="C58" s="49">
        <f t="shared" si="36"/>
        <v>7</v>
      </c>
      <c r="D58" s="49">
        <v>3</v>
      </c>
      <c r="E58" s="49">
        <f t="shared" si="37"/>
        <v>2</v>
      </c>
      <c r="G58" s="128">
        <f t="shared" si="38"/>
        <v>63</v>
      </c>
      <c r="H58" s="130">
        <f t="shared" si="39"/>
        <v>1024192.1052631579</v>
      </c>
      <c r="I58" s="130"/>
      <c r="J58" s="49">
        <f t="shared" si="40"/>
        <v>18</v>
      </c>
      <c r="K58" s="130">
        <f t="shared" si="41"/>
        <v>292626.31578947365</v>
      </c>
      <c r="L58" s="130"/>
      <c r="Q58" s="108" t="s">
        <v>2</v>
      </c>
      <c r="R58" s="109"/>
      <c r="S58" s="109"/>
      <c r="T58" s="109"/>
      <c r="U58" s="109"/>
      <c r="V58" s="109"/>
      <c r="W58" s="110"/>
      <c r="X58" s="53">
        <f>X56+X57</f>
        <v>3357240</v>
      </c>
    </row>
    <row r="59" spans="1:25" ht="21">
      <c r="B59" s="1">
        <v>4</v>
      </c>
      <c r="C59" s="49">
        <f t="shared" si="36"/>
        <v>2</v>
      </c>
      <c r="D59" s="1">
        <v>4</v>
      </c>
      <c r="E59" s="49">
        <f t="shared" si="37"/>
        <v>1</v>
      </c>
      <c r="G59" s="128">
        <f t="shared" si="38"/>
        <v>18</v>
      </c>
      <c r="H59" s="130">
        <f t="shared" si="39"/>
        <v>292626.31578947365</v>
      </c>
      <c r="I59" s="130"/>
      <c r="J59" s="49">
        <f t="shared" si="40"/>
        <v>9</v>
      </c>
      <c r="K59" s="130">
        <f t="shared" si="41"/>
        <v>146313.15789473683</v>
      </c>
      <c r="L59" s="130"/>
    </row>
    <row r="60" spans="1:25" ht="21">
      <c r="B60" s="1">
        <v>5</v>
      </c>
      <c r="C60" s="1">
        <f t="shared" si="36"/>
        <v>0</v>
      </c>
      <c r="D60" s="1">
        <v>5</v>
      </c>
      <c r="E60" s="49">
        <f t="shared" si="37"/>
        <v>3</v>
      </c>
      <c r="H60" s="129"/>
      <c r="I60" s="129"/>
      <c r="J60" s="49">
        <f t="shared" si="40"/>
        <v>27</v>
      </c>
      <c r="K60" s="130">
        <f t="shared" si="41"/>
        <v>438939.4736842105</v>
      </c>
      <c r="L60" s="130"/>
    </row>
    <row r="61" spans="1:25" ht="21">
      <c r="B61" s="1">
        <v>6</v>
      </c>
      <c r="C61" s="1">
        <f t="shared" si="36"/>
        <v>0</v>
      </c>
      <c r="D61" s="1">
        <v>6</v>
      </c>
      <c r="E61" s="49">
        <f t="shared" si="37"/>
        <v>5</v>
      </c>
      <c r="J61" s="49">
        <f t="shared" si="40"/>
        <v>45</v>
      </c>
      <c r="K61" s="130">
        <f t="shared" si="41"/>
        <v>731565.78947368416</v>
      </c>
      <c r="L61" s="130"/>
    </row>
    <row r="62" spans="1:25" ht="21">
      <c r="B62" s="1">
        <v>7</v>
      </c>
      <c r="C62" s="1">
        <f t="shared" si="36"/>
        <v>0</v>
      </c>
      <c r="D62" s="1">
        <v>7</v>
      </c>
      <c r="E62" s="49">
        <f t="shared" si="37"/>
        <v>3</v>
      </c>
      <c r="J62" s="49">
        <f t="shared" si="40"/>
        <v>27</v>
      </c>
      <c r="K62" s="130">
        <f t="shared" si="41"/>
        <v>438939.4736842105</v>
      </c>
      <c r="L62" s="130"/>
    </row>
    <row r="65" spans="8:8">
      <c r="H65" s="1">
        <f>2779950-2339129</f>
        <v>440821</v>
      </c>
    </row>
  </sheetData>
  <mergeCells count="40">
    <mergeCell ref="K61:L61"/>
    <mergeCell ref="K62:L62"/>
    <mergeCell ref="H59:I59"/>
    <mergeCell ref="H60:I60"/>
    <mergeCell ref="K56:L56"/>
    <mergeCell ref="K57:L57"/>
    <mergeCell ref="K58:L58"/>
    <mergeCell ref="K59:L59"/>
    <mergeCell ref="K60:L60"/>
    <mergeCell ref="T4:V4"/>
    <mergeCell ref="W4:W5"/>
    <mergeCell ref="H56:I56"/>
    <mergeCell ref="H57:I57"/>
    <mergeCell ref="H58:I58"/>
    <mergeCell ref="F1:J1"/>
    <mergeCell ref="A2:B2"/>
    <mergeCell ref="A3:B4"/>
    <mergeCell ref="E4:G4"/>
    <mergeCell ref="H4:J4"/>
    <mergeCell ref="X4:X5"/>
    <mergeCell ref="Q58:W58"/>
    <mergeCell ref="Q21:W21"/>
    <mergeCell ref="Q22:W22"/>
    <mergeCell ref="F28:J28"/>
    <mergeCell ref="N31:P31"/>
    <mergeCell ref="Q31:S31"/>
    <mergeCell ref="T31:V31"/>
    <mergeCell ref="W31:W32"/>
    <mergeCell ref="X31:X32"/>
    <mergeCell ref="Q56:W56"/>
    <mergeCell ref="Q57:W57"/>
    <mergeCell ref="Q20:W20"/>
    <mergeCell ref="K4:M4"/>
    <mergeCell ref="N4:P4"/>
    <mergeCell ref="Q4:S4"/>
    <mergeCell ref="A29:B29"/>
    <mergeCell ref="A30:B31"/>
    <mergeCell ref="E31:G31"/>
    <mergeCell ref="H31:J31"/>
    <mergeCell ref="K31:M31"/>
  </mergeCells>
  <phoneticPr fontId="2"/>
  <pageMargins left="0.39370078740157483" right="0" top="0.15748031496062992" bottom="0" header="0.19685039370078741" footer="0.19685039370078741"/>
  <pageSetup paperSize="9" scale="77" fitToHeight="0" orientation="landscape" r:id="rId1"/>
  <headerFooter>
    <oddHeader>&amp;R&amp;K00-033カイト今治</oddHeader>
  </headerFooter>
  <rowBreaks count="1" manualBreakCount="1">
    <brk id="27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5"/>
  <sheetData/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１月（御調）</vt:lpstr>
      <vt:lpstr>２月（御調）</vt:lpstr>
      <vt:lpstr>３月（御調）</vt:lpstr>
      <vt:lpstr>４月（御調）</vt:lpstr>
      <vt:lpstr>5月（御調） (2)</vt:lpstr>
      <vt:lpstr>5月（御調） (3)</vt:lpstr>
      <vt:lpstr>Sheet4</vt:lpstr>
      <vt:lpstr>'１月（御調）'!Print_Area</vt:lpstr>
      <vt:lpstr>'２月（御調）'!Print_Area</vt:lpstr>
      <vt:lpstr>'３月（御調）'!Print_Area</vt:lpstr>
      <vt:lpstr>'5月（御調） (3)'!Print_Area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yamauchi</cp:lastModifiedBy>
  <cp:lastPrinted>2017-07-01T04:30:35Z</cp:lastPrinted>
  <dcterms:created xsi:type="dcterms:W3CDTF">2017-05-12T07:03:22Z</dcterms:created>
  <dcterms:modified xsi:type="dcterms:W3CDTF">2017-07-07T06:33:22Z</dcterms:modified>
</cp:coreProperties>
</file>