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"/>
    </mc:Choice>
  </mc:AlternateContent>
  <bookViews>
    <workbookView xWindow="0" yWindow="0" windowWidth="19200" windowHeight="11610" activeTab="2"/>
  </bookViews>
  <sheets>
    <sheet name="Sheet1" sheetId="1" r:id="rId1"/>
    <sheet name="退会" sheetId="2" r:id="rId2"/>
    <sheet name="Sheet1 (2)" sheetId="3" r:id="rId3"/>
    <sheet name="H28.1" sheetId="4" r:id="rId4"/>
  </sheets>
  <definedNames>
    <definedName name="_xlnm.Print_Area" localSheetId="0">Sheet1!$A$1:$AH$114</definedName>
    <definedName name="_xlnm.Print_Area" localSheetId="2">'Sheet1 (2)'!$A$1:$AT$54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9" i="4" l="1"/>
  <c r="I167" i="4"/>
  <c r="J167" i="4" s="1"/>
  <c r="B167" i="4"/>
  <c r="A167" i="4"/>
  <c r="I165" i="4"/>
  <c r="J165" i="4" s="1"/>
  <c r="B165" i="4"/>
  <c r="A165" i="4"/>
  <c r="I163" i="4"/>
  <c r="J163" i="4" s="1"/>
  <c r="B163" i="4"/>
  <c r="A163" i="4"/>
  <c r="I161" i="4"/>
  <c r="J161" i="4" s="1"/>
  <c r="B161" i="4"/>
  <c r="A161" i="4"/>
  <c r="I159" i="4"/>
  <c r="J159" i="4" s="1"/>
  <c r="B159" i="4"/>
  <c r="A159" i="4"/>
  <c r="I157" i="4"/>
  <c r="J157" i="4" s="1"/>
  <c r="B157" i="4"/>
  <c r="A157" i="4"/>
  <c r="I155" i="4"/>
  <c r="J155" i="4" s="1"/>
  <c r="B155" i="4"/>
  <c r="A155" i="4"/>
  <c r="I153" i="4"/>
  <c r="J153" i="4" s="1"/>
  <c r="B153" i="4"/>
  <c r="A153" i="4"/>
  <c r="I151" i="4"/>
  <c r="J151" i="4" s="1"/>
  <c r="B151" i="4"/>
  <c r="A151" i="4"/>
  <c r="I149" i="4"/>
  <c r="J149" i="4" s="1"/>
  <c r="B149" i="4"/>
  <c r="A149" i="4"/>
  <c r="I147" i="4"/>
  <c r="J147" i="4" s="1"/>
  <c r="B147" i="4"/>
  <c r="A147" i="4"/>
  <c r="I145" i="4"/>
  <c r="J145" i="4" s="1"/>
  <c r="B145" i="4"/>
  <c r="A145" i="4"/>
  <c r="I143" i="4"/>
  <c r="J143" i="4" s="1"/>
  <c r="B143" i="4"/>
  <c r="A143" i="4"/>
  <c r="C142" i="4"/>
  <c r="C144" i="4" s="1"/>
  <c r="C146" i="4" s="1"/>
  <c r="C148" i="4" s="1"/>
  <c r="C150" i="4" s="1"/>
  <c r="C152" i="4" s="1"/>
  <c r="C154" i="4" s="1"/>
  <c r="C156" i="4" s="1"/>
  <c r="C158" i="4" s="1"/>
  <c r="C160" i="4" s="1"/>
  <c r="C162" i="4" s="1"/>
  <c r="C164" i="4" s="1"/>
  <c r="C166" i="4" s="1"/>
  <c r="C168" i="4" s="1"/>
  <c r="K141" i="4"/>
  <c r="K143" i="4" s="1"/>
  <c r="K145" i="4" s="1"/>
  <c r="K147" i="4" s="1"/>
  <c r="K149" i="4" s="1"/>
  <c r="K151" i="4" s="1"/>
  <c r="K153" i="4" s="1"/>
  <c r="K155" i="4" s="1"/>
  <c r="K157" i="4" s="1"/>
  <c r="K159" i="4" s="1"/>
  <c r="K161" i="4" s="1"/>
  <c r="K163" i="4" s="1"/>
  <c r="K165" i="4" s="1"/>
  <c r="K167" i="4" s="1"/>
  <c r="I141" i="4"/>
  <c r="J141" i="4" s="1"/>
  <c r="C141" i="4"/>
  <c r="C143" i="4" s="1"/>
  <c r="C145" i="4" s="1"/>
  <c r="C147" i="4" s="1"/>
  <c r="C149" i="4" s="1"/>
  <c r="C151" i="4" s="1"/>
  <c r="C153" i="4" s="1"/>
  <c r="C155" i="4" s="1"/>
  <c r="C157" i="4" s="1"/>
  <c r="C159" i="4" s="1"/>
  <c r="C161" i="4" s="1"/>
  <c r="C163" i="4" s="1"/>
  <c r="C165" i="4" s="1"/>
  <c r="C167" i="4" s="1"/>
  <c r="B141" i="4"/>
  <c r="A141" i="4"/>
  <c r="K140" i="4"/>
  <c r="K142" i="4" s="1"/>
  <c r="K144" i="4" s="1"/>
  <c r="K146" i="4" s="1"/>
  <c r="K148" i="4" s="1"/>
  <c r="K150" i="4" s="1"/>
  <c r="K152" i="4" s="1"/>
  <c r="K154" i="4" s="1"/>
  <c r="K156" i="4" s="1"/>
  <c r="K158" i="4" s="1"/>
  <c r="K160" i="4" s="1"/>
  <c r="K162" i="4" s="1"/>
  <c r="K164" i="4" s="1"/>
  <c r="K166" i="4" s="1"/>
  <c r="K168" i="4" s="1"/>
  <c r="K139" i="4"/>
  <c r="J139" i="4"/>
  <c r="I139" i="4"/>
  <c r="B139" i="4"/>
  <c r="A139" i="4"/>
  <c r="O137" i="4"/>
  <c r="I135" i="4"/>
  <c r="I133" i="4"/>
  <c r="J133" i="4" s="1"/>
  <c r="A133" i="4"/>
  <c r="B133" i="4" s="1"/>
  <c r="I131" i="4"/>
  <c r="J131" i="4" s="1"/>
  <c r="A131" i="4"/>
  <c r="B131" i="4" s="1"/>
  <c r="I129" i="4"/>
  <c r="J129" i="4" s="1"/>
  <c r="A129" i="4"/>
  <c r="B129" i="4" s="1"/>
  <c r="I127" i="4"/>
  <c r="J127" i="4" s="1"/>
  <c r="A127" i="4"/>
  <c r="B127" i="4" s="1"/>
  <c r="I125" i="4"/>
  <c r="J125" i="4" s="1"/>
  <c r="A125" i="4"/>
  <c r="B125" i="4" s="1"/>
  <c r="I123" i="4"/>
  <c r="J123" i="4" s="1"/>
  <c r="A123" i="4"/>
  <c r="B123" i="4" s="1"/>
  <c r="I121" i="4"/>
  <c r="J121" i="4" s="1"/>
  <c r="A121" i="4"/>
  <c r="B121" i="4" s="1"/>
  <c r="I119" i="4"/>
  <c r="J119" i="4" s="1"/>
  <c r="A119" i="4"/>
  <c r="B119" i="4" s="1"/>
  <c r="I117" i="4"/>
  <c r="J117" i="4" s="1"/>
  <c r="A117" i="4"/>
  <c r="B117" i="4" s="1"/>
  <c r="I115" i="4"/>
  <c r="J115" i="4" s="1"/>
  <c r="A115" i="4"/>
  <c r="B115" i="4" s="1"/>
  <c r="I113" i="4"/>
  <c r="J113" i="4" s="1"/>
  <c r="A113" i="4"/>
  <c r="B113" i="4" s="1"/>
  <c r="I111" i="4"/>
  <c r="J111" i="4" s="1"/>
  <c r="A111" i="4"/>
  <c r="B111" i="4" s="1"/>
  <c r="I109" i="4"/>
  <c r="J109" i="4" s="1"/>
  <c r="A109" i="4"/>
  <c r="B109" i="4" s="1"/>
  <c r="C108" i="4"/>
  <c r="C110" i="4" s="1"/>
  <c r="C112" i="4" s="1"/>
  <c r="C114" i="4" s="1"/>
  <c r="C116" i="4" s="1"/>
  <c r="C118" i="4" s="1"/>
  <c r="C120" i="4" s="1"/>
  <c r="C122" i="4" s="1"/>
  <c r="C124" i="4" s="1"/>
  <c r="C126" i="4" s="1"/>
  <c r="C128" i="4" s="1"/>
  <c r="C130" i="4" s="1"/>
  <c r="C132" i="4" s="1"/>
  <c r="C134" i="4" s="1"/>
  <c r="K107" i="4"/>
  <c r="K109" i="4" s="1"/>
  <c r="K111" i="4" s="1"/>
  <c r="K113" i="4" s="1"/>
  <c r="K115" i="4" s="1"/>
  <c r="K117" i="4" s="1"/>
  <c r="K119" i="4" s="1"/>
  <c r="K121" i="4" s="1"/>
  <c r="K123" i="4" s="1"/>
  <c r="K125" i="4" s="1"/>
  <c r="K127" i="4" s="1"/>
  <c r="K129" i="4" s="1"/>
  <c r="K131" i="4" s="1"/>
  <c r="K133" i="4" s="1"/>
  <c r="I107" i="4"/>
  <c r="J107" i="4" s="1"/>
  <c r="C107" i="4"/>
  <c r="C109" i="4" s="1"/>
  <c r="C111" i="4" s="1"/>
  <c r="C113" i="4" s="1"/>
  <c r="C115" i="4" s="1"/>
  <c r="C117" i="4" s="1"/>
  <c r="C119" i="4" s="1"/>
  <c r="C121" i="4" s="1"/>
  <c r="C123" i="4" s="1"/>
  <c r="C125" i="4" s="1"/>
  <c r="C127" i="4" s="1"/>
  <c r="C129" i="4" s="1"/>
  <c r="C131" i="4" s="1"/>
  <c r="C133" i="4" s="1"/>
  <c r="A107" i="4"/>
  <c r="B107" i="4" s="1"/>
  <c r="K106" i="4"/>
  <c r="K108" i="4" s="1"/>
  <c r="K110" i="4" s="1"/>
  <c r="K112" i="4" s="1"/>
  <c r="K114" i="4" s="1"/>
  <c r="K116" i="4" s="1"/>
  <c r="K118" i="4" s="1"/>
  <c r="K120" i="4" s="1"/>
  <c r="K122" i="4" s="1"/>
  <c r="K124" i="4" s="1"/>
  <c r="K126" i="4" s="1"/>
  <c r="K128" i="4" s="1"/>
  <c r="K130" i="4" s="1"/>
  <c r="K132" i="4" s="1"/>
  <c r="K134" i="4" s="1"/>
  <c r="K105" i="4"/>
  <c r="I105" i="4"/>
  <c r="J105" i="4" s="1"/>
  <c r="B105" i="4"/>
  <c r="A105" i="4"/>
  <c r="O103" i="4"/>
  <c r="I101" i="4"/>
  <c r="I99" i="4"/>
  <c r="J99" i="4" s="1"/>
  <c r="A99" i="4"/>
  <c r="B99" i="4" s="1"/>
  <c r="I97" i="4"/>
  <c r="J97" i="4" s="1"/>
  <c r="A97" i="4"/>
  <c r="B97" i="4" s="1"/>
  <c r="I95" i="4"/>
  <c r="J95" i="4" s="1"/>
  <c r="A95" i="4"/>
  <c r="B95" i="4" s="1"/>
  <c r="I93" i="4"/>
  <c r="J93" i="4" s="1"/>
  <c r="A93" i="4"/>
  <c r="B93" i="4" s="1"/>
  <c r="I91" i="4"/>
  <c r="J91" i="4" s="1"/>
  <c r="A91" i="4"/>
  <c r="B91" i="4" s="1"/>
  <c r="I89" i="4"/>
  <c r="J89" i="4" s="1"/>
  <c r="A89" i="4"/>
  <c r="B89" i="4" s="1"/>
  <c r="I87" i="4"/>
  <c r="J87" i="4" s="1"/>
  <c r="A87" i="4"/>
  <c r="B87" i="4" s="1"/>
  <c r="I85" i="4"/>
  <c r="J85" i="4" s="1"/>
  <c r="A85" i="4"/>
  <c r="B85" i="4" s="1"/>
  <c r="I83" i="4"/>
  <c r="J83" i="4" s="1"/>
  <c r="A83" i="4"/>
  <c r="B83" i="4" s="1"/>
  <c r="I81" i="4"/>
  <c r="J81" i="4" s="1"/>
  <c r="A81" i="4"/>
  <c r="B81" i="4" s="1"/>
  <c r="I79" i="4"/>
  <c r="J79" i="4" s="1"/>
  <c r="A79" i="4"/>
  <c r="B79" i="4" s="1"/>
  <c r="I77" i="4"/>
  <c r="J77" i="4" s="1"/>
  <c r="A77" i="4"/>
  <c r="B77" i="4" s="1"/>
  <c r="I75" i="4"/>
  <c r="J75" i="4" s="1"/>
  <c r="A75" i="4"/>
  <c r="B75" i="4" s="1"/>
  <c r="C74" i="4"/>
  <c r="C76" i="4" s="1"/>
  <c r="C78" i="4" s="1"/>
  <c r="C80" i="4" s="1"/>
  <c r="C82" i="4" s="1"/>
  <c r="C84" i="4" s="1"/>
  <c r="C86" i="4" s="1"/>
  <c r="C88" i="4" s="1"/>
  <c r="C90" i="4" s="1"/>
  <c r="C92" i="4" s="1"/>
  <c r="C94" i="4" s="1"/>
  <c r="C96" i="4" s="1"/>
  <c r="C98" i="4" s="1"/>
  <c r="C100" i="4" s="1"/>
  <c r="I73" i="4"/>
  <c r="J73" i="4" s="1"/>
  <c r="C73" i="4"/>
  <c r="C75" i="4" s="1"/>
  <c r="C77" i="4" s="1"/>
  <c r="C79" i="4" s="1"/>
  <c r="C81" i="4" s="1"/>
  <c r="C83" i="4" s="1"/>
  <c r="C85" i="4" s="1"/>
  <c r="C87" i="4" s="1"/>
  <c r="C89" i="4" s="1"/>
  <c r="C91" i="4" s="1"/>
  <c r="C93" i="4" s="1"/>
  <c r="C95" i="4" s="1"/>
  <c r="C97" i="4" s="1"/>
  <c r="C99" i="4" s="1"/>
  <c r="A73" i="4"/>
  <c r="B73" i="4" s="1"/>
  <c r="K72" i="4"/>
  <c r="K74" i="4" s="1"/>
  <c r="K76" i="4" s="1"/>
  <c r="K78" i="4" s="1"/>
  <c r="K80" i="4" s="1"/>
  <c r="K82" i="4" s="1"/>
  <c r="K84" i="4" s="1"/>
  <c r="K86" i="4" s="1"/>
  <c r="K88" i="4" s="1"/>
  <c r="K90" i="4" s="1"/>
  <c r="K92" i="4" s="1"/>
  <c r="K94" i="4" s="1"/>
  <c r="K96" i="4" s="1"/>
  <c r="K98" i="4" s="1"/>
  <c r="K100" i="4" s="1"/>
  <c r="K71" i="4"/>
  <c r="K73" i="4" s="1"/>
  <c r="K75" i="4" s="1"/>
  <c r="K77" i="4" s="1"/>
  <c r="K79" i="4" s="1"/>
  <c r="K81" i="4" s="1"/>
  <c r="K83" i="4" s="1"/>
  <c r="K85" i="4" s="1"/>
  <c r="K87" i="4" s="1"/>
  <c r="K89" i="4" s="1"/>
  <c r="K91" i="4" s="1"/>
  <c r="K93" i="4" s="1"/>
  <c r="K95" i="4" s="1"/>
  <c r="K97" i="4" s="1"/>
  <c r="K99" i="4" s="1"/>
  <c r="I71" i="4"/>
  <c r="J71" i="4" s="1"/>
  <c r="A71" i="4"/>
  <c r="B71" i="4" s="1"/>
  <c r="K38" i="4"/>
  <c r="K40" i="4" s="1"/>
  <c r="K42" i="4" s="1"/>
  <c r="K44" i="4" s="1"/>
  <c r="K46" i="4" s="1"/>
  <c r="K48" i="4" s="1"/>
  <c r="K50" i="4" s="1"/>
  <c r="K52" i="4" s="1"/>
  <c r="K54" i="4" s="1"/>
  <c r="K56" i="4" s="1"/>
  <c r="K58" i="4" s="1"/>
  <c r="K60" i="4" s="1"/>
  <c r="K62" i="4" s="1"/>
  <c r="K64" i="4" s="1"/>
  <c r="K66" i="4" s="1"/>
  <c r="K37" i="4"/>
  <c r="K39" i="4" s="1"/>
  <c r="K41" i="4" s="1"/>
  <c r="K43" i="4" s="1"/>
  <c r="K45" i="4" s="1"/>
  <c r="K47" i="4" s="1"/>
  <c r="K49" i="4" s="1"/>
  <c r="K51" i="4" s="1"/>
  <c r="K53" i="4" s="1"/>
  <c r="K55" i="4" s="1"/>
  <c r="K57" i="4" s="1"/>
  <c r="K59" i="4" s="1"/>
  <c r="K61" i="4" s="1"/>
  <c r="K63" i="4" s="1"/>
  <c r="K65" i="4" s="1"/>
  <c r="C40" i="4"/>
  <c r="C42" i="4" s="1"/>
  <c r="C44" i="4" s="1"/>
  <c r="C46" i="4" s="1"/>
  <c r="C48" i="4" s="1"/>
  <c r="C50" i="4" s="1"/>
  <c r="C52" i="4" s="1"/>
  <c r="C54" i="4" s="1"/>
  <c r="C56" i="4" s="1"/>
  <c r="C58" i="4" s="1"/>
  <c r="C60" i="4" s="1"/>
  <c r="C62" i="4" s="1"/>
  <c r="C64" i="4" s="1"/>
  <c r="C66" i="4" s="1"/>
  <c r="C39" i="4"/>
  <c r="C41" i="4" s="1"/>
  <c r="C43" i="4" s="1"/>
  <c r="C45" i="4" s="1"/>
  <c r="C47" i="4" s="1"/>
  <c r="C49" i="4" s="1"/>
  <c r="C51" i="4" s="1"/>
  <c r="C53" i="4" s="1"/>
  <c r="C55" i="4" s="1"/>
  <c r="C57" i="4" s="1"/>
  <c r="C59" i="4" s="1"/>
  <c r="C61" i="4" s="1"/>
  <c r="C63" i="4" s="1"/>
  <c r="C65" i="4" s="1"/>
  <c r="K6" i="4"/>
  <c r="K33" i="4"/>
  <c r="K34" i="4"/>
  <c r="K4" i="4"/>
  <c r="K3" i="4"/>
  <c r="C5" i="4"/>
  <c r="K5" i="4" s="1"/>
  <c r="C7" i="4"/>
  <c r="C9" i="4" s="1"/>
  <c r="C11" i="4" s="1"/>
  <c r="C13" i="4" s="1"/>
  <c r="C15" i="4" s="1"/>
  <c r="C17" i="4" s="1"/>
  <c r="C19" i="4" s="1"/>
  <c r="C21" i="4" s="1"/>
  <c r="C23" i="4" s="1"/>
  <c r="C25" i="4" s="1"/>
  <c r="C27" i="4" s="1"/>
  <c r="C29" i="4" s="1"/>
  <c r="C31" i="4" s="1"/>
  <c r="K31" i="4" s="1"/>
  <c r="C6" i="4"/>
  <c r="C8" i="4" s="1"/>
  <c r="I67" i="4"/>
  <c r="I39" i="4"/>
  <c r="I41" i="4"/>
  <c r="I43" i="4"/>
  <c r="I45" i="4"/>
  <c r="I47" i="4"/>
  <c r="I49" i="4"/>
  <c r="I51" i="4"/>
  <c r="I53" i="4"/>
  <c r="I55" i="4"/>
  <c r="I57" i="4"/>
  <c r="I59" i="4"/>
  <c r="I61" i="4"/>
  <c r="I63" i="4"/>
  <c r="I65" i="4"/>
  <c r="I37" i="4"/>
  <c r="A39" i="4"/>
  <c r="A41" i="4"/>
  <c r="A43" i="4"/>
  <c r="A45" i="4"/>
  <c r="A47" i="4"/>
  <c r="A49" i="4"/>
  <c r="A51" i="4"/>
  <c r="A53" i="4"/>
  <c r="A55" i="4"/>
  <c r="A57" i="4"/>
  <c r="A59" i="4"/>
  <c r="A61" i="4"/>
  <c r="A63" i="4"/>
  <c r="A65" i="4"/>
  <c r="A37" i="4"/>
  <c r="B37" i="4"/>
  <c r="O35" i="4"/>
  <c r="O1" i="4"/>
  <c r="I33" i="4"/>
  <c r="I7" i="4"/>
  <c r="J7" i="4" s="1"/>
  <c r="I9" i="4"/>
  <c r="I11" i="4" s="1"/>
  <c r="I5" i="4"/>
  <c r="J5" i="4"/>
  <c r="I3" i="4"/>
  <c r="A7" i="4"/>
  <c r="A9" i="4"/>
  <c r="B9" i="4" s="1"/>
  <c r="A5" i="4"/>
  <c r="J3" i="4"/>
  <c r="B5" i="4"/>
  <c r="B7" i="4"/>
  <c r="B3" i="4"/>
  <c r="O69" i="4" l="1"/>
  <c r="C10" i="4"/>
  <c r="K8" i="4"/>
  <c r="K29" i="4"/>
  <c r="K25" i="4"/>
  <c r="K21" i="4"/>
  <c r="K17" i="4"/>
  <c r="K13" i="4"/>
  <c r="K9" i="4"/>
  <c r="K27" i="4"/>
  <c r="K23" i="4"/>
  <c r="K19" i="4"/>
  <c r="K15" i="4"/>
  <c r="K11" i="4"/>
  <c r="K7" i="4"/>
  <c r="B39" i="4"/>
  <c r="B41" i="4"/>
  <c r="J11" i="4"/>
  <c r="I13" i="4"/>
  <c r="J9" i="4"/>
  <c r="A11" i="4"/>
  <c r="C12" i="4" l="1"/>
  <c r="K10" i="4"/>
  <c r="B43" i="4"/>
  <c r="I15" i="4"/>
  <c r="J13" i="4"/>
  <c r="B11" i="4"/>
  <c r="A13" i="4"/>
  <c r="AG40" i="1"/>
  <c r="AG78" i="1" s="1"/>
  <c r="AH40" i="1"/>
  <c r="AH78" i="1" s="1"/>
  <c r="U40" i="1"/>
  <c r="AD40" i="1"/>
  <c r="AD78" i="1" s="1"/>
  <c r="AE40" i="1"/>
  <c r="AE78" i="1" s="1"/>
  <c r="AF40" i="1"/>
  <c r="AF78" i="1" s="1"/>
  <c r="W78" i="1"/>
  <c r="W40" i="1"/>
  <c r="X40" i="1"/>
  <c r="X78" i="1" s="1"/>
  <c r="Y40" i="1"/>
  <c r="Y78" i="1" s="1"/>
  <c r="Z40" i="1"/>
  <c r="Z78" i="1" s="1"/>
  <c r="AA40" i="1"/>
  <c r="AA78" i="1" s="1"/>
  <c r="AB40" i="1"/>
  <c r="AB78" i="1" s="1"/>
  <c r="AC40" i="1"/>
  <c r="AC78" i="1" s="1"/>
  <c r="V40" i="1"/>
  <c r="V78" i="1" s="1"/>
  <c r="C14" i="4" l="1"/>
  <c r="K12" i="4"/>
  <c r="B45" i="4"/>
  <c r="I17" i="4"/>
  <c r="J15" i="4"/>
  <c r="A15" i="4"/>
  <c r="B13" i="4"/>
  <c r="C16" i="4" l="1"/>
  <c r="K14" i="4"/>
  <c r="B47" i="4"/>
  <c r="I19" i="4"/>
  <c r="J17" i="4"/>
  <c r="A17" i="4"/>
  <c r="B15" i="4"/>
  <c r="C18" i="4" l="1"/>
  <c r="K16" i="4"/>
  <c r="B49" i="4"/>
  <c r="I21" i="4"/>
  <c r="J19" i="4"/>
  <c r="B17" i="4"/>
  <c r="A19" i="4"/>
  <c r="C20" i="4" l="1"/>
  <c r="K18" i="4"/>
  <c r="B51" i="4"/>
  <c r="J21" i="4"/>
  <c r="I23" i="4"/>
  <c r="B19" i="4"/>
  <c r="A21" i="4"/>
  <c r="C22" i="4" l="1"/>
  <c r="K20" i="4"/>
  <c r="B53" i="4"/>
  <c r="J23" i="4"/>
  <c r="I25" i="4"/>
  <c r="A23" i="4"/>
  <c r="B21" i="4"/>
  <c r="C24" i="4" l="1"/>
  <c r="K22" i="4"/>
  <c r="B55" i="4"/>
  <c r="I27" i="4"/>
  <c r="J25" i="4"/>
  <c r="A25" i="4"/>
  <c r="B23" i="4"/>
  <c r="C26" i="4" l="1"/>
  <c r="K24" i="4"/>
  <c r="B57" i="4"/>
  <c r="J27" i="4"/>
  <c r="I29" i="4"/>
  <c r="B25" i="4"/>
  <c r="A27" i="4"/>
  <c r="C28" i="4" l="1"/>
  <c r="K26" i="4"/>
  <c r="B59" i="4"/>
  <c r="I31" i="4"/>
  <c r="J31" i="4" s="1"/>
  <c r="J29" i="4"/>
  <c r="B27" i="4"/>
  <c r="A29" i="4"/>
  <c r="C30" i="4" l="1"/>
  <c r="K28" i="4"/>
  <c r="B61" i="4"/>
  <c r="A31" i="4"/>
  <c r="B31" i="4" s="1"/>
  <c r="B29" i="4"/>
  <c r="C32" i="4" l="1"/>
  <c r="K32" i="4" s="1"/>
  <c r="K30" i="4"/>
  <c r="B63" i="4"/>
  <c r="B65" i="4" l="1"/>
  <c r="J37" i="4" l="1"/>
  <c r="J39" i="4" l="1"/>
  <c r="J41" i="4" l="1"/>
  <c r="J43" i="4" l="1"/>
  <c r="J45" i="4" l="1"/>
  <c r="J47" i="4" l="1"/>
  <c r="J49" i="4" l="1"/>
  <c r="J51" i="4" l="1"/>
  <c r="J53" i="4" l="1"/>
  <c r="J55" i="4" l="1"/>
  <c r="J57" i="4" l="1"/>
  <c r="J59" i="4" l="1"/>
  <c r="J61" i="4" l="1"/>
  <c r="J63" i="4" l="1"/>
  <c r="J65" i="4" l="1"/>
</calcChain>
</file>

<file path=xl/sharedStrings.xml><?xml version="1.0" encoding="utf-8"?>
<sst xmlns="http://schemas.openxmlformats.org/spreadsheetml/2006/main" count="1657" uniqueCount="92">
  <si>
    <t>川上</t>
    <rPh sb="0" eb="2">
      <t>カワウエ</t>
    </rPh>
    <phoneticPr fontId="2"/>
  </si>
  <si>
    <t>今本</t>
    <rPh sb="0" eb="2">
      <t>イマモト</t>
    </rPh>
    <phoneticPr fontId="2"/>
  </si>
  <si>
    <t>田附</t>
    <phoneticPr fontId="2"/>
  </si>
  <si>
    <t>桃谷</t>
    <rPh sb="0" eb="2">
      <t>モモタニ</t>
    </rPh>
    <phoneticPr fontId="2"/>
  </si>
  <si>
    <t>番田</t>
    <rPh sb="0" eb="2">
      <t>バンダ</t>
    </rPh>
    <phoneticPr fontId="2"/>
  </si>
  <si>
    <t>三井</t>
    <rPh sb="0" eb="2">
      <t>ミツイ</t>
    </rPh>
    <phoneticPr fontId="2"/>
  </si>
  <si>
    <t>三好</t>
    <rPh sb="0" eb="2">
      <t>ミヨシ</t>
    </rPh>
    <phoneticPr fontId="2"/>
  </si>
  <si>
    <t>宇江</t>
    <rPh sb="0" eb="1">
      <t>ウ</t>
    </rPh>
    <rPh sb="1" eb="2">
      <t>エ</t>
    </rPh>
    <phoneticPr fontId="2"/>
  </si>
  <si>
    <t>早﨑</t>
    <rPh sb="0" eb="2">
      <t>ハヤサキ</t>
    </rPh>
    <phoneticPr fontId="2"/>
  </si>
  <si>
    <t>赤木</t>
    <rPh sb="0" eb="2">
      <t>アカキ</t>
    </rPh>
    <phoneticPr fontId="2"/>
  </si>
  <si>
    <t>中村</t>
    <rPh sb="0" eb="2">
      <t>ナカムラ</t>
    </rPh>
    <phoneticPr fontId="2"/>
  </si>
  <si>
    <t>矢原</t>
    <rPh sb="0" eb="2">
      <t>ヤハラ</t>
    </rPh>
    <phoneticPr fontId="2"/>
  </si>
  <si>
    <t>槇山</t>
    <rPh sb="0" eb="2">
      <t>マキヤマ</t>
    </rPh>
    <phoneticPr fontId="2"/>
  </si>
  <si>
    <t>大西</t>
    <rPh sb="0" eb="2">
      <t>オオニシ</t>
    </rPh>
    <phoneticPr fontId="2"/>
  </si>
  <si>
    <t>村上</t>
    <rPh sb="0" eb="2">
      <t>ムラカミ</t>
    </rPh>
    <phoneticPr fontId="2"/>
  </si>
  <si>
    <t>長井</t>
    <rPh sb="0" eb="2">
      <t>ナガイ</t>
    </rPh>
    <phoneticPr fontId="2"/>
  </si>
  <si>
    <t>藤井</t>
    <rPh sb="0" eb="2">
      <t>フジイ</t>
    </rPh>
    <phoneticPr fontId="2"/>
  </si>
  <si>
    <t>谷辺</t>
    <rPh sb="0" eb="1">
      <t>タニ</t>
    </rPh>
    <rPh sb="1" eb="2">
      <t>ベ</t>
    </rPh>
    <phoneticPr fontId="2"/>
  </si>
  <si>
    <t>H28.1</t>
    <phoneticPr fontId="2"/>
  </si>
  <si>
    <t>面談</t>
    <rPh sb="0" eb="2">
      <t>メンダン</t>
    </rPh>
    <phoneticPr fontId="2"/>
  </si>
  <si>
    <t>作成</t>
    <rPh sb="0" eb="2">
      <t>サクセイ</t>
    </rPh>
    <phoneticPr fontId="2"/>
  </si>
  <si>
    <t>署名</t>
    <rPh sb="0" eb="2">
      <t>ショメイ</t>
    </rPh>
    <phoneticPr fontId="2"/>
  </si>
  <si>
    <t>H28.2</t>
  </si>
  <si>
    <t>H28.3</t>
  </si>
  <si>
    <t>H28.4</t>
  </si>
  <si>
    <t>H28.5</t>
  </si>
  <si>
    <t>H28.6</t>
  </si>
  <si>
    <t>H28.7</t>
  </si>
  <si>
    <t>H28.8</t>
  </si>
  <si>
    <t>H28.9</t>
  </si>
  <si>
    <t>H28.10</t>
  </si>
  <si>
    <t>H28.11</t>
  </si>
  <si>
    <t>H28.12</t>
  </si>
  <si>
    <t>支援計画スケジュール一覧</t>
    <rPh sb="0" eb="2">
      <t>シエン</t>
    </rPh>
    <rPh sb="2" eb="4">
      <t>ケイカク</t>
    </rPh>
    <rPh sb="10" eb="12">
      <t>イチラン</t>
    </rPh>
    <phoneticPr fontId="2"/>
  </si>
  <si>
    <t>H29.1</t>
    <phoneticPr fontId="2"/>
  </si>
  <si>
    <t>H29.2</t>
  </si>
  <si>
    <t>H29.3</t>
  </si>
  <si>
    <t>H29.4</t>
  </si>
  <si>
    <t>H29.5</t>
  </si>
  <si>
    <t>H29.6</t>
  </si>
  <si>
    <t>H29.7</t>
  </si>
  <si>
    <t>H29.8</t>
  </si>
  <si>
    <t>H29.9</t>
  </si>
  <si>
    <t>H29.10</t>
  </si>
  <si>
    <t>H29.11</t>
  </si>
  <si>
    <t>H29.12</t>
  </si>
  <si>
    <t>H30.1</t>
    <phoneticPr fontId="2"/>
  </si>
  <si>
    <t>H30.2</t>
  </si>
  <si>
    <t>H30.3</t>
  </si>
  <si>
    <t>H30.4</t>
  </si>
  <si>
    <t>H30.5</t>
  </si>
  <si>
    <t>H30.6</t>
  </si>
  <si>
    <t>H30.7</t>
  </si>
  <si>
    <t>H30.8</t>
  </si>
  <si>
    <t>H30.9</t>
  </si>
  <si>
    <t>H30.10</t>
  </si>
  <si>
    <t>H30.11</t>
  </si>
  <si>
    <t>H30.12</t>
  </si>
  <si>
    <t>佐原</t>
    <rPh sb="0" eb="2">
      <t>サハラ</t>
    </rPh>
    <phoneticPr fontId="2"/>
  </si>
  <si>
    <t>退会</t>
    <rPh sb="0" eb="2">
      <t>タイカイ</t>
    </rPh>
    <phoneticPr fontId="2"/>
  </si>
  <si>
    <t>櫻武</t>
    <rPh sb="0" eb="1">
      <t>サクラ</t>
    </rPh>
    <rPh sb="1" eb="2">
      <t>ブ</t>
    </rPh>
    <phoneticPr fontId="2"/>
  </si>
  <si>
    <t>御調へ</t>
    <rPh sb="0" eb="2">
      <t>ミツギ</t>
    </rPh>
    <phoneticPr fontId="2"/>
  </si>
  <si>
    <t>神田</t>
    <rPh sb="0" eb="1">
      <t>カミ</t>
    </rPh>
    <rPh sb="1" eb="2">
      <t>タ</t>
    </rPh>
    <phoneticPr fontId="2"/>
  </si>
  <si>
    <t>楠</t>
    <rPh sb="0" eb="1">
      <t>クスノキ</t>
    </rPh>
    <phoneticPr fontId="2"/>
  </si>
  <si>
    <t>竹内</t>
    <rPh sb="0" eb="2">
      <t>タケウチ</t>
    </rPh>
    <phoneticPr fontId="2"/>
  </si>
  <si>
    <t>倉谷</t>
    <rPh sb="0" eb="2">
      <t>クラタニ</t>
    </rPh>
    <phoneticPr fontId="2"/>
  </si>
  <si>
    <t>退所</t>
    <rPh sb="0" eb="2">
      <t>タイショ</t>
    </rPh>
    <phoneticPr fontId="2"/>
  </si>
  <si>
    <t>元廣</t>
    <rPh sb="0" eb="2">
      <t>モトヒロ</t>
    </rPh>
    <phoneticPr fontId="2"/>
  </si>
  <si>
    <t>葛籠</t>
    <rPh sb="0" eb="2">
      <t>ツヅラ</t>
    </rPh>
    <phoneticPr fontId="2"/>
  </si>
  <si>
    <t>坂本</t>
    <rPh sb="0" eb="2">
      <t>サカモト</t>
    </rPh>
    <phoneticPr fontId="2"/>
  </si>
  <si>
    <t>舛田</t>
    <rPh sb="0" eb="2">
      <t>マスダ</t>
    </rPh>
    <phoneticPr fontId="2"/>
  </si>
  <si>
    <t>鹿室</t>
    <rPh sb="0" eb="1">
      <t>シカ</t>
    </rPh>
    <rPh sb="1" eb="2">
      <t>ムロ</t>
    </rPh>
    <phoneticPr fontId="2"/>
  </si>
  <si>
    <t>山下</t>
    <rPh sb="0" eb="2">
      <t>ヤマシタ</t>
    </rPh>
    <phoneticPr fontId="2"/>
  </si>
  <si>
    <t>会議</t>
    <rPh sb="0" eb="2">
      <t>カイギ</t>
    </rPh>
    <phoneticPr fontId="2"/>
  </si>
  <si>
    <t>支援会議</t>
    <rPh sb="0" eb="2">
      <t>シエン</t>
    </rPh>
    <rPh sb="2" eb="4">
      <t>カイギ</t>
    </rPh>
    <phoneticPr fontId="2"/>
  </si>
  <si>
    <t>山</t>
    <rPh sb="0" eb="1">
      <t>ヤマ</t>
    </rPh>
    <phoneticPr fontId="2"/>
  </si>
  <si>
    <t>ノ</t>
    <phoneticPr fontId="2"/>
  </si>
  <si>
    <t>谷</t>
    <rPh sb="0" eb="1">
      <t>タニ</t>
    </rPh>
    <phoneticPr fontId="2"/>
  </si>
  <si>
    <t>○</t>
    <phoneticPr fontId="2"/>
  </si>
  <si>
    <t>内</t>
    <rPh sb="0" eb="1">
      <t>ウチ</t>
    </rPh>
    <phoneticPr fontId="2"/>
  </si>
  <si>
    <t>送迎記録簿</t>
    <rPh sb="0" eb="2">
      <t>ソウゲイ</t>
    </rPh>
    <rPh sb="2" eb="5">
      <t>キロクボ</t>
    </rPh>
    <phoneticPr fontId="2"/>
  </si>
  <si>
    <t>迎</t>
    <rPh sb="0" eb="1">
      <t>ムカ</t>
    </rPh>
    <phoneticPr fontId="2"/>
  </si>
  <si>
    <t>送</t>
    <rPh sb="0" eb="1">
      <t>オク</t>
    </rPh>
    <phoneticPr fontId="2"/>
  </si>
  <si>
    <t>開始</t>
    <rPh sb="0" eb="2">
      <t>カイシ</t>
    </rPh>
    <phoneticPr fontId="2"/>
  </si>
  <si>
    <t>終了</t>
    <rPh sb="0" eb="2">
      <t>シュウリョウ</t>
    </rPh>
    <phoneticPr fontId="2"/>
  </si>
  <si>
    <t>担当</t>
    <rPh sb="0" eb="2">
      <t>タントウ</t>
    </rPh>
    <phoneticPr fontId="2"/>
  </si>
  <si>
    <t>走行距離</t>
    <rPh sb="0" eb="2">
      <t>ソウコウ</t>
    </rPh>
    <rPh sb="2" eb="4">
      <t>キョリ</t>
    </rPh>
    <phoneticPr fontId="2"/>
  </si>
  <si>
    <t>送迎者</t>
    <rPh sb="0" eb="2">
      <t>ソウゲイ</t>
    </rPh>
    <rPh sb="2" eb="3">
      <t>シャ</t>
    </rPh>
    <phoneticPr fontId="2"/>
  </si>
  <si>
    <t>送迎</t>
    <rPh sb="0" eb="2">
      <t>ソウゲイ</t>
    </rPh>
    <phoneticPr fontId="2"/>
  </si>
  <si>
    <t>日付</t>
    <rPh sb="0" eb="2">
      <t>ヒヅケ</t>
    </rPh>
    <phoneticPr fontId="2"/>
  </si>
  <si>
    <t>：</t>
    <phoneticPr fontId="2"/>
  </si>
  <si>
    <t>村</t>
    <rPh sb="0" eb="1">
      <t>ムラ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</si>
</sst>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/d;@"/>
    <numFmt numFmtId="177" formatCode="yyyy&quot;年&quot;m&quot;月&quot;;@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176" fontId="0" fillId="0" borderId="3" xfId="0" applyNumberFormat="1" applyBorder="1" applyAlignment="1">
      <alignment horizontal="center" vertical="center" shrinkToFit="1"/>
    </xf>
    <xf numFmtId="176" fontId="0" fillId="0" borderId="4" xfId="0" applyNumberFormat="1" applyBorder="1" applyAlignment="1">
      <alignment horizontal="center" vertical="center" shrinkToFit="1"/>
    </xf>
    <xf numFmtId="176" fontId="0" fillId="0" borderId="2" xfId="0" applyNumberForma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176" fontId="1" fillId="0" borderId="3" xfId="0" applyNumberFormat="1" applyFont="1" applyBorder="1" applyAlignment="1">
      <alignment horizontal="center" vertical="center" shrinkToFit="1"/>
    </xf>
    <xf numFmtId="176" fontId="0" fillId="2" borderId="3" xfId="0" applyNumberFormat="1" applyFill="1" applyBorder="1" applyAlignment="1">
      <alignment horizontal="center" vertical="center" shrinkToFit="1"/>
    </xf>
    <xf numFmtId="176" fontId="0" fillId="2" borderId="4" xfId="0" applyNumberFormat="1" applyFill="1" applyBorder="1" applyAlignment="1">
      <alignment horizontal="center" vertical="center" shrinkToFit="1"/>
    </xf>
    <xf numFmtId="176" fontId="0" fillId="2" borderId="2" xfId="0" applyNumberFormat="1" applyFill="1" applyBorder="1" applyAlignment="1">
      <alignment horizontal="center" vertical="center" shrinkToFit="1"/>
    </xf>
    <xf numFmtId="0" fontId="0" fillId="0" borderId="5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176" fontId="0" fillId="3" borderId="3" xfId="0" applyNumberFormat="1" applyFill="1" applyBorder="1" applyAlignment="1">
      <alignment horizontal="center" vertical="center" shrinkToFit="1"/>
    </xf>
    <xf numFmtId="176" fontId="0" fillId="3" borderId="4" xfId="0" applyNumberFormat="1" applyFill="1" applyBorder="1" applyAlignment="1">
      <alignment horizontal="center" vertical="center" shrinkToFit="1"/>
    </xf>
    <xf numFmtId="176" fontId="0" fillId="3" borderId="2" xfId="0" applyNumberFormat="1" applyFill="1" applyBorder="1" applyAlignment="1">
      <alignment horizontal="center" vertical="center" shrinkToFit="1"/>
    </xf>
    <xf numFmtId="176" fontId="1" fillId="2" borderId="3" xfId="0" applyNumberFormat="1" applyFont="1" applyFill="1" applyBorder="1" applyAlignment="1">
      <alignment horizontal="center" vertical="center" shrinkToFit="1"/>
    </xf>
    <xf numFmtId="56" fontId="0" fillId="0" borderId="0" xfId="0" applyNumberFormat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0" fillId="0" borderId="0" xfId="0" applyNumberFormat="1" applyAlignment="1">
      <alignment vertical="center" shrinkToFit="1"/>
    </xf>
    <xf numFmtId="0" fontId="5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wrapText="1" shrinkToFit="1"/>
    </xf>
    <xf numFmtId="176" fontId="0" fillId="0" borderId="1" xfId="0" applyNumberFormat="1" applyBorder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3" borderId="0" xfId="0" applyFill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 shrinkToFit="1"/>
    </xf>
    <xf numFmtId="0" fontId="6" fillId="0" borderId="1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177" fontId="0" fillId="0" borderId="5" xfId="0" applyNumberFormat="1" applyBorder="1" applyAlignment="1">
      <alignment horizontal="center" vertical="center" shrinkToFit="1"/>
    </xf>
    <xf numFmtId="0" fontId="0" fillId="0" borderId="6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177" fontId="3" fillId="0" borderId="5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114"/>
  <sheetViews>
    <sheetView view="pageBreakPreview" zoomScaleNormal="100" zoomScaleSheetLayoutView="100" workbookViewId="0">
      <selection activeCell="Q8" sqref="Q8"/>
    </sheetView>
  </sheetViews>
  <sheetFormatPr defaultColWidth="6.125" defaultRowHeight="13.5" x14ac:dyDescent="0.15"/>
  <cols>
    <col min="1" max="1" width="1.625" style="9" customWidth="1"/>
    <col min="2" max="3" width="6.75" style="9" customWidth="1"/>
    <col min="4" max="31" width="3.875" style="9" customWidth="1"/>
    <col min="32" max="33" width="3.75" style="9" customWidth="1"/>
    <col min="34" max="34" width="8.5" style="9" customWidth="1"/>
    <col min="35" max="16384" width="6.125" style="9"/>
  </cols>
  <sheetData>
    <row r="1" spans="2:34" ht="12.75" customHeight="1" x14ac:dyDescent="0.15">
      <c r="B1" s="46" t="s">
        <v>33</v>
      </c>
      <c r="C1" s="46"/>
      <c r="D1" s="46"/>
      <c r="E1" s="46"/>
      <c r="F1" s="46"/>
    </row>
    <row r="2" spans="2:34" ht="14.25" customHeight="1" x14ac:dyDescent="0.15">
      <c r="B2" s="47"/>
      <c r="C2" s="48"/>
      <c r="D2" s="10" t="s">
        <v>6</v>
      </c>
      <c r="E2" s="10" t="s">
        <v>1</v>
      </c>
      <c r="F2" s="10" t="s">
        <v>15</v>
      </c>
      <c r="G2" s="10" t="s">
        <v>13</v>
      </c>
      <c r="H2" s="10" t="s">
        <v>3</v>
      </c>
      <c r="I2" s="10" t="s">
        <v>5</v>
      </c>
      <c r="J2" s="10" t="s">
        <v>7</v>
      </c>
      <c r="K2" s="10" t="s">
        <v>9</v>
      </c>
      <c r="L2" s="10" t="s">
        <v>17</v>
      </c>
      <c r="M2" s="10" t="s">
        <v>0</v>
      </c>
      <c r="N2" s="10" t="s">
        <v>2</v>
      </c>
      <c r="O2" s="10" t="s">
        <v>4</v>
      </c>
      <c r="P2" s="10" t="s">
        <v>8</v>
      </c>
      <c r="Q2" s="10" t="s">
        <v>10</v>
      </c>
      <c r="R2" s="10" t="s">
        <v>12</v>
      </c>
      <c r="S2" s="10" t="s">
        <v>14</v>
      </c>
      <c r="T2" s="10" t="s">
        <v>16</v>
      </c>
      <c r="U2" s="10" t="s">
        <v>67</v>
      </c>
      <c r="V2" s="10" t="s">
        <v>58</v>
      </c>
      <c r="W2" s="10" t="s">
        <v>60</v>
      </c>
      <c r="X2" s="10" t="s">
        <v>62</v>
      </c>
      <c r="Y2" s="10" t="s">
        <v>63</v>
      </c>
      <c r="Z2" s="10" t="s">
        <v>64</v>
      </c>
      <c r="AA2" s="10" t="s">
        <v>65</v>
      </c>
      <c r="AB2" s="10" t="s">
        <v>11</v>
      </c>
      <c r="AC2" s="10" t="s">
        <v>68</v>
      </c>
      <c r="AD2" s="10" t="s">
        <v>69</v>
      </c>
      <c r="AE2" s="10" t="s">
        <v>70</v>
      </c>
      <c r="AF2" s="10" t="s">
        <v>71</v>
      </c>
      <c r="AG2" s="10" t="s">
        <v>72</v>
      </c>
      <c r="AH2" s="10" t="s">
        <v>74</v>
      </c>
    </row>
    <row r="3" spans="2:34" ht="14.25" customHeight="1" x14ac:dyDescent="0.15">
      <c r="B3" s="45" t="s">
        <v>18</v>
      </c>
      <c r="C3" s="15" t="s">
        <v>19</v>
      </c>
      <c r="D3" s="11">
        <v>43118</v>
      </c>
      <c r="E3" s="11"/>
      <c r="F3" s="11"/>
      <c r="G3" s="11"/>
      <c r="H3" s="11"/>
      <c r="I3" s="11"/>
      <c r="J3" s="11"/>
      <c r="K3" s="11"/>
      <c r="L3" s="11"/>
      <c r="M3" s="11">
        <v>43116</v>
      </c>
      <c r="N3" s="11"/>
      <c r="O3" s="11"/>
      <c r="P3" s="11"/>
      <c r="Q3" s="11"/>
      <c r="R3" s="11"/>
      <c r="S3" s="11"/>
      <c r="T3" s="11"/>
      <c r="U3" s="11"/>
      <c r="V3" s="11"/>
      <c r="W3" s="11">
        <v>43118</v>
      </c>
      <c r="X3" s="11">
        <v>43125</v>
      </c>
      <c r="Y3" s="11">
        <v>43125</v>
      </c>
      <c r="Z3" s="11"/>
      <c r="AA3" s="11">
        <v>43125</v>
      </c>
      <c r="AB3" s="11"/>
      <c r="AC3" s="11"/>
      <c r="AD3" s="11"/>
      <c r="AE3" s="11"/>
      <c r="AF3" s="11"/>
      <c r="AG3" s="11"/>
      <c r="AH3" s="11"/>
    </row>
    <row r="4" spans="2:34" ht="14.25" customHeight="1" x14ac:dyDescent="0.15">
      <c r="B4" s="45"/>
      <c r="C4" s="16" t="s">
        <v>20</v>
      </c>
      <c r="D4" s="12">
        <v>43125</v>
      </c>
      <c r="E4" s="12"/>
      <c r="F4" s="12"/>
      <c r="G4" s="12"/>
      <c r="H4" s="12"/>
      <c r="I4" s="12"/>
      <c r="J4" s="12"/>
      <c r="K4" s="12"/>
      <c r="L4" s="12"/>
      <c r="M4" s="12">
        <v>43125</v>
      </c>
      <c r="N4" s="12"/>
      <c r="O4" s="12"/>
      <c r="P4" s="12"/>
      <c r="Q4" s="12"/>
      <c r="R4" s="12"/>
      <c r="S4" s="12"/>
      <c r="T4" s="12"/>
      <c r="U4" s="12"/>
      <c r="V4" s="12"/>
      <c r="W4" s="12">
        <v>43118</v>
      </c>
      <c r="X4" s="12">
        <v>43129</v>
      </c>
      <c r="Y4" s="12">
        <v>43125</v>
      </c>
      <c r="Z4" s="12"/>
      <c r="AA4" s="12">
        <v>43129</v>
      </c>
      <c r="AB4" s="12"/>
      <c r="AC4" s="12"/>
      <c r="AD4" s="12"/>
      <c r="AE4" s="12"/>
      <c r="AF4" s="12"/>
      <c r="AG4" s="12"/>
      <c r="AH4" s="12" t="s">
        <v>73</v>
      </c>
    </row>
    <row r="5" spans="2:34" ht="14.25" customHeight="1" x14ac:dyDescent="0.15">
      <c r="B5" s="45"/>
      <c r="C5" s="17" t="s">
        <v>21</v>
      </c>
      <c r="D5" s="13">
        <v>43125</v>
      </c>
      <c r="E5" s="13"/>
      <c r="F5" s="13"/>
      <c r="G5" s="13"/>
      <c r="H5" s="13"/>
      <c r="I5" s="13"/>
      <c r="J5" s="13"/>
      <c r="K5" s="13"/>
      <c r="L5" s="13"/>
      <c r="M5" s="13">
        <v>43130</v>
      </c>
      <c r="N5" s="13"/>
      <c r="O5" s="13"/>
      <c r="P5" s="13"/>
      <c r="Q5" s="13"/>
      <c r="R5" s="13"/>
      <c r="S5" s="13"/>
      <c r="T5" s="13"/>
      <c r="U5" s="13"/>
      <c r="V5" s="13"/>
      <c r="W5" s="13">
        <v>43129</v>
      </c>
      <c r="X5" s="13">
        <v>43129</v>
      </c>
      <c r="Y5" s="13">
        <v>43128</v>
      </c>
      <c r="Z5" s="13"/>
      <c r="AA5" s="13">
        <v>43130</v>
      </c>
      <c r="AB5" s="13"/>
      <c r="AC5" s="13"/>
      <c r="AD5" s="13"/>
      <c r="AE5" s="13"/>
      <c r="AF5" s="13"/>
      <c r="AG5" s="13"/>
      <c r="AH5" s="13">
        <v>43125</v>
      </c>
    </row>
    <row r="6" spans="2:34" ht="14.25" customHeight="1" x14ac:dyDescent="0.15">
      <c r="B6" s="45" t="s">
        <v>22</v>
      </c>
      <c r="C6" s="15" t="s">
        <v>19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 t="s">
        <v>61</v>
      </c>
      <c r="Y6" s="11"/>
      <c r="Z6" s="11"/>
      <c r="AA6" s="11"/>
      <c r="AB6" s="11"/>
      <c r="AC6" s="11">
        <v>43147</v>
      </c>
      <c r="AD6" s="11"/>
      <c r="AE6" s="11"/>
      <c r="AF6" s="11"/>
      <c r="AG6" s="11"/>
      <c r="AH6" s="11"/>
    </row>
    <row r="7" spans="2:34" ht="14.25" customHeight="1" x14ac:dyDescent="0.15">
      <c r="B7" s="45"/>
      <c r="C7" s="16" t="s">
        <v>20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>
        <v>43132</v>
      </c>
      <c r="Y7" s="12"/>
      <c r="Z7" s="12"/>
      <c r="AA7" s="12"/>
      <c r="AB7" s="12"/>
      <c r="AC7" s="12">
        <v>43151</v>
      </c>
      <c r="AD7" s="12"/>
      <c r="AE7" s="12"/>
      <c r="AF7" s="12"/>
      <c r="AG7" s="12"/>
      <c r="AH7" s="12" t="s">
        <v>73</v>
      </c>
    </row>
    <row r="8" spans="2:34" ht="14.25" customHeight="1" x14ac:dyDescent="0.15">
      <c r="B8" s="45"/>
      <c r="C8" s="17" t="s">
        <v>21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>
        <v>43157</v>
      </c>
      <c r="AD8" s="13"/>
      <c r="AE8" s="13"/>
      <c r="AF8" s="13"/>
      <c r="AG8" s="13"/>
      <c r="AH8" s="13">
        <v>43157</v>
      </c>
    </row>
    <row r="9" spans="2:34" ht="14.25" customHeight="1" x14ac:dyDescent="0.15">
      <c r="B9" s="45" t="s">
        <v>23</v>
      </c>
      <c r="C9" s="15" t="s">
        <v>19</v>
      </c>
      <c r="D9" s="11"/>
      <c r="E9" s="11">
        <v>43184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43174</v>
      </c>
      <c r="Q9" s="11">
        <v>43187</v>
      </c>
      <c r="R9" s="11">
        <v>43187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>
        <v>43184</v>
      </c>
      <c r="AG9" s="11"/>
      <c r="AH9" s="11"/>
    </row>
    <row r="10" spans="2:34" ht="14.25" customHeight="1" x14ac:dyDescent="0.15">
      <c r="B10" s="45"/>
      <c r="C10" s="16" t="s">
        <v>20</v>
      </c>
      <c r="D10" s="12"/>
      <c r="E10" s="12">
        <v>43187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>
        <v>43187</v>
      </c>
      <c r="Q10" s="12">
        <v>43188</v>
      </c>
      <c r="R10" s="12">
        <v>43188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>
        <v>43184</v>
      </c>
      <c r="AG10" s="12"/>
      <c r="AH10" s="12" t="s">
        <v>73</v>
      </c>
    </row>
    <row r="11" spans="2:34" ht="14.25" customHeight="1" x14ac:dyDescent="0.15">
      <c r="B11" s="45"/>
      <c r="C11" s="17" t="s">
        <v>21</v>
      </c>
      <c r="D11" s="13"/>
      <c r="E11" s="13">
        <v>43187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>
        <v>43190</v>
      </c>
      <c r="Q11" s="13">
        <v>43188</v>
      </c>
      <c r="R11" s="13">
        <v>43190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>
        <v>43187</v>
      </c>
      <c r="AG11" s="13"/>
      <c r="AH11" s="13">
        <v>43187</v>
      </c>
    </row>
    <row r="12" spans="2:34" ht="14.25" customHeight="1" x14ac:dyDescent="0.15">
      <c r="B12" s="45" t="s">
        <v>24</v>
      </c>
      <c r="C12" s="15" t="s">
        <v>19</v>
      </c>
      <c r="D12" s="11"/>
      <c r="E12" s="11">
        <v>43209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>
        <v>43195</v>
      </c>
      <c r="S12" s="11"/>
      <c r="T12" s="11">
        <v>43208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>
        <v>43215</v>
      </c>
      <c r="AF12" s="11"/>
      <c r="AG12" s="11"/>
      <c r="AH12" s="11"/>
    </row>
    <row r="13" spans="2:34" ht="14.25" customHeight="1" x14ac:dyDescent="0.15">
      <c r="B13" s="45"/>
      <c r="C13" s="16" t="s">
        <v>20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>
        <v>43220</v>
      </c>
      <c r="S13" s="12"/>
      <c r="T13" s="12">
        <v>43215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43215</v>
      </c>
      <c r="AF13" s="12"/>
      <c r="AG13" s="12"/>
      <c r="AH13" s="12" t="s">
        <v>73</v>
      </c>
    </row>
    <row r="14" spans="2:34" ht="14.25" customHeight="1" x14ac:dyDescent="0.15">
      <c r="B14" s="45"/>
      <c r="C14" s="17" t="s">
        <v>21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v>43220</v>
      </c>
      <c r="S14" s="13"/>
      <c r="T14" s="13">
        <v>43220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>
        <v>43220</v>
      </c>
      <c r="AF14" s="13"/>
      <c r="AG14" s="13"/>
      <c r="AH14" s="13">
        <v>43216</v>
      </c>
    </row>
    <row r="15" spans="2:34" ht="14.25" customHeight="1" x14ac:dyDescent="0.15">
      <c r="B15" s="45" t="s">
        <v>25</v>
      </c>
      <c r="C15" s="15" t="s">
        <v>19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>
        <v>43243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t="14.25" customHeight="1" x14ac:dyDescent="0.15">
      <c r="B16" s="45"/>
      <c r="C16" s="16" t="s">
        <v>20</v>
      </c>
      <c r="D16" s="12"/>
      <c r="E16" s="12">
        <v>43245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>
        <v>43243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 t="s">
        <v>73</v>
      </c>
    </row>
    <row r="17" spans="2:34" ht="14.25" customHeight="1" x14ac:dyDescent="0.15">
      <c r="B17" s="45"/>
      <c r="C17" s="17" t="s">
        <v>21</v>
      </c>
      <c r="D17" s="13"/>
      <c r="E17" s="13">
        <v>43245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>
        <v>43251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>
        <v>43245</v>
      </c>
    </row>
    <row r="18" spans="2:34" ht="14.25" customHeight="1" x14ac:dyDescent="0.15">
      <c r="B18" s="45" t="s">
        <v>26</v>
      </c>
      <c r="C18" s="15" t="s">
        <v>19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 t="s">
        <v>61</v>
      </c>
      <c r="X18" s="11"/>
      <c r="Y18" s="11"/>
      <c r="Z18" s="11">
        <v>43267</v>
      </c>
      <c r="AA18" s="11"/>
      <c r="AB18" s="11"/>
      <c r="AC18" s="11"/>
      <c r="AD18" s="11"/>
      <c r="AE18" s="11"/>
      <c r="AF18" s="11"/>
      <c r="AG18" s="11"/>
      <c r="AH18" s="11"/>
    </row>
    <row r="19" spans="2:34" ht="14.25" customHeight="1" x14ac:dyDescent="0.15">
      <c r="B19" s="45"/>
      <c r="C19" s="16" t="s">
        <v>20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>
        <v>43267</v>
      </c>
      <c r="AA19" s="12"/>
      <c r="AB19" s="12"/>
      <c r="AC19" s="12"/>
      <c r="AD19" s="12"/>
      <c r="AE19" s="12"/>
      <c r="AF19" s="12"/>
      <c r="AG19" s="12"/>
      <c r="AH19" s="12" t="s">
        <v>73</v>
      </c>
    </row>
    <row r="20" spans="2:34" ht="14.25" customHeight="1" x14ac:dyDescent="0.15">
      <c r="B20" s="45"/>
      <c r="C20" s="17" t="s">
        <v>21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>
        <v>43281</v>
      </c>
      <c r="AA20" s="13"/>
      <c r="AB20" s="13"/>
      <c r="AC20" s="13"/>
      <c r="AD20" s="13"/>
      <c r="AE20" s="13"/>
      <c r="AF20" s="13"/>
      <c r="AG20" s="13"/>
      <c r="AH20" s="13">
        <v>43278</v>
      </c>
    </row>
    <row r="21" spans="2:34" ht="14.25" customHeight="1" x14ac:dyDescent="0.15">
      <c r="B21" s="45" t="s">
        <v>27</v>
      </c>
      <c r="C21" s="15" t="s">
        <v>19</v>
      </c>
      <c r="D21" s="11">
        <v>43294</v>
      </c>
      <c r="E21" s="11"/>
      <c r="F21" s="11"/>
      <c r="G21" s="11"/>
      <c r="H21" s="11"/>
      <c r="I21" s="11"/>
      <c r="J21" s="11"/>
      <c r="K21" s="11">
        <v>43297</v>
      </c>
      <c r="L21" s="11"/>
      <c r="M21" s="11">
        <v>43301</v>
      </c>
      <c r="N21" s="11"/>
      <c r="O21" s="11"/>
      <c r="P21" s="11"/>
      <c r="Q21" s="11"/>
      <c r="R21" s="11"/>
      <c r="S21" s="11"/>
      <c r="T21" s="11"/>
      <c r="U21" s="11"/>
      <c r="V21" s="11">
        <v>43292</v>
      </c>
      <c r="W21" s="11"/>
      <c r="X21" s="11"/>
      <c r="Y21" s="11"/>
      <c r="Z21" s="11"/>
      <c r="AA21" s="11"/>
      <c r="AB21" s="11"/>
      <c r="AC21" s="11"/>
      <c r="AD21" s="11">
        <v>43303</v>
      </c>
      <c r="AE21" s="11"/>
      <c r="AF21" s="11"/>
      <c r="AG21" s="11"/>
      <c r="AH21" s="11"/>
    </row>
    <row r="22" spans="2:34" ht="14.25" customHeight="1" x14ac:dyDescent="0.15">
      <c r="B22" s="45"/>
      <c r="C22" s="16" t="s">
        <v>20</v>
      </c>
      <c r="D22" s="12">
        <v>43296</v>
      </c>
      <c r="E22" s="12"/>
      <c r="F22" s="12"/>
      <c r="G22" s="12"/>
      <c r="H22" s="12"/>
      <c r="I22" s="12"/>
      <c r="J22" s="12"/>
      <c r="K22" s="12">
        <v>43306</v>
      </c>
      <c r="L22" s="12"/>
      <c r="M22" s="12">
        <v>43301</v>
      </c>
      <c r="N22" s="12"/>
      <c r="O22" s="12"/>
      <c r="P22" s="12"/>
      <c r="Q22" s="12"/>
      <c r="R22" s="12"/>
      <c r="S22" s="12"/>
      <c r="T22" s="12"/>
      <c r="U22" s="12"/>
      <c r="V22" s="12">
        <v>43306</v>
      </c>
      <c r="W22" s="12"/>
      <c r="X22" s="12"/>
      <c r="Y22" s="12"/>
      <c r="Z22" s="12"/>
      <c r="AA22" s="12"/>
      <c r="AB22" s="12"/>
      <c r="AC22" s="12"/>
      <c r="AD22" s="12">
        <v>43311</v>
      </c>
      <c r="AE22" s="12"/>
      <c r="AF22" s="12"/>
      <c r="AG22" s="12"/>
      <c r="AH22" s="12" t="s">
        <v>73</v>
      </c>
    </row>
    <row r="23" spans="2:34" ht="14.25" customHeight="1" x14ac:dyDescent="0.15">
      <c r="B23" s="45"/>
      <c r="C23" s="17" t="s">
        <v>21</v>
      </c>
      <c r="D23" s="13">
        <v>43306</v>
      </c>
      <c r="E23" s="13"/>
      <c r="F23" s="13"/>
      <c r="G23" s="13"/>
      <c r="H23" s="13"/>
      <c r="I23" s="13"/>
      <c r="J23" s="13"/>
      <c r="K23" s="13">
        <v>43310</v>
      </c>
      <c r="L23" s="13"/>
      <c r="M23" s="13">
        <v>43307</v>
      </c>
      <c r="N23" s="13"/>
      <c r="O23" s="13"/>
      <c r="P23" s="13"/>
      <c r="Q23" s="13"/>
      <c r="R23" s="13"/>
      <c r="S23" s="13"/>
      <c r="T23" s="13"/>
      <c r="U23" s="13"/>
      <c r="V23" s="13">
        <v>43311</v>
      </c>
      <c r="W23" s="13"/>
      <c r="X23" s="13"/>
      <c r="Y23" s="13"/>
      <c r="Z23" s="13"/>
      <c r="AA23" s="13"/>
      <c r="AB23" s="13"/>
      <c r="AC23" s="13"/>
      <c r="AD23" s="13">
        <v>43311</v>
      </c>
      <c r="AE23" s="13"/>
      <c r="AF23" s="13"/>
      <c r="AG23" s="13"/>
      <c r="AH23" s="13">
        <v>43306</v>
      </c>
    </row>
    <row r="24" spans="2:34" ht="14.25" customHeight="1" x14ac:dyDescent="0.15">
      <c r="B24" s="45" t="s">
        <v>28</v>
      </c>
      <c r="C24" s="15" t="s">
        <v>19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>
        <v>43335</v>
      </c>
      <c r="AH24" s="11"/>
    </row>
    <row r="25" spans="2:34" ht="14.25" customHeight="1" x14ac:dyDescent="0.15">
      <c r="B25" s="45"/>
      <c r="C25" s="16" t="s">
        <v>20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>
        <v>43335</v>
      </c>
      <c r="AH25" s="12" t="s">
        <v>73</v>
      </c>
    </row>
    <row r="26" spans="2:34" ht="14.25" customHeight="1" x14ac:dyDescent="0.15">
      <c r="B26" s="45"/>
      <c r="C26" s="17" t="s">
        <v>21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>
        <v>43337</v>
      </c>
      <c r="AH26" s="13">
        <v>43336</v>
      </c>
    </row>
    <row r="27" spans="2:34" ht="14.25" customHeight="1" x14ac:dyDescent="0.15">
      <c r="B27" s="45" t="s">
        <v>29</v>
      </c>
      <c r="C27" s="15" t="s">
        <v>19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>
        <v>43363</v>
      </c>
      <c r="P27" s="11">
        <v>43361</v>
      </c>
      <c r="Q27" s="11">
        <v>43355</v>
      </c>
      <c r="R27" s="11"/>
      <c r="S27" s="11"/>
      <c r="T27" s="11"/>
      <c r="U27" s="11"/>
      <c r="V27" s="11" t="s">
        <v>59</v>
      </c>
      <c r="W27" s="11"/>
      <c r="X27" s="11"/>
      <c r="Y27" s="11"/>
      <c r="Z27" s="11"/>
      <c r="AA27" s="11"/>
      <c r="AB27" s="11"/>
      <c r="AC27" s="11" t="s">
        <v>66</v>
      </c>
      <c r="AD27" s="11"/>
      <c r="AE27" s="11"/>
      <c r="AF27" s="11">
        <v>43362</v>
      </c>
      <c r="AG27" s="11"/>
      <c r="AH27" s="11"/>
    </row>
    <row r="28" spans="2:34" ht="14.25" customHeight="1" x14ac:dyDescent="0.15">
      <c r="B28" s="45"/>
      <c r="C28" s="16" t="s">
        <v>20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43369</v>
      </c>
      <c r="P28" s="12">
        <v>43363</v>
      </c>
      <c r="Q28" s="12">
        <v>43356</v>
      </c>
      <c r="R28" s="12"/>
      <c r="S28" s="12"/>
      <c r="T28" s="12"/>
      <c r="U28" s="12"/>
      <c r="V28" s="12">
        <v>43373</v>
      </c>
      <c r="W28" s="12"/>
      <c r="X28" s="12"/>
      <c r="Y28" s="12"/>
      <c r="Z28" s="12"/>
      <c r="AA28" s="12"/>
      <c r="AB28" s="12"/>
      <c r="AC28" s="12">
        <v>43344</v>
      </c>
      <c r="AD28" s="12"/>
      <c r="AE28" s="12"/>
      <c r="AF28" s="12">
        <v>43363</v>
      </c>
      <c r="AG28" s="12"/>
      <c r="AH28" s="12" t="s">
        <v>73</v>
      </c>
    </row>
    <row r="29" spans="2:34" ht="14.25" customHeight="1" x14ac:dyDescent="0.15">
      <c r="B29" s="45"/>
      <c r="C29" s="17" t="s">
        <v>21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>
        <v>43370</v>
      </c>
      <c r="P29" s="13">
        <v>43371</v>
      </c>
      <c r="Q29" s="13">
        <v>43371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>
        <v>43371</v>
      </c>
      <c r="AG29" s="13"/>
      <c r="AH29" s="13">
        <v>43366</v>
      </c>
    </row>
    <row r="30" spans="2:34" ht="14.25" customHeight="1" x14ac:dyDescent="0.15">
      <c r="B30" s="45" t="s">
        <v>30</v>
      </c>
      <c r="C30" s="15" t="s">
        <v>19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>
        <v>43401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2:34" ht="14.25" customHeight="1" x14ac:dyDescent="0.15">
      <c r="B31" s="45"/>
      <c r="C31" s="16" t="s">
        <v>20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>
        <v>43403</v>
      </c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 t="s">
        <v>73</v>
      </c>
    </row>
    <row r="32" spans="2:34" ht="14.25" customHeight="1" x14ac:dyDescent="0.15">
      <c r="B32" s="45"/>
      <c r="C32" s="17" t="s">
        <v>21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>
        <v>43403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>
        <v>43401</v>
      </c>
    </row>
    <row r="33" spans="2:34" ht="14.25" customHeight="1" x14ac:dyDescent="0.15">
      <c r="B33" s="45" t="s">
        <v>31</v>
      </c>
      <c r="C33" s="15" t="s">
        <v>19</v>
      </c>
      <c r="D33" s="11"/>
      <c r="E33" s="11">
        <v>43420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>
        <v>43411</v>
      </c>
      <c r="U33" s="11">
        <v>43427</v>
      </c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2:34" ht="14.25" customHeight="1" x14ac:dyDescent="0.15">
      <c r="B34" s="45"/>
      <c r="C34" s="16" t="s">
        <v>20</v>
      </c>
      <c r="D34" s="12"/>
      <c r="E34" s="12">
        <v>43422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>
        <v>43411</v>
      </c>
      <c r="U34" s="12">
        <v>43429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 t="s">
        <v>73</v>
      </c>
    </row>
    <row r="35" spans="2:34" ht="14.25" customHeight="1" x14ac:dyDescent="0.15">
      <c r="B35" s="45"/>
      <c r="C35" s="17" t="s">
        <v>21</v>
      </c>
      <c r="D35" s="13"/>
      <c r="E35" s="13">
        <v>43432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>
        <v>43432</v>
      </c>
      <c r="U35" s="13">
        <v>43430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>
        <v>43429</v>
      </c>
    </row>
    <row r="36" spans="2:34" ht="14.25" customHeight="1" x14ac:dyDescent="0.15">
      <c r="B36" s="45" t="s">
        <v>32</v>
      </c>
      <c r="C36" s="15" t="s">
        <v>19</v>
      </c>
      <c r="D36" s="11"/>
      <c r="E36" s="11"/>
      <c r="F36" s="11"/>
      <c r="G36" s="11">
        <v>1219</v>
      </c>
      <c r="H36" s="11"/>
      <c r="I36" s="11"/>
      <c r="J36" s="11">
        <v>43456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>
        <v>43450</v>
      </c>
      <c r="AA36" s="11"/>
      <c r="AB36" s="11"/>
      <c r="AC36" s="11"/>
      <c r="AD36" s="11"/>
      <c r="AE36" s="11"/>
      <c r="AF36" s="11"/>
      <c r="AG36" s="11"/>
      <c r="AH36" s="11"/>
    </row>
    <row r="37" spans="2:34" ht="14.25" customHeight="1" x14ac:dyDescent="0.15">
      <c r="B37" s="45"/>
      <c r="C37" s="16" t="s">
        <v>20</v>
      </c>
      <c r="D37" s="12"/>
      <c r="E37" s="12"/>
      <c r="F37" s="12"/>
      <c r="G37" s="12">
        <v>43454</v>
      </c>
      <c r="H37" s="12"/>
      <c r="I37" s="12"/>
      <c r="J37" s="12">
        <v>43456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>
        <v>43453</v>
      </c>
      <c r="AA37" s="12"/>
      <c r="AB37" s="12"/>
      <c r="AC37" s="12"/>
      <c r="AD37" s="12"/>
      <c r="AE37" s="12"/>
      <c r="AF37" s="12"/>
      <c r="AG37" s="12" t="s">
        <v>59</v>
      </c>
      <c r="AH37" s="12" t="s">
        <v>73</v>
      </c>
    </row>
    <row r="38" spans="2:34" ht="14.25" customHeight="1" x14ac:dyDescent="0.15">
      <c r="B38" s="45"/>
      <c r="C38" s="17" t="s">
        <v>21</v>
      </c>
      <c r="D38" s="13"/>
      <c r="E38" s="13"/>
      <c r="F38" s="13"/>
      <c r="G38" s="13">
        <v>43461</v>
      </c>
      <c r="H38" s="13"/>
      <c r="I38" s="13"/>
      <c r="J38" s="13">
        <v>43461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>
        <v>43461</v>
      </c>
      <c r="AA38" s="13"/>
      <c r="AB38" s="13"/>
      <c r="AC38" s="13"/>
      <c r="AD38" s="13"/>
      <c r="AE38" s="13"/>
      <c r="AF38" s="13"/>
      <c r="AG38" s="13">
        <v>43465</v>
      </c>
      <c r="AH38" s="13">
        <v>43460</v>
      </c>
    </row>
    <row r="39" spans="2:34" x14ac:dyDescent="0.15">
      <c r="B39" s="46" t="s">
        <v>33</v>
      </c>
      <c r="C39" s="46"/>
      <c r="D39" s="46"/>
      <c r="E39" s="46"/>
      <c r="F39" s="46"/>
    </row>
    <row r="40" spans="2:34" x14ac:dyDescent="0.15">
      <c r="B40" s="47"/>
      <c r="C40" s="48"/>
      <c r="D40" s="10" t="s">
        <v>6</v>
      </c>
      <c r="E40" s="10" t="s">
        <v>1</v>
      </c>
      <c r="F40" s="10" t="s">
        <v>15</v>
      </c>
      <c r="G40" s="10" t="s">
        <v>13</v>
      </c>
      <c r="H40" s="10" t="s">
        <v>3</v>
      </c>
      <c r="I40" s="10" t="s">
        <v>5</v>
      </c>
      <c r="J40" s="10" t="s">
        <v>7</v>
      </c>
      <c r="K40" s="10" t="s">
        <v>9</v>
      </c>
      <c r="L40" s="10" t="s">
        <v>17</v>
      </c>
      <c r="M40" s="10" t="s">
        <v>0</v>
      </c>
      <c r="N40" s="10" t="s">
        <v>2</v>
      </c>
      <c r="O40" s="10" t="s">
        <v>4</v>
      </c>
      <c r="P40" s="10" t="s">
        <v>8</v>
      </c>
      <c r="Q40" s="10" t="s">
        <v>10</v>
      </c>
      <c r="R40" s="10" t="s">
        <v>12</v>
      </c>
      <c r="S40" s="10" t="s">
        <v>14</v>
      </c>
      <c r="T40" s="10" t="s">
        <v>16</v>
      </c>
      <c r="U40" s="10" t="str">
        <f t="shared" ref="U40:AC40" si="0">U2</f>
        <v>元廣</v>
      </c>
      <c r="V40" s="10" t="str">
        <f>V2</f>
        <v>佐原</v>
      </c>
      <c r="W40" s="10" t="str">
        <f t="shared" si="0"/>
        <v>櫻武</v>
      </c>
      <c r="X40" s="10" t="str">
        <f t="shared" si="0"/>
        <v>神田</v>
      </c>
      <c r="Y40" s="10" t="str">
        <f t="shared" si="0"/>
        <v>楠</v>
      </c>
      <c r="Z40" s="10" t="str">
        <f t="shared" si="0"/>
        <v>竹内</v>
      </c>
      <c r="AA40" s="10" t="str">
        <f t="shared" si="0"/>
        <v>倉谷</v>
      </c>
      <c r="AB40" s="10" t="str">
        <f t="shared" si="0"/>
        <v>矢原</v>
      </c>
      <c r="AC40" s="10" t="str">
        <f t="shared" si="0"/>
        <v>葛籠</v>
      </c>
      <c r="AD40" s="10" t="str">
        <f>AD2</f>
        <v>坂本</v>
      </c>
      <c r="AE40" s="10" t="str">
        <f>AE2</f>
        <v>舛田</v>
      </c>
      <c r="AF40" s="10" t="str">
        <f>AF2</f>
        <v>鹿室</v>
      </c>
      <c r="AG40" s="10" t="str">
        <f>AG2</f>
        <v>山下</v>
      </c>
      <c r="AH40" s="10" t="str">
        <f>AH2</f>
        <v>支援会議</v>
      </c>
    </row>
    <row r="41" spans="2:34" x14ac:dyDescent="0.15">
      <c r="B41" s="45" t="s">
        <v>34</v>
      </c>
      <c r="C41" s="15" t="s">
        <v>19</v>
      </c>
      <c r="D41" s="11">
        <v>43116</v>
      </c>
      <c r="E41" s="11"/>
      <c r="F41" s="11"/>
      <c r="G41" s="11"/>
      <c r="H41" s="11"/>
      <c r="I41" s="11"/>
      <c r="J41" s="11"/>
      <c r="K41" s="11">
        <v>43119</v>
      </c>
      <c r="L41" s="11"/>
      <c r="M41" s="11">
        <v>43117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>
        <v>43118</v>
      </c>
      <c r="AE41" s="11"/>
      <c r="AF41" s="11"/>
      <c r="AG41" s="11"/>
      <c r="AH41" s="11"/>
    </row>
    <row r="42" spans="2:34" x14ac:dyDescent="0.15">
      <c r="B42" s="45"/>
      <c r="C42" s="16" t="s">
        <v>20</v>
      </c>
      <c r="D42" s="12">
        <v>43118</v>
      </c>
      <c r="E42" s="12"/>
      <c r="F42" s="12"/>
      <c r="G42" s="12"/>
      <c r="H42" s="12"/>
      <c r="I42" s="12"/>
      <c r="J42" s="12"/>
      <c r="K42" s="12">
        <v>43121</v>
      </c>
      <c r="L42" s="12"/>
      <c r="M42" s="12">
        <v>43117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>
        <v>43130</v>
      </c>
      <c r="AE42" s="12"/>
      <c r="AF42" s="12"/>
      <c r="AG42" s="12"/>
      <c r="AH42" s="12" t="s">
        <v>73</v>
      </c>
    </row>
    <row r="43" spans="2:34" x14ac:dyDescent="0.15">
      <c r="B43" s="45"/>
      <c r="C43" s="17" t="s">
        <v>21</v>
      </c>
      <c r="D43" s="13">
        <v>43128</v>
      </c>
      <c r="E43" s="13"/>
      <c r="F43" s="13"/>
      <c r="G43" s="13"/>
      <c r="H43" s="13"/>
      <c r="I43" s="13"/>
      <c r="J43" s="13"/>
      <c r="K43" s="13">
        <v>43127</v>
      </c>
      <c r="L43" s="13"/>
      <c r="M43" s="13">
        <v>43127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>
        <v>43130</v>
      </c>
      <c r="AE43" s="13"/>
      <c r="AF43" s="13"/>
      <c r="AG43" s="13"/>
      <c r="AH43" s="13">
        <v>43126</v>
      </c>
    </row>
    <row r="44" spans="2:34" x14ac:dyDescent="0.15">
      <c r="B44" s="45" t="s">
        <v>35</v>
      </c>
      <c r="C44" s="15" t="s">
        <v>19</v>
      </c>
      <c r="D44" s="11"/>
      <c r="E44" s="11"/>
      <c r="F44" s="11">
        <v>43132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43144</v>
      </c>
      <c r="T44" s="11"/>
      <c r="U44" s="11"/>
      <c r="V44" s="11"/>
      <c r="W44" s="11">
        <v>43141</v>
      </c>
      <c r="X44" s="11"/>
      <c r="Y44" s="11"/>
      <c r="Z44" s="11"/>
      <c r="AA44" s="11"/>
      <c r="AB44" s="11">
        <v>43141</v>
      </c>
      <c r="AC44" s="11"/>
      <c r="AD44" s="11"/>
      <c r="AE44" s="11"/>
      <c r="AF44" s="11"/>
      <c r="AG44" s="11"/>
      <c r="AH44" s="11"/>
    </row>
    <row r="45" spans="2:34" x14ac:dyDescent="0.15">
      <c r="B45" s="45"/>
      <c r="C45" s="16" t="s">
        <v>20</v>
      </c>
      <c r="D45" s="12"/>
      <c r="E45" s="12"/>
      <c r="F45" s="12">
        <v>43144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>
        <v>43151</v>
      </c>
      <c r="T45" s="12"/>
      <c r="U45" s="12"/>
      <c r="V45" s="12"/>
      <c r="W45" s="12">
        <v>43154</v>
      </c>
      <c r="X45" s="12"/>
      <c r="Y45" s="12"/>
      <c r="Z45" s="12"/>
      <c r="AA45" s="12"/>
      <c r="AB45" s="12">
        <v>43154</v>
      </c>
      <c r="AC45" s="12"/>
      <c r="AD45" s="12"/>
      <c r="AE45" s="12"/>
      <c r="AF45" s="12"/>
      <c r="AG45" s="12"/>
      <c r="AH45" s="12" t="s">
        <v>73</v>
      </c>
    </row>
    <row r="46" spans="2:34" x14ac:dyDescent="0.15">
      <c r="B46" s="45"/>
      <c r="C46" s="17" t="s">
        <v>21</v>
      </c>
      <c r="D46" s="13"/>
      <c r="E46" s="13"/>
      <c r="F46" s="13">
        <v>43154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>
        <v>43159</v>
      </c>
      <c r="T46" s="13"/>
      <c r="U46" s="13"/>
      <c r="V46" s="13"/>
      <c r="W46" s="13">
        <v>43154</v>
      </c>
      <c r="X46" s="13"/>
      <c r="Y46" s="13"/>
      <c r="Z46" s="13"/>
      <c r="AA46" s="13"/>
      <c r="AB46" s="13">
        <v>43159</v>
      </c>
      <c r="AC46" s="13"/>
      <c r="AD46" s="13"/>
      <c r="AE46" s="13"/>
      <c r="AF46" s="13"/>
      <c r="AG46" s="13"/>
      <c r="AH46" s="13">
        <v>43154</v>
      </c>
    </row>
    <row r="47" spans="2:34" x14ac:dyDescent="0.15">
      <c r="B47" s="45" t="s">
        <v>36</v>
      </c>
      <c r="C47" s="15" t="s">
        <v>19</v>
      </c>
      <c r="D47" s="11"/>
      <c r="E47" s="11"/>
      <c r="F47" s="11"/>
      <c r="G47" s="11">
        <v>43174</v>
      </c>
      <c r="H47" s="11"/>
      <c r="I47" s="11"/>
      <c r="J47" s="11"/>
      <c r="K47" s="11"/>
      <c r="L47" s="11"/>
      <c r="M47" s="11"/>
      <c r="N47" s="11"/>
      <c r="O47" s="11">
        <v>43182</v>
      </c>
      <c r="P47" s="11">
        <v>43174</v>
      </c>
      <c r="Q47" s="11">
        <v>43176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2:34" x14ac:dyDescent="0.15">
      <c r="B48" s="45"/>
      <c r="C48" s="16" t="s">
        <v>20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>
        <v>43184</v>
      </c>
      <c r="P48" s="12">
        <v>43179</v>
      </c>
      <c r="Q48" s="12">
        <v>43179</v>
      </c>
      <c r="R48" s="12"/>
      <c r="S48" s="12"/>
      <c r="T48" s="12"/>
      <c r="U48" s="12"/>
      <c r="V48" s="12"/>
      <c r="W48" s="12" t="s">
        <v>59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 t="s">
        <v>73</v>
      </c>
    </row>
    <row r="49" spans="2:34" x14ac:dyDescent="0.15">
      <c r="B49" s="45"/>
      <c r="C49" s="17" t="s">
        <v>21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>
        <v>43187</v>
      </c>
      <c r="P49" s="13">
        <v>43184</v>
      </c>
      <c r="Q49" s="13">
        <v>43187</v>
      </c>
      <c r="R49" s="13"/>
      <c r="S49" s="13"/>
      <c r="T49" s="13"/>
      <c r="U49" s="13"/>
      <c r="V49" s="13"/>
      <c r="W49" s="13">
        <v>43190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>
        <v>43184</v>
      </c>
    </row>
    <row r="50" spans="2:34" x14ac:dyDescent="0.15">
      <c r="B50" s="45" t="s">
        <v>37</v>
      </c>
      <c r="C50" s="15" t="s">
        <v>19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>
        <v>43210</v>
      </c>
      <c r="O50" s="11"/>
      <c r="P50" s="11"/>
      <c r="Q50" s="11"/>
      <c r="R50" s="11">
        <v>43208</v>
      </c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x14ac:dyDescent="0.15">
      <c r="B51" s="45"/>
      <c r="C51" s="16" t="s">
        <v>20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>
        <v>43215</v>
      </c>
      <c r="O51" s="12"/>
      <c r="P51" s="12"/>
      <c r="Q51" s="12"/>
      <c r="R51" s="12">
        <v>43210</v>
      </c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 t="s">
        <v>73</v>
      </c>
    </row>
    <row r="52" spans="2:34" x14ac:dyDescent="0.15">
      <c r="B52" s="45"/>
      <c r="C52" s="17" t="s">
        <v>21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>
        <v>43215</v>
      </c>
      <c r="O52" s="13"/>
      <c r="P52" s="13"/>
      <c r="Q52" s="13"/>
      <c r="R52" s="13">
        <v>43218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>
        <v>43214</v>
      </c>
    </row>
    <row r="53" spans="2:34" x14ac:dyDescent="0.15">
      <c r="B53" s="45" t="s">
        <v>38</v>
      </c>
      <c r="C53" s="15" t="s">
        <v>19</v>
      </c>
      <c r="D53" s="11"/>
      <c r="E53" s="11">
        <v>43239</v>
      </c>
      <c r="F53" s="11">
        <v>43233</v>
      </c>
      <c r="G53" s="11"/>
      <c r="H53" s="11"/>
      <c r="I53" s="11">
        <v>43244</v>
      </c>
      <c r="J53" s="11"/>
      <c r="K53" s="11"/>
      <c r="L53" s="11"/>
      <c r="M53" s="11"/>
      <c r="N53" s="11"/>
      <c r="O53" s="11"/>
      <c r="P53" s="11"/>
      <c r="Q53" s="11"/>
      <c r="R53" s="11"/>
      <c r="S53" s="11">
        <v>43236</v>
      </c>
      <c r="T53" s="11">
        <v>43235</v>
      </c>
      <c r="U53" s="11">
        <v>43245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spans="2:34" x14ac:dyDescent="0.15">
      <c r="B54" s="45"/>
      <c r="C54" s="16" t="s">
        <v>20</v>
      </c>
      <c r="D54" s="12"/>
      <c r="E54" s="12">
        <v>43241</v>
      </c>
      <c r="F54" s="12"/>
      <c r="G54" s="12"/>
      <c r="H54" s="12"/>
      <c r="I54" s="12">
        <v>43245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>
        <v>43235</v>
      </c>
      <c r="U54" s="12">
        <v>43245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 t="s">
        <v>73</v>
      </c>
    </row>
    <row r="55" spans="2:34" x14ac:dyDescent="0.15">
      <c r="B55" s="45"/>
      <c r="C55" s="17" t="s">
        <v>21</v>
      </c>
      <c r="D55" s="13"/>
      <c r="E55" s="13">
        <v>43249</v>
      </c>
      <c r="F55" s="13"/>
      <c r="G55" s="13"/>
      <c r="H55" s="13"/>
      <c r="I55" s="13">
        <v>43246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>
        <v>43246</v>
      </c>
      <c r="U55" s="13">
        <v>43246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>
        <v>43246</v>
      </c>
    </row>
    <row r="56" spans="2:34" x14ac:dyDescent="0.15">
      <c r="B56" s="45" t="s">
        <v>39</v>
      </c>
      <c r="C56" s="15" t="s">
        <v>19</v>
      </c>
      <c r="D56" s="11">
        <v>43262</v>
      </c>
      <c r="E56" s="11"/>
      <c r="F56" s="11"/>
      <c r="G56" s="11">
        <v>43273</v>
      </c>
      <c r="H56" s="11"/>
      <c r="I56" s="11"/>
      <c r="J56" s="11">
        <v>43261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43264</v>
      </c>
      <c r="AA56" s="11"/>
      <c r="AB56" s="11"/>
      <c r="AC56" s="11"/>
      <c r="AD56" s="11"/>
      <c r="AE56" s="11"/>
      <c r="AF56" s="11"/>
      <c r="AG56" s="11"/>
      <c r="AH56" s="11"/>
    </row>
    <row r="57" spans="2:34" x14ac:dyDescent="0.15">
      <c r="B57" s="45"/>
      <c r="C57" s="16" t="s">
        <v>20</v>
      </c>
      <c r="D57" s="12">
        <v>43264</v>
      </c>
      <c r="E57" s="12"/>
      <c r="F57" s="12"/>
      <c r="G57" s="12">
        <v>43276</v>
      </c>
      <c r="H57" s="12"/>
      <c r="I57" s="12"/>
      <c r="J57" s="12">
        <v>43263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>
        <v>43267</v>
      </c>
      <c r="AA57" s="12"/>
      <c r="AB57" s="12"/>
      <c r="AC57" s="12"/>
      <c r="AD57" s="12"/>
      <c r="AE57" s="12"/>
      <c r="AF57" s="12"/>
      <c r="AG57" s="12"/>
      <c r="AH57" s="12" t="s">
        <v>73</v>
      </c>
    </row>
    <row r="58" spans="2:34" x14ac:dyDescent="0.15">
      <c r="B58" s="45"/>
      <c r="C58" s="17" t="s">
        <v>21</v>
      </c>
      <c r="D58" s="13">
        <v>43274</v>
      </c>
      <c r="E58" s="13"/>
      <c r="F58" s="13"/>
      <c r="G58" s="13">
        <v>43280</v>
      </c>
      <c r="H58" s="13"/>
      <c r="I58" s="13"/>
      <c r="J58" s="13">
        <v>43280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>
        <v>43280</v>
      </c>
      <c r="AA58" s="13"/>
      <c r="AB58" s="13"/>
      <c r="AC58" s="13"/>
      <c r="AD58" s="13"/>
      <c r="AE58" s="13"/>
      <c r="AF58" s="13"/>
      <c r="AG58" s="13"/>
      <c r="AH58" s="13">
        <v>43274</v>
      </c>
    </row>
    <row r="59" spans="2:34" x14ac:dyDescent="0.15">
      <c r="B59" s="45" t="s">
        <v>40</v>
      </c>
      <c r="C59" s="15" t="s">
        <v>19</v>
      </c>
      <c r="D59" s="11"/>
      <c r="E59" s="11">
        <v>43282</v>
      </c>
      <c r="F59" s="11"/>
      <c r="G59" s="11"/>
      <c r="H59" s="11"/>
      <c r="I59" s="11"/>
      <c r="J59" s="11"/>
      <c r="K59" s="11">
        <v>43294</v>
      </c>
      <c r="L59" s="11"/>
      <c r="M59" s="11">
        <v>43300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 t="s">
        <v>61</v>
      </c>
      <c r="AA59" s="11"/>
      <c r="AB59" s="11"/>
      <c r="AC59" s="11"/>
      <c r="AD59" s="11"/>
      <c r="AE59" s="11"/>
      <c r="AF59" s="11"/>
      <c r="AG59" s="11"/>
      <c r="AH59" s="11"/>
    </row>
    <row r="60" spans="2:34" x14ac:dyDescent="0.15">
      <c r="B60" s="45"/>
      <c r="C60" s="16" t="s">
        <v>20</v>
      </c>
      <c r="D60" s="12"/>
      <c r="E60" s="12">
        <v>43304</v>
      </c>
      <c r="F60" s="12"/>
      <c r="G60" s="12"/>
      <c r="H60" s="12"/>
      <c r="I60" s="12"/>
      <c r="J60" s="12"/>
      <c r="K60" s="12">
        <v>43296</v>
      </c>
      <c r="L60" s="12"/>
      <c r="M60" s="12">
        <v>43300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>
        <v>43296</v>
      </c>
      <c r="AA60" s="12"/>
      <c r="AB60" s="12"/>
      <c r="AC60" s="12"/>
      <c r="AD60" s="12"/>
      <c r="AE60" s="12"/>
      <c r="AF60" s="12"/>
      <c r="AG60" s="12"/>
      <c r="AH60" s="12" t="s">
        <v>73</v>
      </c>
    </row>
    <row r="61" spans="2:34" x14ac:dyDescent="0.15">
      <c r="B61" s="45"/>
      <c r="C61" s="17" t="s">
        <v>21</v>
      </c>
      <c r="D61" s="13"/>
      <c r="E61" s="13">
        <v>43304</v>
      </c>
      <c r="F61" s="13"/>
      <c r="G61" s="13"/>
      <c r="H61" s="13"/>
      <c r="I61" s="13"/>
      <c r="J61" s="13"/>
      <c r="K61" s="13">
        <v>43309</v>
      </c>
      <c r="L61" s="13"/>
      <c r="M61" s="13">
        <v>43310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>
        <v>43302</v>
      </c>
    </row>
    <row r="62" spans="2:34" x14ac:dyDescent="0.15">
      <c r="B62" s="45" t="s">
        <v>41</v>
      </c>
      <c r="C62" s="15" t="s">
        <v>19</v>
      </c>
      <c r="D62" s="11"/>
      <c r="E62" s="11"/>
      <c r="F62" s="11">
        <v>43321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>
        <v>43330</v>
      </c>
      <c r="T62" s="11"/>
      <c r="U62" s="11"/>
      <c r="V62" s="11"/>
      <c r="W62" s="11"/>
      <c r="X62" s="11"/>
      <c r="Y62" s="11"/>
      <c r="Z62" s="11"/>
      <c r="AA62" s="11"/>
      <c r="AB62" s="11">
        <v>43330</v>
      </c>
      <c r="AC62" s="11"/>
      <c r="AD62" s="11"/>
      <c r="AE62" s="11"/>
      <c r="AF62" s="11"/>
      <c r="AG62" s="11"/>
      <c r="AH62" s="11"/>
    </row>
    <row r="63" spans="2:34" x14ac:dyDescent="0.15">
      <c r="B63" s="45"/>
      <c r="C63" s="16" t="s">
        <v>20</v>
      </c>
      <c r="D63" s="12"/>
      <c r="E63" s="12"/>
      <c r="F63" s="12">
        <v>43322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>
        <v>43331</v>
      </c>
      <c r="T63" s="12"/>
      <c r="U63" s="12"/>
      <c r="V63" s="12"/>
      <c r="W63" s="12"/>
      <c r="X63" s="12"/>
      <c r="Y63" s="12"/>
      <c r="Z63" s="12"/>
      <c r="AA63" s="12"/>
      <c r="AB63" s="12">
        <v>43337</v>
      </c>
      <c r="AC63" s="12"/>
      <c r="AD63" s="12"/>
      <c r="AE63" s="12"/>
      <c r="AF63" s="12"/>
      <c r="AG63" s="12"/>
      <c r="AH63" s="12" t="s">
        <v>73</v>
      </c>
    </row>
    <row r="64" spans="2:34" x14ac:dyDescent="0.15">
      <c r="B64" s="45"/>
      <c r="C64" s="17" t="s">
        <v>21</v>
      </c>
      <c r="D64" s="13"/>
      <c r="E64" s="13"/>
      <c r="F64" s="13">
        <v>43341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>
        <v>43341</v>
      </c>
      <c r="T64" s="13"/>
      <c r="U64" s="13"/>
      <c r="V64" s="13"/>
      <c r="W64" s="13"/>
      <c r="X64" s="13"/>
      <c r="Y64" s="13"/>
      <c r="Z64" s="13"/>
      <c r="AA64" s="13"/>
      <c r="AB64" s="13">
        <v>43341</v>
      </c>
      <c r="AC64" s="13"/>
      <c r="AD64" s="13"/>
      <c r="AE64" s="13"/>
      <c r="AF64" s="13"/>
      <c r="AG64" s="13"/>
      <c r="AH64" s="13">
        <v>43337</v>
      </c>
    </row>
    <row r="65" spans="2:34" x14ac:dyDescent="0.15">
      <c r="B65" s="45" t="s">
        <v>42</v>
      </c>
      <c r="C65" s="15" t="s">
        <v>19</v>
      </c>
      <c r="D65" s="11">
        <v>43363</v>
      </c>
      <c r="E65" s="11"/>
      <c r="F65" s="11"/>
      <c r="G65" s="11">
        <v>43358</v>
      </c>
      <c r="H65" s="11"/>
      <c r="I65" s="11"/>
      <c r="J65" s="11">
        <v>43348</v>
      </c>
      <c r="K65" s="11"/>
      <c r="L65" s="11"/>
      <c r="M65" s="11"/>
      <c r="N65" s="11"/>
      <c r="O65" s="11">
        <v>43362</v>
      </c>
      <c r="P65" s="11">
        <v>43358</v>
      </c>
      <c r="Q65" s="11">
        <v>43354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x14ac:dyDescent="0.15">
      <c r="B66" s="45"/>
      <c r="C66" s="16" t="s">
        <v>20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>
        <v>43364</v>
      </c>
      <c r="P66" s="12">
        <v>43363</v>
      </c>
      <c r="Q66" s="12">
        <v>43356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 t="s">
        <v>73</v>
      </c>
    </row>
    <row r="67" spans="2:34" x14ac:dyDescent="0.15">
      <c r="B67" s="45"/>
      <c r="C67" s="17" t="s">
        <v>21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>
        <v>43372</v>
      </c>
      <c r="P67" s="13">
        <v>43372</v>
      </c>
      <c r="Q67" s="13">
        <v>43371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>
        <v>43370</v>
      </c>
    </row>
    <row r="68" spans="2:34" x14ac:dyDescent="0.15">
      <c r="B68" s="45" t="s">
        <v>43</v>
      </c>
      <c r="C68" s="15" t="s">
        <v>19</v>
      </c>
      <c r="D68" s="11"/>
      <c r="E68" s="11">
        <v>43386</v>
      </c>
      <c r="F68" s="11"/>
      <c r="G68" s="11"/>
      <c r="H68" s="11"/>
      <c r="I68" s="11"/>
      <c r="J68" s="11"/>
      <c r="K68" s="11"/>
      <c r="L68" s="11"/>
      <c r="M68" s="11"/>
      <c r="N68" s="11">
        <v>43392</v>
      </c>
      <c r="O68" s="11"/>
      <c r="P68" s="11"/>
      <c r="Q68" s="11"/>
      <c r="R68" s="11">
        <v>43386</v>
      </c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spans="2:34" x14ac:dyDescent="0.15">
      <c r="B69" s="45"/>
      <c r="C69" s="16" t="s">
        <v>20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>
        <v>43394</v>
      </c>
      <c r="O69" s="12"/>
      <c r="P69" s="12"/>
      <c r="Q69" s="12"/>
      <c r="R69" s="12">
        <v>43386</v>
      </c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 t="s">
        <v>73</v>
      </c>
    </row>
    <row r="70" spans="2:34" x14ac:dyDescent="0.15">
      <c r="B70" s="45"/>
      <c r="C70" s="17" t="s">
        <v>21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>
        <v>43400</v>
      </c>
      <c r="O70" s="13"/>
      <c r="P70" s="13"/>
      <c r="Q70" s="13"/>
      <c r="R70" s="13">
        <v>43398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>
        <v>43397</v>
      </c>
    </row>
    <row r="71" spans="2:34" x14ac:dyDescent="0.15">
      <c r="B71" s="45" t="s">
        <v>44</v>
      </c>
      <c r="C71" s="15" t="s">
        <v>19</v>
      </c>
      <c r="D71" s="11"/>
      <c r="E71" s="11"/>
      <c r="F71" s="11">
        <v>43409</v>
      </c>
      <c r="G71" s="11"/>
      <c r="H71" s="11"/>
      <c r="I71" s="11">
        <v>43421</v>
      </c>
      <c r="J71" s="11"/>
      <c r="K71" s="11"/>
      <c r="L71" s="11"/>
      <c r="M71" s="11"/>
      <c r="N71" s="11"/>
      <c r="O71" s="11"/>
      <c r="P71" s="11"/>
      <c r="Q71" s="11"/>
      <c r="R71" s="11"/>
      <c r="S71" s="11">
        <v>43417</v>
      </c>
      <c r="T71" s="11">
        <v>43419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spans="2:34" x14ac:dyDescent="0.15">
      <c r="B72" s="45"/>
      <c r="C72" s="16" t="s">
        <v>20</v>
      </c>
      <c r="D72" s="12"/>
      <c r="E72" s="12"/>
      <c r="F72" s="12"/>
      <c r="G72" s="12"/>
      <c r="H72" s="12"/>
      <c r="I72" s="12">
        <v>43423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>
        <v>43419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 t="s">
        <v>73</v>
      </c>
    </row>
    <row r="73" spans="2:34" x14ac:dyDescent="0.15">
      <c r="B73" s="45"/>
      <c r="C73" s="17" t="s">
        <v>21</v>
      </c>
      <c r="D73" s="13"/>
      <c r="E73" s="13"/>
      <c r="F73" s="13"/>
      <c r="G73" s="13"/>
      <c r="H73" s="13"/>
      <c r="I73" s="13">
        <v>43433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>
        <v>43432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>
        <v>43431</v>
      </c>
    </row>
    <row r="74" spans="2:34" x14ac:dyDescent="0.15">
      <c r="B74" s="45" t="s">
        <v>45</v>
      </c>
      <c r="C74" s="15" t="s">
        <v>19</v>
      </c>
      <c r="D74" s="11">
        <v>43455</v>
      </c>
      <c r="E74" s="11"/>
      <c r="F74" s="11"/>
      <c r="G74" s="11">
        <v>43450</v>
      </c>
      <c r="H74" s="11"/>
      <c r="I74" s="11"/>
      <c r="J74" s="11">
        <v>43444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2:34" x14ac:dyDescent="0.15">
      <c r="B75" s="45"/>
      <c r="C75" s="16" t="s">
        <v>20</v>
      </c>
      <c r="D75" s="12">
        <v>43460</v>
      </c>
      <c r="E75" s="12"/>
      <c r="F75" s="12"/>
      <c r="G75" s="12">
        <v>43452</v>
      </c>
      <c r="H75" s="12"/>
      <c r="I75" s="12"/>
      <c r="J75" s="12">
        <v>43446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 t="s">
        <v>73</v>
      </c>
    </row>
    <row r="76" spans="2:34" x14ac:dyDescent="0.15">
      <c r="B76" s="45"/>
      <c r="C76" s="17" t="s">
        <v>21</v>
      </c>
      <c r="D76" s="13">
        <v>43460</v>
      </c>
      <c r="E76" s="13"/>
      <c r="F76" s="13"/>
      <c r="G76" s="13">
        <v>43460</v>
      </c>
      <c r="H76" s="13"/>
      <c r="I76" s="13"/>
      <c r="J76" s="13">
        <v>43460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>
        <v>43459</v>
      </c>
    </row>
    <row r="77" spans="2:34" x14ac:dyDescent="0.15">
      <c r="B77" s="46" t="s">
        <v>33</v>
      </c>
      <c r="C77" s="46"/>
      <c r="D77" s="46"/>
      <c r="E77" s="46"/>
      <c r="F77" s="46"/>
    </row>
    <row r="78" spans="2:34" x14ac:dyDescent="0.15">
      <c r="B78" s="47"/>
      <c r="C78" s="48"/>
      <c r="D78" s="10" t="s">
        <v>6</v>
      </c>
      <c r="E78" s="10" t="s">
        <v>1</v>
      </c>
      <c r="F78" s="10" t="s">
        <v>15</v>
      </c>
      <c r="G78" s="10" t="s">
        <v>13</v>
      </c>
      <c r="H78" s="10" t="s">
        <v>3</v>
      </c>
      <c r="I78" s="10" t="s">
        <v>5</v>
      </c>
      <c r="J78" s="10" t="s">
        <v>7</v>
      </c>
      <c r="K78" s="10" t="s">
        <v>9</v>
      </c>
      <c r="L78" s="10" t="s">
        <v>17</v>
      </c>
      <c r="M78" s="10" t="s">
        <v>0</v>
      </c>
      <c r="N78" s="10" t="s">
        <v>2</v>
      </c>
      <c r="O78" s="10" t="s">
        <v>4</v>
      </c>
      <c r="P78" s="10" t="s">
        <v>8</v>
      </c>
      <c r="Q78" s="10" t="s">
        <v>10</v>
      </c>
      <c r="R78" s="10" t="s">
        <v>12</v>
      </c>
      <c r="S78" s="10" t="s">
        <v>14</v>
      </c>
      <c r="T78" s="10" t="s">
        <v>16</v>
      </c>
      <c r="U78" s="10"/>
      <c r="V78" s="10" t="str">
        <f>V40</f>
        <v>佐原</v>
      </c>
      <c r="W78" s="10" t="str">
        <f t="shared" ref="W78:AC78" si="1">W40</f>
        <v>櫻武</v>
      </c>
      <c r="X78" s="10" t="str">
        <f t="shared" si="1"/>
        <v>神田</v>
      </c>
      <c r="Y78" s="10" t="str">
        <f t="shared" si="1"/>
        <v>楠</v>
      </c>
      <c r="Z78" s="10" t="str">
        <f t="shared" si="1"/>
        <v>竹内</v>
      </c>
      <c r="AA78" s="10" t="str">
        <f t="shared" si="1"/>
        <v>倉谷</v>
      </c>
      <c r="AB78" s="10" t="str">
        <f t="shared" si="1"/>
        <v>矢原</v>
      </c>
      <c r="AC78" s="10" t="str">
        <f t="shared" si="1"/>
        <v>葛籠</v>
      </c>
      <c r="AD78" s="10" t="str">
        <f>AD40</f>
        <v>坂本</v>
      </c>
      <c r="AE78" s="10" t="str">
        <f>AE40</f>
        <v>舛田</v>
      </c>
      <c r="AF78" s="10" t="str">
        <f>AF40</f>
        <v>鹿室</v>
      </c>
      <c r="AG78" s="10" t="str">
        <f>AG40</f>
        <v>山下</v>
      </c>
      <c r="AH78" s="10" t="str">
        <f>AH40</f>
        <v>支援会議</v>
      </c>
    </row>
    <row r="79" spans="2:34" x14ac:dyDescent="0.15">
      <c r="B79" s="45" t="s">
        <v>46</v>
      </c>
      <c r="C79" s="15" t="s">
        <v>19</v>
      </c>
      <c r="D79" s="11"/>
      <c r="E79" s="11">
        <v>43116</v>
      </c>
      <c r="F79" s="11"/>
      <c r="G79" s="11"/>
      <c r="H79" s="11"/>
      <c r="I79" s="11"/>
      <c r="J79" s="11"/>
      <c r="K79" s="18">
        <v>43119</v>
      </c>
      <c r="L79" s="11"/>
      <c r="M79" s="11">
        <v>43110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spans="2:34" x14ac:dyDescent="0.15">
      <c r="B80" s="45"/>
      <c r="C80" s="16" t="s">
        <v>20</v>
      </c>
      <c r="D80" s="12"/>
      <c r="E80" s="12">
        <v>43129</v>
      </c>
      <c r="F80" s="12"/>
      <c r="G80" s="12"/>
      <c r="H80" s="12"/>
      <c r="I80" s="12"/>
      <c r="J80" s="12"/>
      <c r="K80" s="12">
        <v>43125</v>
      </c>
      <c r="L80" s="12"/>
      <c r="M80" s="12">
        <v>43112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 t="s">
        <v>73</v>
      </c>
    </row>
    <row r="81" spans="2:34" x14ac:dyDescent="0.15">
      <c r="B81" s="45"/>
      <c r="C81" s="17" t="s">
        <v>21</v>
      </c>
      <c r="D81" s="13"/>
      <c r="E81" s="13">
        <v>43129</v>
      </c>
      <c r="F81" s="13"/>
      <c r="G81" s="13"/>
      <c r="H81" s="13"/>
      <c r="I81" s="13"/>
      <c r="J81" s="13"/>
      <c r="K81" s="13">
        <v>43129</v>
      </c>
      <c r="L81" s="13"/>
      <c r="M81" s="13">
        <v>43122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>
        <v>43122</v>
      </c>
    </row>
    <row r="82" spans="2:34" x14ac:dyDescent="0.15">
      <c r="B82" s="45" t="s">
        <v>47</v>
      </c>
      <c r="C82" s="15" t="s">
        <v>19</v>
      </c>
      <c r="D82" s="11"/>
      <c r="E82" s="11"/>
      <c r="F82" s="11">
        <v>43154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>
        <v>43149</v>
      </c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spans="2:34" x14ac:dyDescent="0.15">
      <c r="B83" s="45"/>
      <c r="C83" s="16" t="s">
        <v>20</v>
      </c>
      <c r="D83" s="12"/>
      <c r="E83" s="12"/>
      <c r="F83" s="12">
        <v>43154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>
        <v>43159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 t="s">
        <v>73</v>
      </c>
    </row>
    <row r="84" spans="2:34" x14ac:dyDescent="0.15">
      <c r="B84" s="45"/>
      <c r="C84" s="17" t="s">
        <v>21</v>
      </c>
      <c r="D84" s="13"/>
      <c r="E84" s="13"/>
      <c r="F84" s="13">
        <v>43159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>
        <v>43159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>
        <v>43154</v>
      </c>
    </row>
    <row r="85" spans="2:34" x14ac:dyDescent="0.15">
      <c r="B85" s="45" t="s">
        <v>48</v>
      </c>
      <c r="C85" s="15" t="s">
        <v>19</v>
      </c>
      <c r="D85" s="11">
        <v>43185</v>
      </c>
      <c r="E85" s="11">
        <v>43187</v>
      </c>
      <c r="F85" s="11"/>
      <c r="G85" s="11">
        <v>43171</v>
      </c>
      <c r="H85" s="11"/>
      <c r="I85" s="11"/>
      <c r="J85" s="11"/>
      <c r="K85" s="11"/>
      <c r="L85" s="11"/>
      <c r="M85" s="11"/>
      <c r="N85" s="11">
        <v>43185</v>
      </c>
      <c r="O85" s="11">
        <v>43160</v>
      </c>
      <c r="P85" s="11">
        <v>43174</v>
      </c>
      <c r="Q85" s="11">
        <v>43186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 t="s">
        <v>73</v>
      </c>
    </row>
    <row r="86" spans="2:34" x14ac:dyDescent="0.15">
      <c r="B86" s="45"/>
      <c r="C86" s="16" t="s">
        <v>20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>
        <v>43162</v>
      </c>
      <c r="P86" s="12">
        <v>43187</v>
      </c>
      <c r="Q86" s="12">
        <v>43187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>
        <v>43162</v>
      </c>
    </row>
    <row r="87" spans="2:34" x14ac:dyDescent="0.15">
      <c r="B87" s="45"/>
      <c r="C87" s="17" t="s">
        <v>21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>
        <v>43162</v>
      </c>
      <c r="P87" s="13">
        <v>43188</v>
      </c>
      <c r="Q87" s="13">
        <v>43188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>
        <v>43188</v>
      </c>
    </row>
    <row r="88" spans="2:34" x14ac:dyDescent="0.15">
      <c r="B88" s="45" t="s">
        <v>49</v>
      </c>
      <c r="C88" s="15" t="s">
        <v>19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>
        <v>43193</v>
      </c>
      <c r="S88" s="11"/>
      <c r="T88" s="11">
        <v>43193</v>
      </c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spans="2:34" x14ac:dyDescent="0.15">
      <c r="B89" s="45"/>
      <c r="C89" s="16" t="s">
        <v>20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>
        <v>43193</v>
      </c>
      <c r="O89" s="12"/>
      <c r="P89" s="12"/>
      <c r="Q89" s="12"/>
      <c r="R89" s="12">
        <v>43195</v>
      </c>
      <c r="S89" s="12"/>
      <c r="T89" s="12">
        <v>43193</v>
      </c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 t="s">
        <v>73</v>
      </c>
    </row>
    <row r="90" spans="2:34" x14ac:dyDescent="0.15">
      <c r="B90" s="45"/>
      <c r="C90" s="17" t="s">
        <v>21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>
        <v>43215</v>
      </c>
      <c r="O90" s="13"/>
      <c r="P90" s="13"/>
      <c r="Q90" s="13"/>
      <c r="R90" s="13">
        <v>43215</v>
      </c>
      <c r="S90" s="13"/>
      <c r="T90" s="13">
        <v>43213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2:34" x14ac:dyDescent="0.15">
      <c r="B91" s="45" t="s">
        <v>50</v>
      </c>
      <c r="C91" s="15" t="s">
        <v>19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spans="2:34" x14ac:dyDescent="0.15">
      <c r="B92" s="45"/>
      <c r="C92" s="16" t="s">
        <v>20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 t="s">
        <v>73</v>
      </c>
    </row>
    <row r="93" spans="2:34" x14ac:dyDescent="0.15">
      <c r="B93" s="45"/>
      <c r="C93" s="17" t="s">
        <v>21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2:34" x14ac:dyDescent="0.15">
      <c r="B94" s="45" t="s">
        <v>51</v>
      </c>
      <c r="C94" s="15" t="s">
        <v>19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spans="2:34" x14ac:dyDescent="0.15">
      <c r="B95" s="45"/>
      <c r="C95" s="16" t="s">
        <v>20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 t="s">
        <v>73</v>
      </c>
    </row>
    <row r="96" spans="2:34" x14ac:dyDescent="0.15">
      <c r="B96" s="45"/>
      <c r="C96" s="17" t="s">
        <v>21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2:34" x14ac:dyDescent="0.15">
      <c r="B97" s="45" t="s">
        <v>52</v>
      </c>
      <c r="C97" s="15" t="s">
        <v>19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spans="2:34" x14ac:dyDescent="0.15">
      <c r="B98" s="45"/>
      <c r="C98" s="16" t="s">
        <v>20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 t="s">
        <v>73</v>
      </c>
    </row>
    <row r="99" spans="2:34" x14ac:dyDescent="0.15">
      <c r="B99" s="45"/>
      <c r="C99" s="17" t="s">
        <v>21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2:34" x14ac:dyDescent="0.15">
      <c r="B100" s="45" t="s">
        <v>53</v>
      </c>
      <c r="C100" s="15" t="s">
        <v>19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spans="2:34" x14ac:dyDescent="0.15">
      <c r="B101" s="45"/>
      <c r="C101" s="16" t="s">
        <v>20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 t="s">
        <v>73</v>
      </c>
    </row>
    <row r="102" spans="2:34" x14ac:dyDescent="0.15">
      <c r="B102" s="45"/>
      <c r="C102" s="17" t="s">
        <v>21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2:34" x14ac:dyDescent="0.15">
      <c r="B103" s="45" t="s">
        <v>54</v>
      </c>
      <c r="C103" s="15" t="s">
        <v>19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spans="2:34" x14ac:dyDescent="0.15">
      <c r="B104" s="45"/>
      <c r="C104" s="16" t="s">
        <v>20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 t="s">
        <v>73</v>
      </c>
    </row>
    <row r="105" spans="2:34" x14ac:dyDescent="0.15">
      <c r="B105" s="45"/>
      <c r="C105" s="17" t="s">
        <v>21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2:34" x14ac:dyDescent="0.15">
      <c r="B106" s="45" t="s">
        <v>55</v>
      </c>
      <c r="C106" s="15" t="s">
        <v>19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spans="2:34" x14ac:dyDescent="0.15">
      <c r="B107" s="45"/>
      <c r="C107" s="16" t="s">
        <v>20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 t="s">
        <v>73</v>
      </c>
    </row>
    <row r="108" spans="2:34" x14ac:dyDescent="0.15">
      <c r="B108" s="45"/>
      <c r="C108" s="17" t="s">
        <v>21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2:34" x14ac:dyDescent="0.15">
      <c r="B109" s="45" t="s">
        <v>56</v>
      </c>
      <c r="C109" s="15" t="s">
        <v>19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x14ac:dyDescent="0.15">
      <c r="B110" s="45"/>
      <c r="C110" s="16" t="s">
        <v>20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 t="s">
        <v>73</v>
      </c>
    </row>
    <row r="111" spans="2:34" x14ac:dyDescent="0.15">
      <c r="B111" s="45"/>
      <c r="C111" s="17" t="s">
        <v>21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2:34" x14ac:dyDescent="0.15">
      <c r="B112" s="45" t="s">
        <v>57</v>
      </c>
      <c r="C112" s="15" t="s">
        <v>19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spans="2:34" x14ac:dyDescent="0.15">
      <c r="B113" s="45"/>
      <c r="C113" s="16" t="s">
        <v>20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 t="s">
        <v>73</v>
      </c>
    </row>
    <row r="114" spans="2:34" x14ac:dyDescent="0.15">
      <c r="B114" s="45"/>
      <c r="C114" s="17" t="s">
        <v>21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</sheetData>
  <mergeCells count="42">
    <mergeCell ref="B112:B114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B106:B108"/>
    <mergeCell ref="B109:B111"/>
    <mergeCell ref="B78:C78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F77"/>
    <mergeCell ref="B1:F1"/>
    <mergeCell ref="B2:C2"/>
    <mergeCell ref="B39:F39"/>
    <mergeCell ref="B40:C40"/>
    <mergeCell ref="B41:B43"/>
    <mergeCell ref="B3:B5"/>
    <mergeCell ref="B6:B8"/>
    <mergeCell ref="B9:B11"/>
    <mergeCell ref="B12:B14"/>
    <mergeCell ref="B15:B17"/>
    <mergeCell ref="B18:B20"/>
    <mergeCell ref="B44:B46"/>
    <mergeCell ref="B21:B23"/>
    <mergeCell ref="B24:B26"/>
    <mergeCell ref="B27:B29"/>
    <mergeCell ref="B30:B32"/>
    <mergeCell ref="B33:B35"/>
    <mergeCell ref="B36:B38"/>
  </mergeCells>
  <phoneticPr fontId="2"/>
  <pageMargins left="0.25" right="0.25" top="0.75" bottom="0.75" header="0.3" footer="0.3"/>
  <pageSetup paperSize="9" scale="99" orientation="landscape" horizontalDpi="0" verticalDpi="0" r:id="rId1"/>
  <rowBreaks count="2" manualBreakCount="2">
    <brk id="38" max="16383" man="1"/>
    <brk id="7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4"/>
  <sheetViews>
    <sheetView view="pageBreakPreview" zoomScaleNormal="100" zoomScaleSheetLayoutView="100" workbookViewId="0">
      <selection activeCell="D2" sqref="D1:I1048576"/>
    </sheetView>
  </sheetViews>
  <sheetFormatPr defaultColWidth="6.125" defaultRowHeight="13.5" x14ac:dyDescent="0.15"/>
  <cols>
    <col min="1" max="1" width="6.125" style="1"/>
    <col min="2" max="3" width="6.75" style="1" customWidth="1"/>
    <col min="4" max="20" width="7" style="1" customWidth="1"/>
    <col min="21" max="16384" width="6.125" style="1"/>
  </cols>
  <sheetData>
    <row r="1" spans="2:20" ht="12.75" customHeight="1" x14ac:dyDescent="0.15">
      <c r="B1" s="50" t="s">
        <v>33</v>
      </c>
      <c r="C1" s="50"/>
      <c r="D1" s="50"/>
      <c r="E1" s="50"/>
      <c r="F1" s="50"/>
    </row>
    <row r="2" spans="2:20" ht="14.25" customHeight="1" x14ac:dyDescent="0.15">
      <c r="B2" s="51"/>
      <c r="C2" s="52"/>
      <c r="D2" s="2" t="s">
        <v>58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ht="14.25" customHeight="1" x14ac:dyDescent="0.15">
      <c r="B3" s="49" t="s">
        <v>18</v>
      </c>
      <c r="C3" s="3" t="s">
        <v>19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2:20" ht="14.25" customHeight="1" x14ac:dyDescent="0.15">
      <c r="B4" s="49"/>
      <c r="C4" s="5" t="s">
        <v>20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2:20" ht="14.25" customHeight="1" x14ac:dyDescent="0.15">
      <c r="B5" s="49"/>
      <c r="C5" s="4" t="s">
        <v>21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2:20" ht="14.25" customHeight="1" x14ac:dyDescent="0.15">
      <c r="B6" s="49" t="s">
        <v>22</v>
      </c>
      <c r="C6" s="3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4.25" customHeight="1" x14ac:dyDescent="0.15">
      <c r="B7" s="49"/>
      <c r="C7" s="5" t="s">
        <v>20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2:20" ht="14.25" customHeight="1" x14ac:dyDescent="0.15">
      <c r="B8" s="49"/>
      <c r="C8" s="4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2:20" ht="14.25" customHeight="1" x14ac:dyDescent="0.15">
      <c r="B9" s="49" t="s">
        <v>23</v>
      </c>
      <c r="C9" s="3" t="s">
        <v>19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2:20" ht="14.25" customHeight="1" x14ac:dyDescent="0.15">
      <c r="B10" s="49"/>
      <c r="C10" s="5" t="s">
        <v>20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ht="14.25" customHeight="1" x14ac:dyDescent="0.15">
      <c r="B11" s="49"/>
      <c r="C11" s="4" t="s">
        <v>21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2:20" ht="14.25" customHeight="1" x14ac:dyDescent="0.15">
      <c r="B12" s="49" t="s">
        <v>24</v>
      </c>
      <c r="C12" s="3" t="s">
        <v>19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2:20" ht="14.25" customHeight="1" x14ac:dyDescent="0.15">
      <c r="B13" s="49"/>
      <c r="C13" s="5" t="s">
        <v>20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2:20" ht="14.25" customHeight="1" x14ac:dyDescent="0.15">
      <c r="B14" s="49"/>
      <c r="C14" s="4" t="s">
        <v>21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2:20" ht="14.25" customHeight="1" x14ac:dyDescent="0.15">
      <c r="B15" s="49" t="s">
        <v>25</v>
      </c>
      <c r="C15" s="3" t="s">
        <v>19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2:20" ht="14.25" customHeight="1" x14ac:dyDescent="0.15">
      <c r="B16" s="49"/>
      <c r="C16" s="5" t="s">
        <v>20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2:20" ht="14.25" customHeight="1" x14ac:dyDescent="0.15">
      <c r="B17" s="49"/>
      <c r="C17" s="4" t="s">
        <v>21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2:20" ht="14.25" customHeight="1" x14ac:dyDescent="0.15">
      <c r="B18" s="49" t="s">
        <v>26</v>
      </c>
      <c r="C18" s="3" t="s">
        <v>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2:20" ht="14.25" customHeight="1" x14ac:dyDescent="0.15">
      <c r="B19" s="49"/>
      <c r="C19" s="5" t="s">
        <v>20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2:20" ht="14.25" customHeight="1" x14ac:dyDescent="0.15">
      <c r="B20" s="49"/>
      <c r="C20" s="4" t="s">
        <v>21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2:20" ht="14.25" customHeight="1" x14ac:dyDescent="0.15">
      <c r="B21" s="49" t="s">
        <v>27</v>
      </c>
      <c r="C21" s="3" t="s">
        <v>19</v>
      </c>
      <c r="D21" s="6">
        <v>43292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2:20" ht="14.25" customHeight="1" x14ac:dyDescent="0.15">
      <c r="B22" s="49"/>
      <c r="C22" s="5" t="s">
        <v>20</v>
      </c>
      <c r="D22" s="7">
        <v>43306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0" ht="14.25" customHeight="1" x14ac:dyDescent="0.15">
      <c r="B23" s="49"/>
      <c r="C23" s="4" t="s">
        <v>21</v>
      </c>
      <c r="D23" s="8">
        <v>43311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2:20" ht="14.25" customHeight="1" x14ac:dyDescent="0.15">
      <c r="B24" s="49" t="s">
        <v>28</v>
      </c>
      <c r="C24" s="3" t="s">
        <v>19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2:20" ht="14.25" customHeight="1" x14ac:dyDescent="0.15">
      <c r="B25" s="49"/>
      <c r="C25" s="5" t="s">
        <v>20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2:20" ht="14.25" customHeight="1" x14ac:dyDescent="0.15">
      <c r="B26" s="49"/>
      <c r="C26" s="4" t="s">
        <v>21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2:20" ht="14.25" customHeight="1" x14ac:dyDescent="0.15">
      <c r="B27" s="49" t="s">
        <v>29</v>
      </c>
      <c r="C27" s="3" t="s">
        <v>19</v>
      </c>
      <c r="D27" s="6" t="s">
        <v>59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2:20" ht="14.25" customHeight="1" x14ac:dyDescent="0.15">
      <c r="B28" s="49"/>
      <c r="C28" s="5" t="s">
        <v>20</v>
      </c>
      <c r="D28" s="7">
        <v>43373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2:20" ht="14.25" customHeight="1" x14ac:dyDescent="0.15">
      <c r="B29" s="49"/>
      <c r="C29" s="4" t="s">
        <v>21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2:20" ht="14.25" customHeight="1" x14ac:dyDescent="0.15">
      <c r="B30" s="49" t="s">
        <v>30</v>
      </c>
      <c r="C30" s="3" t="s">
        <v>19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2:20" ht="14.25" customHeight="1" x14ac:dyDescent="0.15">
      <c r="B31" s="49"/>
      <c r="C31" s="5" t="s">
        <v>20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2:20" ht="14.25" customHeight="1" x14ac:dyDescent="0.15">
      <c r="B32" s="49"/>
      <c r="C32" s="4" t="s">
        <v>21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2:20" ht="14.25" customHeight="1" x14ac:dyDescent="0.15">
      <c r="B33" s="49" t="s">
        <v>31</v>
      </c>
      <c r="C33" s="3" t="s">
        <v>19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2:20" ht="14.25" customHeight="1" x14ac:dyDescent="0.15">
      <c r="B34" s="49"/>
      <c r="C34" s="5" t="s">
        <v>20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2:20" ht="14.25" customHeight="1" x14ac:dyDescent="0.15">
      <c r="B35" s="49"/>
      <c r="C35" s="4" t="s">
        <v>21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2:20" ht="14.25" customHeight="1" x14ac:dyDescent="0.15">
      <c r="B36" s="49" t="s">
        <v>32</v>
      </c>
      <c r="C36" s="3" t="s">
        <v>19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2:20" ht="14.25" customHeight="1" x14ac:dyDescent="0.15">
      <c r="B37" s="49"/>
      <c r="C37" s="5" t="s">
        <v>20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2:20" ht="14.25" customHeight="1" x14ac:dyDescent="0.15">
      <c r="B38" s="49"/>
      <c r="C38" s="4" t="s">
        <v>21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2:20" x14ac:dyDescent="0.15">
      <c r="B39" s="50" t="s">
        <v>33</v>
      </c>
      <c r="C39" s="50"/>
      <c r="D39" s="50"/>
      <c r="E39" s="50"/>
      <c r="F39" s="50"/>
    </row>
    <row r="40" spans="2:20" x14ac:dyDescent="0.15">
      <c r="B40" s="51"/>
      <c r="C40" s="5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x14ac:dyDescent="0.15">
      <c r="B41" s="49" t="s">
        <v>34</v>
      </c>
      <c r="C41" s="3" t="s">
        <v>19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2:20" x14ac:dyDescent="0.15">
      <c r="B42" s="49"/>
      <c r="C42" s="5" t="s">
        <v>20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2:20" x14ac:dyDescent="0.15">
      <c r="B43" s="49"/>
      <c r="C43" s="4" t="s">
        <v>21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2:20" x14ac:dyDescent="0.15">
      <c r="B44" s="49" t="s">
        <v>35</v>
      </c>
      <c r="C44" s="3" t="s">
        <v>19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2:20" x14ac:dyDescent="0.15">
      <c r="B45" s="49"/>
      <c r="C45" s="5" t="s">
        <v>20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2:20" x14ac:dyDescent="0.15">
      <c r="B46" s="49"/>
      <c r="C46" s="4" t="s">
        <v>21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2:20" x14ac:dyDescent="0.15">
      <c r="B47" s="49" t="s">
        <v>36</v>
      </c>
      <c r="C47" s="3" t="s">
        <v>19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2:20" x14ac:dyDescent="0.15">
      <c r="B48" s="49"/>
      <c r="C48" s="5" t="s">
        <v>20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2:20" x14ac:dyDescent="0.15">
      <c r="B49" s="49"/>
      <c r="C49" s="4" t="s">
        <v>21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2:20" x14ac:dyDescent="0.15">
      <c r="B50" s="49" t="s">
        <v>37</v>
      </c>
      <c r="C50" s="3" t="s">
        <v>19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2:20" x14ac:dyDescent="0.15">
      <c r="B51" s="49"/>
      <c r="C51" s="5" t="s">
        <v>20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2:20" x14ac:dyDescent="0.15">
      <c r="B52" s="49"/>
      <c r="C52" s="4" t="s">
        <v>21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2:20" x14ac:dyDescent="0.15">
      <c r="B53" s="49" t="s">
        <v>38</v>
      </c>
      <c r="C53" s="3" t="s">
        <v>19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2:20" x14ac:dyDescent="0.15">
      <c r="B54" s="49"/>
      <c r="C54" s="5" t="s">
        <v>20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2:20" x14ac:dyDescent="0.15">
      <c r="B55" s="49"/>
      <c r="C55" s="4" t="s">
        <v>21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2:20" x14ac:dyDescent="0.15">
      <c r="B56" s="49" t="s">
        <v>39</v>
      </c>
      <c r="C56" s="3" t="s">
        <v>19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2:20" x14ac:dyDescent="0.15">
      <c r="B57" s="49"/>
      <c r="C57" s="5" t="s">
        <v>20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2:20" x14ac:dyDescent="0.15">
      <c r="B58" s="49"/>
      <c r="C58" s="4" t="s">
        <v>21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2:20" x14ac:dyDescent="0.15">
      <c r="B59" s="49" t="s">
        <v>40</v>
      </c>
      <c r="C59" s="3" t="s">
        <v>19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2:20" x14ac:dyDescent="0.15">
      <c r="B60" s="49"/>
      <c r="C60" s="5" t="s">
        <v>20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2:20" x14ac:dyDescent="0.15">
      <c r="B61" s="49"/>
      <c r="C61" s="4" t="s">
        <v>21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2:20" x14ac:dyDescent="0.15">
      <c r="B62" s="49" t="s">
        <v>41</v>
      </c>
      <c r="C62" s="3" t="s">
        <v>19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2:20" x14ac:dyDescent="0.15">
      <c r="B63" s="49"/>
      <c r="C63" s="5" t="s">
        <v>20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2:20" x14ac:dyDescent="0.15">
      <c r="B64" s="49"/>
      <c r="C64" s="4" t="s">
        <v>21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2:20" x14ac:dyDescent="0.15">
      <c r="B65" s="49" t="s">
        <v>42</v>
      </c>
      <c r="C65" s="3" t="s">
        <v>19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2:20" x14ac:dyDescent="0.15">
      <c r="B66" s="49"/>
      <c r="C66" s="5" t="s">
        <v>20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x14ac:dyDescent="0.15">
      <c r="B67" s="49"/>
      <c r="C67" s="4" t="s">
        <v>21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2:20" x14ac:dyDescent="0.15">
      <c r="B68" s="49" t="s">
        <v>43</v>
      </c>
      <c r="C68" s="3" t="s">
        <v>19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2:20" x14ac:dyDescent="0.15">
      <c r="B69" s="49"/>
      <c r="C69" s="5" t="s">
        <v>20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2:20" x14ac:dyDescent="0.15">
      <c r="B70" s="49"/>
      <c r="C70" s="4" t="s">
        <v>21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2:20" x14ac:dyDescent="0.15">
      <c r="B71" s="49" t="s">
        <v>44</v>
      </c>
      <c r="C71" s="3" t="s">
        <v>19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2:20" x14ac:dyDescent="0.15">
      <c r="B72" s="49"/>
      <c r="C72" s="5" t="s">
        <v>20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2:20" x14ac:dyDescent="0.15">
      <c r="B73" s="49"/>
      <c r="C73" s="4" t="s">
        <v>21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2:20" x14ac:dyDescent="0.15">
      <c r="B74" s="49" t="s">
        <v>45</v>
      </c>
      <c r="C74" s="3" t="s">
        <v>19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2:20" x14ac:dyDescent="0.15">
      <c r="B75" s="49"/>
      <c r="C75" s="5" t="s">
        <v>20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2:20" x14ac:dyDescent="0.15">
      <c r="B76" s="49"/>
      <c r="C76" s="4" t="s">
        <v>21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2:20" x14ac:dyDescent="0.15">
      <c r="B77" s="50" t="s">
        <v>33</v>
      </c>
      <c r="C77" s="50"/>
      <c r="D77" s="50"/>
      <c r="E77" s="50"/>
      <c r="F77" s="50"/>
    </row>
    <row r="78" spans="2:20" x14ac:dyDescent="0.15">
      <c r="B78" s="51"/>
      <c r="C78" s="5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x14ac:dyDescent="0.15">
      <c r="B79" s="49" t="s">
        <v>46</v>
      </c>
      <c r="C79" s="3" t="s">
        <v>19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x14ac:dyDescent="0.15">
      <c r="B80" s="49"/>
      <c r="C80" s="5" t="s">
        <v>20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2:20" x14ac:dyDescent="0.15">
      <c r="B81" s="49"/>
      <c r="C81" s="4" t="s">
        <v>21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2:20" x14ac:dyDescent="0.15">
      <c r="B82" s="49" t="s">
        <v>47</v>
      </c>
      <c r="C82" s="3" t="s">
        <v>19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2:20" x14ac:dyDescent="0.15">
      <c r="B83" s="49"/>
      <c r="C83" s="5" t="s">
        <v>20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2:20" x14ac:dyDescent="0.15">
      <c r="B84" s="49"/>
      <c r="C84" s="4" t="s">
        <v>21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2:20" x14ac:dyDescent="0.15">
      <c r="B85" s="49" t="s">
        <v>48</v>
      </c>
      <c r="C85" s="3" t="s">
        <v>19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2:20" x14ac:dyDescent="0.15">
      <c r="B86" s="49"/>
      <c r="C86" s="5" t="s">
        <v>20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2:20" x14ac:dyDescent="0.15">
      <c r="B87" s="49"/>
      <c r="C87" s="4" t="s">
        <v>21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2:20" x14ac:dyDescent="0.15">
      <c r="B88" s="49" t="s">
        <v>49</v>
      </c>
      <c r="C88" s="3" t="s">
        <v>19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2:20" x14ac:dyDescent="0.15">
      <c r="B89" s="49"/>
      <c r="C89" s="5" t="s">
        <v>20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2:20" x14ac:dyDescent="0.15">
      <c r="B90" s="49"/>
      <c r="C90" s="4" t="s">
        <v>21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2:20" x14ac:dyDescent="0.15">
      <c r="B91" s="49" t="s">
        <v>50</v>
      </c>
      <c r="C91" s="3" t="s">
        <v>19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2:20" x14ac:dyDescent="0.15">
      <c r="B92" s="49"/>
      <c r="C92" s="5" t="s">
        <v>20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2:20" x14ac:dyDescent="0.15">
      <c r="B93" s="49"/>
      <c r="C93" s="4" t="s">
        <v>21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2:20" x14ac:dyDescent="0.15">
      <c r="B94" s="49" t="s">
        <v>51</v>
      </c>
      <c r="C94" s="3" t="s">
        <v>19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2:20" x14ac:dyDescent="0.15">
      <c r="B95" s="49"/>
      <c r="C95" s="5" t="s">
        <v>20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2:20" x14ac:dyDescent="0.15">
      <c r="B96" s="49"/>
      <c r="C96" s="4" t="s">
        <v>21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2:20" x14ac:dyDescent="0.15">
      <c r="B97" s="49" t="s">
        <v>52</v>
      </c>
      <c r="C97" s="3" t="s">
        <v>19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2:20" x14ac:dyDescent="0.15">
      <c r="B98" s="49"/>
      <c r="C98" s="5" t="s">
        <v>20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2:20" x14ac:dyDescent="0.15">
      <c r="B99" s="49"/>
      <c r="C99" s="4" t="s">
        <v>21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2:20" x14ac:dyDescent="0.15">
      <c r="B100" s="49" t="s">
        <v>53</v>
      </c>
      <c r="C100" s="3" t="s">
        <v>19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2:20" x14ac:dyDescent="0.15">
      <c r="B101" s="49"/>
      <c r="C101" s="5" t="s">
        <v>20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2:20" x14ac:dyDescent="0.15">
      <c r="B102" s="49"/>
      <c r="C102" s="4" t="s">
        <v>21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2:20" x14ac:dyDescent="0.15">
      <c r="B103" s="49" t="s">
        <v>54</v>
      </c>
      <c r="C103" s="3" t="s">
        <v>19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2:20" x14ac:dyDescent="0.15">
      <c r="B104" s="49"/>
      <c r="C104" s="5" t="s">
        <v>20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2:20" x14ac:dyDescent="0.15">
      <c r="B105" s="49"/>
      <c r="C105" s="4" t="s">
        <v>21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2:20" x14ac:dyDescent="0.15">
      <c r="B106" s="49" t="s">
        <v>55</v>
      </c>
      <c r="C106" s="3" t="s">
        <v>19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2:20" x14ac:dyDescent="0.15">
      <c r="B107" s="49"/>
      <c r="C107" s="5" t="s">
        <v>20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2:20" x14ac:dyDescent="0.15">
      <c r="B108" s="49"/>
      <c r="C108" s="4" t="s">
        <v>21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2:20" x14ac:dyDescent="0.15">
      <c r="B109" s="49" t="s">
        <v>56</v>
      </c>
      <c r="C109" s="3" t="s">
        <v>19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2:20" x14ac:dyDescent="0.15">
      <c r="B110" s="49"/>
      <c r="C110" s="5" t="s">
        <v>20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2:20" x14ac:dyDescent="0.15">
      <c r="B111" s="49"/>
      <c r="C111" s="4" t="s">
        <v>21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2:20" x14ac:dyDescent="0.15">
      <c r="B112" s="49" t="s">
        <v>57</v>
      </c>
      <c r="C112" s="3" t="s">
        <v>19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2:20" x14ac:dyDescent="0.15">
      <c r="B113" s="49"/>
      <c r="C113" s="5" t="s">
        <v>20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2:20" x14ac:dyDescent="0.15">
      <c r="B114" s="49"/>
      <c r="C114" s="4" t="s">
        <v>21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</sheetData>
  <mergeCells count="42">
    <mergeCell ref="B112:B114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B106:B108"/>
    <mergeCell ref="B109:B111"/>
    <mergeCell ref="B78:C78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F77"/>
    <mergeCell ref="B44:B46"/>
    <mergeCell ref="B15:B17"/>
    <mergeCell ref="B18:B20"/>
    <mergeCell ref="B21:B23"/>
    <mergeCell ref="B24:B26"/>
    <mergeCell ref="B27:B29"/>
    <mergeCell ref="B30:B32"/>
    <mergeCell ref="B33:B35"/>
    <mergeCell ref="B36:B38"/>
    <mergeCell ref="B39:F39"/>
    <mergeCell ref="B40:C40"/>
    <mergeCell ref="B41:B43"/>
    <mergeCell ref="B12:B14"/>
    <mergeCell ref="B1:F1"/>
    <mergeCell ref="B2:C2"/>
    <mergeCell ref="B3:B5"/>
    <mergeCell ref="B6:B8"/>
    <mergeCell ref="B9:B11"/>
  </mergeCells>
  <phoneticPr fontId="2"/>
  <pageMargins left="0.25" right="0.25" top="0.75" bottom="0.75" header="0.3" footer="0.3"/>
  <pageSetup paperSize="9" scale="99" orientation="landscape" horizontalDpi="0" verticalDpi="0" r:id="rId1"/>
  <rowBreaks count="2" manualBreakCount="2">
    <brk id="38" max="16383" man="1"/>
    <brk id="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14"/>
  <sheetViews>
    <sheetView tabSelected="1" view="pageBreakPreview" zoomScale="85" zoomScaleNormal="100" zoomScaleSheetLayoutView="85" workbookViewId="0">
      <selection activeCell="W28" sqref="W28"/>
    </sheetView>
  </sheetViews>
  <sheetFormatPr defaultColWidth="6.125" defaultRowHeight="9.75" customHeight="1" x14ac:dyDescent="0.15"/>
  <cols>
    <col min="1" max="1" width="1.625" style="9" customWidth="1"/>
    <col min="2" max="2" width="6.75" style="9" customWidth="1"/>
    <col min="3" max="3" width="0.125" style="9" customWidth="1"/>
    <col min="4" max="8" width="3.875" style="9" hidden="1" customWidth="1"/>
    <col min="9" max="11" width="3.875" style="9" customWidth="1"/>
    <col min="12" max="12" width="1.5" customWidth="1"/>
    <col min="13" max="14" width="3.875" style="9" customWidth="1"/>
    <col min="15" max="15" width="1.5" customWidth="1"/>
    <col min="16" max="16" width="3.875" style="9" customWidth="1"/>
    <col min="17" max="17" width="3.875" style="9" hidden="1" customWidth="1"/>
    <col min="18" max="18" width="1.5" customWidth="1"/>
    <col min="19" max="21" width="3.875" style="9" customWidth="1"/>
    <col min="22" max="22" width="3.875" style="37" customWidth="1"/>
    <col min="23" max="23" width="3.875" style="9" customWidth="1"/>
    <col min="24" max="24" width="3.75" style="9" customWidth="1"/>
    <col min="25" max="27" width="3.875" style="9" customWidth="1"/>
    <col min="28" max="28" width="1.5" customWidth="1"/>
    <col min="29" max="31" width="3.875" style="9" customWidth="1"/>
    <col min="32" max="32" width="3.75" style="9" customWidth="1"/>
    <col min="33" max="33" width="1.5" customWidth="1"/>
    <col min="34" max="36" width="3.875" style="9" customWidth="1"/>
    <col min="37" max="37" width="1.5" customWidth="1"/>
    <col min="38" max="40" width="4" style="9" customWidth="1"/>
    <col min="41" max="41" width="4" customWidth="1"/>
    <col min="42" max="42" width="4" style="9" customWidth="1"/>
    <col min="43" max="46" width="3.75" style="9" customWidth="1"/>
    <col min="47" max="16384" width="6.125" style="9"/>
  </cols>
  <sheetData>
    <row r="1" spans="2:46" ht="9.75" customHeight="1" x14ac:dyDescent="0.15">
      <c r="B1" s="22" t="s">
        <v>33</v>
      </c>
      <c r="C1" s="22"/>
      <c r="J1" s="22"/>
      <c r="K1" s="22"/>
      <c r="L1" s="9"/>
      <c r="O1" s="9"/>
      <c r="R1" s="9"/>
      <c r="AB1" s="9"/>
      <c r="AG1" s="9"/>
      <c r="AK1" s="9"/>
      <c r="AO1" s="9"/>
    </row>
    <row r="2" spans="2:46" ht="17.25" customHeight="1" x14ac:dyDescent="0.15">
      <c r="B2" s="23"/>
      <c r="C2" s="14" t="s">
        <v>6</v>
      </c>
      <c r="D2" s="14" t="s">
        <v>13</v>
      </c>
      <c r="E2" s="14" t="s">
        <v>0</v>
      </c>
      <c r="F2" s="14" t="s">
        <v>4</v>
      </c>
      <c r="G2" s="14"/>
      <c r="H2" s="14"/>
      <c r="I2" s="14"/>
      <c r="J2" s="14" t="s">
        <v>1</v>
      </c>
      <c r="K2" s="14" t="s">
        <v>15</v>
      </c>
      <c r="L2" s="9"/>
      <c r="M2" s="14" t="s">
        <v>3</v>
      </c>
      <c r="N2" s="14" t="s">
        <v>5</v>
      </c>
      <c r="O2" s="9"/>
      <c r="P2" s="14" t="s">
        <v>7</v>
      </c>
      <c r="Q2" s="14" t="s">
        <v>17</v>
      </c>
      <c r="R2" s="9"/>
      <c r="S2" s="14" t="s">
        <v>9</v>
      </c>
      <c r="T2" s="14" t="s">
        <v>2</v>
      </c>
      <c r="U2" s="14" t="s">
        <v>14</v>
      </c>
      <c r="V2" s="38"/>
      <c r="W2" s="14" t="s">
        <v>69</v>
      </c>
      <c r="X2" s="14" t="s">
        <v>71</v>
      </c>
      <c r="Y2" s="14" t="s">
        <v>16</v>
      </c>
      <c r="Z2" s="14" t="s">
        <v>8</v>
      </c>
      <c r="AA2" s="14" t="s">
        <v>58</v>
      </c>
      <c r="AB2" s="9"/>
      <c r="AC2" s="14" t="s">
        <v>10</v>
      </c>
      <c r="AD2" s="14" t="s">
        <v>12</v>
      </c>
      <c r="AE2" s="14" t="s">
        <v>70</v>
      </c>
      <c r="AF2" s="14" t="s">
        <v>72</v>
      </c>
      <c r="AG2" s="9"/>
      <c r="AH2" s="14" t="s">
        <v>67</v>
      </c>
      <c r="AI2" s="14" t="s">
        <v>64</v>
      </c>
      <c r="AJ2" s="14" t="s">
        <v>11</v>
      </c>
      <c r="AK2" s="9"/>
      <c r="AL2" s="14" t="s">
        <v>60</v>
      </c>
      <c r="AM2" s="14" t="s">
        <v>63</v>
      </c>
      <c r="AN2" s="14" t="s">
        <v>65</v>
      </c>
      <c r="AO2" s="14" t="s">
        <v>68</v>
      </c>
      <c r="AP2" s="14" t="s">
        <v>62</v>
      </c>
      <c r="AQ2" s="9" t="s">
        <v>75</v>
      </c>
      <c r="AR2" s="9" t="s">
        <v>76</v>
      </c>
      <c r="AS2" s="9" t="s">
        <v>77</v>
      </c>
      <c r="AT2" s="9" t="s">
        <v>79</v>
      </c>
    </row>
    <row r="3" spans="2:46" ht="17.25" customHeight="1" x14ac:dyDescent="0.15">
      <c r="B3" s="24" t="s">
        <v>18</v>
      </c>
      <c r="C3" s="11">
        <v>43118</v>
      </c>
      <c r="D3" s="11"/>
      <c r="E3" s="11">
        <v>43116</v>
      </c>
      <c r="F3" s="11"/>
      <c r="G3" s="11"/>
      <c r="H3" s="11"/>
      <c r="I3" s="11"/>
      <c r="J3" s="11"/>
      <c r="K3" s="11"/>
      <c r="L3" s="9"/>
      <c r="M3" s="11"/>
      <c r="N3" s="11"/>
      <c r="O3" s="9"/>
      <c r="P3" s="11"/>
      <c r="Q3" s="11"/>
      <c r="R3" s="9"/>
      <c r="S3" s="11"/>
      <c r="T3" s="11"/>
      <c r="U3" s="11"/>
      <c r="V3" s="26"/>
      <c r="W3" s="11"/>
      <c r="X3" s="11"/>
      <c r="Y3" s="11"/>
      <c r="Z3" s="11"/>
      <c r="AA3" s="11"/>
      <c r="AB3" s="9"/>
      <c r="AC3" s="11"/>
      <c r="AD3" s="11"/>
      <c r="AE3" s="11"/>
      <c r="AF3" s="11"/>
      <c r="AG3" s="9"/>
      <c r="AH3" s="11"/>
      <c r="AI3" s="11"/>
      <c r="AJ3" s="11"/>
      <c r="AK3" s="9"/>
      <c r="AL3" s="19" t="s">
        <v>91</v>
      </c>
      <c r="AM3" s="19" t="s">
        <v>91</v>
      </c>
      <c r="AN3" s="19" t="s">
        <v>75</v>
      </c>
      <c r="AO3" s="11"/>
      <c r="AP3" s="19" t="s">
        <v>75</v>
      </c>
      <c r="AQ3" s="9" t="s">
        <v>78</v>
      </c>
    </row>
    <row r="4" spans="2:46" ht="17.25" customHeight="1" x14ac:dyDescent="0.15">
      <c r="B4" s="24" t="s">
        <v>22</v>
      </c>
      <c r="C4" s="11"/>
      <c r="D4" s="11"/>
      <c r="E4" s="11"/>
      <c r="F4" s="11"/>
      <c r="G4" s="11"/>
      <c r="H4" s="11"/>
      <c r="I4" s="11"/>
      <c r="J4" s="11"/>
      <c r="K4" s="11"/>
      <c r="L4" s="9"/>
      <c r="M4" s="11"/>
      <c r="N4" s="11"/>
      <c r="O4" s="9"/>
      <c r="P4" s="11"/>
      <c r="Q4" s="11"/>
      <c r="R4" s="9"/>
      <c r="S4" s="11"/>
      <c r="T4" s="11"/>
      <c r="U4" s="11"/>
      <c r="V4" s="26"/>
      <c r="W4" s="11"/>
      <c r="X4" s="11"/>
      <c r="Y4" s="11"/>
      <c r="Z4" s="11"/>
      <c r="AA4" s="11"/>
      <c r="AB4" s="9"/>
      <c r="AC4" s="11"/>
      <c r="AD4" s="11"/>
      <c r="AE4" s="11"/>
      <c r="AF4" s="11"/>
      <c r="AG4" s="9"/>
      <c r="AH4" s="11"/>
      <c r="AI4" s="11"/>
      <c r="AJ4" s="11"/>
      <c r="AK4" s="9"/>
      <c r="AL4" s="19" t="s">
        <v>91</v>
      </c>
      <c r="AM4" s="19" t="s">
        <v>91</v>
      </c>
      <c r="AN4" s="19" t="s">
        <v>75</v>
      </c>
      <c r="AO4" s="19" t="s">
        <v>75</v>
      </c>
      <c r="AP4" s="11" t="s">
        <v>61</v>
      </c>
      <c r="AQ4" s="9" t="s">
        <v>78</v>
      </c>
    </row>
    <row r="5" spans="2:46" ht="17.25" customHeight="1" x14ac:dyDescent="0.15">
      <c r="B5" s="24" t="s">
        <v>23</v>
      </c>
      <c r="C5" s="11"/>
      <c r="D5" s="11"/>
      <c r="E5" s="11"/>
      <c r="F5" s="11"/>
      <c r="G5" s="11"/>
      <c r="H5" s="11"/>
      <c r="I5" s="11"/>
      <c r="J5" s="19" t="s">
        <v>75</v>
      </c>
      <c r="K5" s="11"/>
      <c r="L5" s="9"/>
      <c r="M5" s="11"/>
      <c r="N5" s="11"/>
      <c r="O5" s="9"/>
      <c r="P5" s="11"/>
      <c r="Q5" s="11"/>
      <c r="R5" s="9"/>
      <c r="S5" s="11"/>
      <c r="T5" s="11"/>
      <c r="U5" s="11"/>
      <c r="V5" s="26"/>
      <c r="W5" s="11"/>
      <c r="X5" s="19" t="s">
        <v>75</v>
      </c>
      <c r="Y5" s="11"/>
      <c r="Z5" s="19" t="s">
        <v>75</v>
      </c>
      <c r="AA5" s="11"/>
      <c r="AB5" s="9"/>
      <c r="AC5" s="19" t="s">
        <v>75</v>
      </c>
      <c r="AD5" s="19" t="s">
        <v>75</v>
      </c>
      <c r="AE5" s="11"/>
      <c r="AF5" s="11"/>
      <c r="AG5" s="9"/>
      <c r="AH5" s="11"/>
      <c r="AI5" s="11"/>
      <c r="AJ5" s="11"/>
      <c r="AK5" s="9"/>
      <c r="AL5" s="19" t="s">
        <v>91</v>
      </c>
      <c r="AM5" s="19" t="s">
        <v>91</v>
      </c>
      <c r="AN5" s="11">
        <v>43160</v>
      </c>
      <c r="AO5" s="19" t="s">
        <v>75</v>
      </c>
      <c r="AP5" s="11"/>
      <c r="AQ5" s="9" t="s">
        <v>78</v>
      </c>
    </row>
    <row r="6" spans="2:46" ht="17.25" customHeight="1" x14ac:dyDescent="0.15">
      <c r="B6" s="24" t="s">
        <v>24</v>
      </c>
      <c r="C6" s="11"/>
      <c r="D6" s="11"/>
      <c r="E6" s="11"/>
      <c r="F6" s="11"/>
      <c r="G6" s="11"/>
      <c r="H6" s="11"/>
      <c r="I6" s="11"/>
      <c r="J6" s="19" t="s">
        <v>75</v>
      </c>
      <c r="K6" s="11"/>
      <c r="L6" s="9"/>
      <c r="M6" s="11"/>
      <c r="N6" s="11"/>
      <c r="O6" s="9"/>
      <c r="P6" s="11"/>
      <c r="Q6" s="11"/>
      <c r="R6" s="9"/>
      <c r="S6" s="11"/>
      <c r="T6" s="11"/>
      <c r="U6" s="11"/>
      <c r="V6" s="26"/>
      <c r="W6" s="11"/>
      <c r="X6" s="19" t="s">
        <v>75</v>
      </c>
      <c r="Y6" s="19" t="s">
        <v>75</v>
      </c>
      <c r="Z6" s="19" t="s">
        <v>75</v>
      </c>
      <c r="AA6" s="11"/>
      <c r="AB6" s="9"/>
      <c r="AC6" s="19" t="s">
        <v>76</v>
      </c>
      <c r="AD6" s="19" t="s">
        <v>76</v>
      </c>
      <c r="AE6" s="19" t="s">
        <v>76</v>
      </c>
      <c r="AF6" s="11"/>
      <c r="AG6" s="9"/>
      <c r="AH6" s="11"/>
      <c r="AI6" s="11"/>
      <c r="AJ6" s="11"/>
      <c r="AK6" s="9"/>
      <c r="AL6" s="19" t="s">
        <v>91</v>
      </c>
      <c r="AM6" s="19" t="s">
        <v>91</v>
      </c>
      <c r="AN6" s="11"/>
      <c r="AO6" s="19" t="s">
        <v>76</v>
      </c>
      <c r="AP6" s="11"/>
      <c r="AQ6" s="9" t="s">
        <v>78</v>
      </c>
      <c r="AR6" s="9" t="s">
        <v>78</v>
      </c>
    </row>
    <row r="7" spans="2:46" ht="17.25" customHeight="1" x14ac:dyDescent="0.15">
      <c r="B7" s="24" t="s">
        <v>25</v>
      </c>
      <c r="C7" s="11"/>
      <c r="D7" s="11"/>
      <c r="E7" s="11"/>
      <c r="F7" s="11"/>
      <c r="G7" s="11"/>
      <c r="H7" s="11"/>
      <c r="I7" s="11"/>
      <c r="J7" s="19" t="s">
        <v>75</v>
      </c>
      <c r="K7" s="11"/>
      <c r="L7" s="9"/>
      <c r="M7" s="11"/>
      <c r="N7" s="11"/>
      <c r="O7" s="9"/>
      <c r="P7" s="11"/>
      <c r="Q7" s="11"/>
      <c r="R7" s="9"/>
      <c r="S7" s="11"/>
      <c r="T7" s="11"/>
      <c r="U7" s="11"/>
      <c r="V7" s="26"/>
      <c r="W7" s="11"/>
      <c r="X7" s="19" t="s">
        <v>75</v>
      </c>
      <c r="Y7" s="19" t="s">
        <v>75</v>
      </c>
      <c r="Z7" s="19" t="s">
        <v>75</v>
      </c>
      <c r="AA7" s="11"/>
      <c r="AB7" s="9"/>
      <c r="AC7" s="19" t="s">
        <v>76</v>
      </c>
      <c r="AD7" s="19" t="s">
        <v>76</v>
      </c>
      <c r="AE7" s="19" t="s">
        <v>76</v>
      </c>
      <c r="AF7" s="11"/>
      <c r="AG7" s="9"/>
      <c r="AH7" s="19" t="s">
        <v>75</v>
      </c>
      <c r="AI7" s="11"/>
      <c r="AJ7" s="11"/>
      <c r="AK7" s="9"/>
      <c r="AL7" s="19" t="s">
        <v>91</v>
      </c>
      <c r="AM7" s="19" t="s">
        <v>91</v>
      </c>
      <c r="AN7" s="11"/>
      <c r="AO7" s="19" t="s">
        <v>76</v>
      </c>
      <c r="AP7" s="11"/>
      <c r="AQ7" s="9" t="s">
        <v>78</v>
      </c>
      <c r="AR7" s="9" t="s">
        <v>78</v>
      </c>
    </row>
    <row r="8" spans="2:46" ht="17.25" customHeight="1" x14ac:dyDescent="0.15">
      <c r="B8" s="25" t="s">
        <v>26</v>
      </c>
      <c r="C8" s="11"/>
      <c r="D8" s="11"/>
      <c r="E8" s="11"/>
      <c r="F8" s="11"/>
      <c r="G8" s="11"/>
      <c r="H8" s="11"/>
      <c r="I8" s="11"/>
      <c r="J8" s="19" t="s">
        <v>75</v>
      </c>
      <c r="K8" s="11"/>
      <c r="L8" s="9"/>
      <c r="M8" s="11"/>
      <c r="N8" s="11"/>
      <c r="O8" s="9"/>
      <c r="P8" s="11"/>
      <c r="Q8" s="11"/>
      <c r="R8" s="9"/>
      <c r="S8" s="11"/>
      <c r="T8" s="11"/>
      <c r="U8" s="11"/>
      <c r="V8" s="26"/>
      <c r="W8" s="11"/>
      <c r="X8" s="19" t="s">
        <v>75</v>
      </c>
      <c r="Y8" s="19" t="s">
        <v>75</v>
      </c>
      <c r="Z8" s="19" t="s">
        <v>75</v>
      </c>
      <c r="AA8" s="11"/>
      <c r="AB8" s="9"/>
      <c r="AC8" s="19" t="s">
        <v>76</v>
      </c>
      <c r="AD8" s="19" t="s">
        <v>76</v>
      </c>
      <c r="AE8" s="19" t="s">
        <v>76</v>
      </c>
      <c r="AF8" s="11"/>
      <c r="AG8" s="9"/>
      <c r="AH8" s="19" t="s">
        <v>75</v>
      </c>
      <c r="AI8" s="19" t="s">
        <v>75</v>
      </c>
      <c r="AJ8" s="11"/>
      <c r="AK8" s="9"/>
      <c r="AL8" s="11" t="s">
        <v>61</v>
      </c>
      <c r="AM8" s="11"/>
      <c r="AN8" s="11"/>
      <c r="AO8" s="19" t="s">
        <v>76</v>
      </c>
      <c r="AP8" s="11"/>
      <c r="AQ8" s="9" t="s">
        <v>78</v>
      </c>
      <c r="AR8" s="9" t="s">
        <v>78</v>
      </c>
    </row>
    <row r="9" spans="2:46" ht="17.25" customHeight="1" x14ac:dyDescent="0.15">
      <c r="B9" s="25" t="s">
        <v>27</v>
      </c>
      <c r="C9" s="11">
        <v>43294</v>
      </c>
      <c r="D9" s="11"/>
      <c r="E9" s="11">
        <v>43301</v>
      </c>
      <c r="F9" s="11"/>
      <c r="G9" s="11"/>
      <c r="H9" s="11"/>
      <c r="I9" s="11"/>
      <c r="J9" s="19" t="s">
        <v>75</v>
      </c>
      <c r="K9" s="11"/>
      <c r="L9" s="9"/>
      <c r="M9" s="11"/>
      <c r="N9" s="11"/>
      <c r="O9" s="9"/>
      <c r="P9" s="11"/>
      <c r="Q9" s="11"/>
      <c r="R9" s="9"/>
      <c r="S9" s="19" t="s">
        <v>75</v>
      </c>
      <c r="T9" s="11"/>
      <c r="U9" s="11"/>
      <c r="V9" s="26"/>
      <c r="W9" s="19" t="s">
        <v>75</v>
      </c>
      <c r="X9" s="19" t="s">
        <v>75</v>
      </c>
      <c r="Y9" s="19" t="s">
        <v>75</v>
      </c>
      <c r="Z9" s="19" t="s">
        <v>75</v>
      </c>
      <c r="AA9" s="19" t="s">
        <v>75</v>
      </c>
      <c r="AB9" s="9"/>
      <c r="AC9" s="19" t="s">
        <v>76</v>
      </c>
      <c r="AD9" s="19" t="s">
        <v>76</v>
      </c>
      <c r="AE9" s="19" t="s">
        <v>76</v>
      </c>
      <c r="AF9" s="11"/>
      <c r="AG9" s="9"/>
      <c r="AH9" s="19" t="s">
        <v>75</v>
      </c>
      <c r="AI9" s="19" t="s">
        <v>75</v>
      </c>
      <c r="AJ9" s="11"/>
      <c r="AK9" s="9"/>
      <c r="AL9" s="11"/>
      <c r="AM9" s="11"/>
      <c r="AN9" s="11"/>
      <c r="AO9" s="19" t="s">
        <v>76</v>
      </c>
      <c r="AP9" s="11"/>
      <c r="AQ9" s="9" t="s">
        <v>78</v>
      </c>
      <c r="AR9" s="9" t="s">
        <v>78</v>
      </c>
    </row>
    <row r="10" spans="2:46" ht="17.25" customHeight="1" x14ac:dyDescent="0.15">
      <c r="B10" s="25" t="s">
        <v>28</v>
      </c>
      <c r="C10" s="11"/>
      <c r="D10" s="11"/>
      <c r="E10" s="11"/>
      <c r="F10" s="11"/>
      <c r="G10" s="11"/>
      <c r="H10" s="11"/>
      <c r="I10" s="11"/>
      <c r="J10" s="19" t="s">
        <v>75</v>
      </c>
      <c r="K10" s="11"/>
      <c r="L10" s="9"/>
      <c r="M10" s="11"/>
      <c r="N10" s="11"/>
      <c r="O10" s="9"/>
      <c r="P10" s="11"/>
      <c r="Q10" s="11"/>
      <c r="R10" s="9"/>
      <c r="S10" s="19" t="s">
        <v>75</v>
      </c>
      <c r="T10" s="11"/>
      <c r="U10" s="11"/>
      <c r="V10" s="26"/>
      <c r="W10" s="19" t="s">
        <v>75</v>
      </c>
      <c r="X10" s="19" t="s">
        <v>75</v>
      </c>
      <c r="Y10" s="19" t="s">
        <v>75</v>
      </c>
      <c r="Z10" s="19" t="s">
        <v>75</v>
      </c>
      <c r="AA10" s="19" t="s">
        <v>75</v>
      </c>
      <c r="AB10" s="9"/>
      <c r="AC10" s="19" t="s">
        <v>76</v>
      </c>
      <c r="AD10" s="19" t="s">
        <v>76</v>
      </c>
      <c r="AE10" s="11"/>
      <c r="AF10" s="19" t="s">
        <v>76</v>
      </c>
      <c r="AG10" s="9"/>
      <c r="AH10" s="19" t="s">
        <v>75</v>
      </c>
      <c r="AI10" s="19" t="s">
        <v>75</v>
      </c>
      <c r="AJ10" s="11"/>
      <c r="AK10" s="9"/>
      <c r="AL10" s="11"/>
      <c r="AM10" s="11"/>
      <c r="AN10" s="11"/>
      <c r="AO10" s="19" t="s">
        <v>76</v>
      </c>
      <c r="AP10" s="11"/>
      <c r="AQ10" s="9" t="s">
        <v>78</v>
      </c>
      <c r="AR10" s="9" t="s">
        <v>78</v>
      </c>
    </row>
    <row r="11" spans="2:46" ht="17.25" customHeight="1" x14ac:dyDescent="0.15">
      <c r="B11" s="25" t="s">
        <v>29</v>
      </c>
      <c r="C11" s="11"/>
      <c r="D11" s="11"/>
      <c r="E11" s="11"/>
      <c r="F11" s="11">
        <v>43363</v>
      </c>
      <c r="G11" s="11"/>
      <c r="H11" s="11"/>
      <c r="I11" s="11"/>
      <c r="J11" s="19" t="s">
        <v>75</v>
      </c>
      <c r="K11" s="11"/>
      <c r="L11" s="9"/>
      <c r="M11" s="11"/>
      <c r="N11" s="11"/>
      <c r="O11" s="9"/>
      <c r="P11" s="11"/>
      <c r="Q11" s="11"/>
      <c r="R11" s="9"/>
      <c r="S11" s="19" t="s">
        <v>75</v>
      </c>
      <c r="T11" s="11"/>
      <c r="U11" s="11"/>
      <c r="V11" s="26"/>
      <c r="W11" s="19" t="s">
        <v>75</v>
      </c>
      <c r="X11" s="19" t="s">
        <v>75</v>
      </c>
      <c r="Y11" s="19" t="s">
        <v>75</v>
      </c>
      <c r="Z11" s="19" t="s">
        <v>75</v>
      </c>
      <c r="AA11" s="19" t="s">
        <v>75</v>
      </c>
      <c r="AB11" s="9"/>
      <c r="AC11" s="19" t="s">
        <v>76</v>
      </c>
      <c r="AD11" s="19" t="s">
        <v>76</v>
      </c>
      <c r="AE11" s="11"/>
      <c r="AF11" s="19" t="s">
        <v>76</v>
      </c>
      <c r="AG11" s="9"/>
      <c r="AH11" s="19" t="s">
        <v>75</v>
      </c>
      <c r="AI11" s="19" t="s">
        <v>75</v>
      </c>
      <c r="AJ11" s="11"/>
      <c r="AK11" s="9"/>
      <c r="AL11" s="11"/>
      <c r="AM11" s="11"/>
      <c r="AN11" s="11"/>
      <c r="AO11" s="11" t="s">
        <v>66</v>
      </c>
      <c r="AP11" s="11"/>
      <c r="AQ11" s="9" t="s">
        <v>78</v>
      </c>
      <c r="AR11" s="9" t="s">
        <v>78</v>
      </c>
    </row>
    <row r="12" spans="2:46" ht="17.25" customHeight="1" x14ac:dyDescent="0.15">
      <c r="B12" s="25" t="s">
        <v>30</v>
      </c>
      <c r="C12" s="11"/>
      <c r="D12" s="11"/>
      <c r="E12" s="11"/>
      <c r="F12" s="11"/>
      <c r="G12" s="11"/>
      <c r="H12" s="11"/>
      <c r="I12" s="11"/>
      <c r="J12" s="19" t="s">
        <v>75</v>
      </c>
      <c r="K12" s="11"/>
      <c r="L12" s="9"/>
      <c r="M12" s="11"/>
      <c r="N12" s="11"/>
      <c r="O12" s="9"/>
      <c r="P12" s="11"/>
      <c r="Q12" s="11"/>
      <c r="R12" s="9"/>
      <c r="S12" s="19" t="s">
        <v>75</v>
      </c>
      <c r="T12" s="11"/>
      <c r="U12" s="11"/>
      <c r="V12" s="26"/>
      <c r="W12" s="19" t="s">
        <v>75</v>
      </c>
      <c r="X12" s="19" t="s">
        <v>75</v>
      </c>
      <c r="Y12" s="19" t="s">
        <v>75</v>
      </c>
      <c r="Z12" s="19" t="s">
        <v>75</v>
      </c>
      <c r="AA12" s="11"/>
      <c r="AB12" s="9"/>
      <c r="AC12" s="19" t="s">
        <v>76</v>
      </c>
      <c r="AD12" s="19" t="s">
        <v>76</v>
      </c>
      <c r="AE12" s="11"/>
      <c r="AF12" s="19" t="s">
        <v>76</v>
      </c>
      <c r="AG12" s="9"/>
      <c r="AH12" s="19" t="s">
        <v>75</v>
      </c>
      <c r="AI12" s="19" t="s">
        <v>75</v>
      </c>
      <c r="AJ12" s="11"/>
      <c r="AK12" s="9"/>
      <c r="AL12" s="11"/>
      <c r="AM12" s="11"/>
      <c r="AN12" s="11"/>
      <c r="AO12" s="9"/>
      <c r="AP12" s="11"/>
      <c r="AQ12" s="9" t="s">
        <v>78</v>
      </c>
      <c r="AR12" s="9" t="s">
        <v>78</v>
      </c>
    </row>
    <row r="13" spans="2:46" ht="17.25" customHeight="1" x14ac:dyDescent="0.15">
      <c r="B13" s="25" t="s">
        <v>31</v>
      </c>
      <c r="C13" s="11"/>
      <c r="D13" s="11"/>
      <c r="E13" s="11"/>
      <c r="F13" s="11"/>
      <c r="G13" s="11"/>
      <c r="H13" s="11"/>
      <c r="I13" s="11"/>
      <c r="J13" s="19" t="s">
        <v>75</v>
      </c>
      <c r="K13" s="11"/>
      <c r="L13" s="9"/>
      <c r="M13" s="11"/>
      <c r="N13" s="11"/>
      <c r="O13" s="9"/>
      <c r="P13" s="11"/>
      <c r="Q13" s="11"/>
      <c r="R13" s="9"/>
      <c r="S13" s="19" t="s">
        <v>75</v>
      </c>
      <c r="T13" s="11"/>
      <c r="U13" s="11"/>
      <c r="V13" s="26"/>
      <c r="W13" s="19" t="s">
        <v>75</v>
      </c>
      <c r="X13" s="19" t="s">
        <v>75</v>
      </c>
      <c r="Y13" s="19" t="s">
        <v>75</v>
      </c>
      <c r="Z13" s="19" t="s">
        <v>75</v>
      </c>
      <c r="AA13" s="11"/>
      <c r="AB13" s="9"/>
      <c r="AC13" s="19" t="s">
        <v>76</v>
      </c>
      <c r="AD13" s="19" t="s">
        <v>76</v>
      </c>
      <c r="AE13" s="11"/>
      <c r="AF13" s="19" t="s">
        <v>76</v>
      </c>
      <c r="AG13" s="9"/>
      <c r="AH13" s="19" t="s">
        <v>75</v>
      </c>
      <c r="AI13" s="19" t="s">
        <v>75</v>
      </c>
      <c r="AJ13" s="11"/>
      <c r="AK13" s="9"/>
      <c r="AL13" s="11"/>
      <c r="AM13" s="11"/>
      <c r="AN13" s="11"/>
      <c r="AO13" s="9"/>
      <c r="AP13" s="11"/>
      <c r="AQ13" s="9" t="s">
        <v>78</v>
      </c>
      <c r="AR13" s="9" t="s">
        <v>78</v>
      </c>
    </row>
    <row r="14" spans="2:46" ht="17.25" customHeight="1" x14ac:dyDescent="0.15">
      <c r="B14" s="25" t="s">
        <v>32</v>
      </c>
      <c r="C14" s="11"/>
      <c r="D14" s="11">
        <v>1219</v>
      </c>
      <c r="E14" s="11"/>
      <c r="F14" s="11"/>
      <c r="G14" s="11"/>
      <c r="H14" s="11"/>
      <c r="I14" s="11"/>
      <c r="J14" s="19" t="s">
        <v>76</v>
      </c>
      <c r="K14" s="11"/>
      <c r="L14" s="9"/>
      <c r="M14" s="11"/>
      <c r="N14" s="11"/>
      <c r="O14" s="9"/>
      <c r="P14" s="19" t="s">
        <v>75</v>
      </c>
      <c r="Q14" s="11"/>
      <c r="R14" s="9"/>
      <c r="S14" s="19" t="s">
        <v>75</v>
      </c>
      <c r="T14" s="11"/>
      <c r="U14" s="11"/>
      <c r="V14" s="26"/>
      <c r="W14" s="19" t="s">
        <v>75</v>
      </c>
      <c r="X14" s="19" t="s">
        <v>75</v>
      </c>
      <c r="Y14" s="19" t="s">
        <v>75</v>
      </c>
      <c r="Z14" s="19" t="s">
        <v>75</v>
      </c>
      <c r="AA14" s="11"/>
      <c r="AB14" s="9"/>
      <c r="AC14" s="19" t="s">
        <v>76</v>
      </c>
      <c r="AD14" s="19" t="s">
        <v>76</v>
      </c>
      <c r="AE14" s="11"/>
      <c r="AF14" s="19" t="s">
        <v>76</v>
      </c>
      <c r="AG14" s="9"/>
      <c r="AH14" s="19" t="s">
        <v>75</v>
      </c>
      <c r="AI14" s="19" t="s">
        <v>75</v>
      </c>
      <c r="AJ14" s="11"/>
      <c r="AK14" s="9"/>
      <c r="AL14" s="11"/>
      <c r="AM14" s="11"/>
      <c r="AN14" s="11"/>
      <c r="AO14" s="9"/>
      <c r="AP14" s="11"/>
      <c r="AQ14" s="9" t="s">
        <v>78</v>
      </c>
      <c r="AR14" s="9" t="s">
        <v>78</v>
      </c>
    </row>
    <row r="15" spans="2:46" ht="17.25" customHeight="1" x14ac:dyDescent="0.15">
      <c r="B15" s="25" t="s">
        <v>34</v>
      </c>
      <c r="C15" s="11">
        <v>43116</v>
      </c>
      <c r="D15" s="11"/>
      <c r="E15" s="11">
        <v>43117</v>
      </c>
      <c r="F15" s="11"/>
      <c r="G15" s="11"/>
      <c r="H15" s="11"/>
      <c r="I15" s="11"/>
      <c r="J15" s="19" t="s">
        <v>76</v>
      </c>
      <c r="K15" s="11"/>
      <c r="L15" s="9"/>
      <c r="M15" s="11"/>
      <c r="N15" s="11"/>
      <c r="O15" s="9"/>
      <c r="P15" s="19" t="s">
        <v>75</v>
      </c>
      <c r="Q15" s="11"/>
      <c r="R15" s="9"/>
      <c r="S15" s="19" t="s">
        <v>75</v>
      </c>
      <c r="T15" s="11"/>
      <c r="U15" s="11"/>
      <c r="V15" s="26"/>
      <c r="W15" s="19" t="s">
        <v>75</v>
      </c>
      <c r="X15" s="11"/>
      <c r="Y15" s="19" t="s">
        <v>75</v>
      </c>
      <c r="Z15" s="19" t="s">
        <v>75</v>
      </c>
      <c r="AA15" s="11"/>
      <c r="AB15" s="9"/>
      <c r="AC15" s="19" t="s">
        <v>76</v>
      </c>
      <c r="AD15" s="19" t="s">
        <v>76</v>
      </c>
      <c r="AE15" s="11"/>
      <c r="AF15" s="11"/>
      <c r="AG15" s="9"/>
      <c r="AH15" s="19" t="s">
        <v>75</v>
      </c>
      <c r="AI15" s="19" t="s">
        <v>75</v>
      </c>
      <c r="AJ15" s="11"/>
      <c r="AK15" s="9"/>
      <c r="AL15" s="11"/>
      <c r="AM15" s="11"/>
      <c r="AN15" s="11"/>
      <c r="AO15" s="9"/>
      <c r="AP15" s="11"/>
      <c r="AQ15" s="9" t="s">
        <v>78</v>
      </c>
      <c r="AR15" s="9" t="s">
        <v>78</v>
      </c>
    </row>
    <row r="16" spans="2:46" ht="17.25" customHeight="1" x14ac:dyDescent="0.15">
      <c r="B16" s="25" t="s">
        <v>35</v>
      </c>
      <c r="C16" s="11"/>
      <c r="D16" s="11"/>
      <c r="E16" s="11"/>
      <c r="F16" s="11"/>
      <c r="G16" s="11"/>
      <c r="H16" s="11"/>
      <c r="I16" s="11"/>
      <c r="J16" s="19" t="s">
        <v>76</v>
      </c>
      <c r="K16" s="19" t="s">
        <v>76</v>
      </c>
      <c r="L16" s="9"/>
      <c r="M16" s="11"/>
      <c r="N16" s="11"/>
      <c r="O16" s="9"/>
      <c r="P16" s="19" t="s">
        <v>75</v>
      </c>
      <c r="Q16" s="11"/>
      <c r="R16" s="9"/>
      <c r="S16" s="19" t="s">
        <v>75</v>
      </c>
      <c r="T16" s="11"/>
      <c r="U16" s="19" t="s">
        <v>75</v>
      </c>
      <c r="V16" s="26"/>
      <c r="W16" s="19" t="s">
        <v>75</v>
      </c>
      <c r="X16" s="11"/>
      <c r="Y16" s="19" t="s">
        <v>75</v>
      </c>
      <c r="Z16" s="19" t="s">
        <v>75</v>
      </c>
      <c r="AA16" s="11"/>
      <c r="AB16" s="9"/>
      <c r="AC16" s="19" t="s">
        <v>76</v>
      </c>
      <c r="AD16" s="19" t="s">
        <v>76</v>
      </c>
      <c r="AE16" s="11"/>
      <c r="AF16" s="11"/>
      <c r="AG16" s="9"/>
      <c r="AH16" s="19" t="s">
        <v>75</v>
      </c>
      <c r="AI16" s="19" t="s">
        <v>75</v>
      </c>
      <c r="AJ16" s="19" t="s">
        <v>75</v>
      </c>
      <c r="AK16" s="9"/>
      <c r="AL16" s="11">
        <v>43141</v>
      </c>
      <c r="AM16" s="11"/>
      <c r="AN16" s="11"/>
      <c r="AO16" s="9"/>
      <c r="AP16" s="11"/>
      <c r="AQ16" s="9" t="s">
        <v>78</v>
      </c>
      <c r="AR16" s="9" t="s">
        <v>78</v>
      </c>
      <c r="AS16" s="30">
        <v>43152</v>
      </c>
    </row>
    <row r="17" spans="2:46" ht="17.25" customHeight="1" x14ac:dyDescent="0.15">
      <c r="B17" s="25" t="s">
        <v>36</v>
      </c>
      <c r="C17" s="11"/>
      <c r="D17" s="11">
        <v>43174</v>
      </c>
      <c r="E17" s="11"/>
      <c r="F17" s="11">
        <v>43182</v>
      </c>
      <c r="G17" s="11"/>
      <c r="H17" s="11"/>
      <c r="I17" s="11"/>
      <c r="J17" s="19" t="s">
        <v>76</v>
      </c>
      <c r="K17" s="19" t="s">
        <v>76</v>
      </c>
      <c r="L17" s="9"/>
      <c r="M17" s="11"/>
      <c r="N17" s="11"/>
      <c r="O17" s="9"/>
      <c r="P17" s="19" t="s">
        <v>75</v>
      </c>
      <c r="Q17" s="11"/>
      <c r="R17" s="9"/>
      <c r="S17" s="19" t="s">
        <v>75</v>
      </c>
      <c r="T17" s="11"/>
      <c r="U17" s="19" t="s">
        <v>75</v>
      </c>
      <c r="V17" s="26"/>
      <c r="W17" s="11"/>
      <c r="X17" s="11"/>
      <c r="Y17" s="19" t="s">
        <v>75</v>
      </c>
      <c r="Z17" s="19" t="s">
        <v>75</v>
      </c>
      <c r="AA17" s="11"/>
      <c r="AB17" s="9"/>
      <c r="AC17" s="19" t="s">
        <v>76</v>
      </c>
      <c r="AD17" s="19" t="s">
        <v>76</v>
      </c>
      <c r="AE17" s="11"/>
      <c r="AF17" s="11"/>
      <c r="AG17" s="9"/>
      <c r="AH17" s="19" t="s">
        <v>75</v>
      </c>
      <c r="AI17" s="19" t="s">
        <v>75</v>
      </c>
      <c r="AJ17" s="19" t="s">
        <v>75</v>
      </c>
      <c r="AK17" s="9"/>
      <c r="AL17" s="11"/>
      <c r="AM17" s="11"/>
      <c r="AN17" s="11"/>
      <c r="AO17" s="9"/>
      <c r="AP17" s="11"/>
      <c r="AQ17" s="9" t="s">
        <v>78</v>
      </c>
      <c r="AR17" s="9" t="s">
        <v>78</v>
      </c>
      <c r="AS17" s="9" t="s">
        <v>78</v>
      </c>
    </row>
    <row r="18" spans="2:46" ht="17.25" customHeight="1" x14ac:dyDescent="0.15">
      <c r="B18" s="25" t="s">
        <v>37</v>
      </c>
      <c r="C18" s="11"/>
      <c r="D18" s="11"/>
      <c r="E18" s="11"/>
      <c r="F18" s="11"/>
      <c r="G18" s="11"/>
      <c r="H18" s="11"/>
      <c r="I18" s="11"/>
      <c r="J18" s="19" t="s">
        <v>76</v>
      </c>
      <c r="K18" s="19" t="s">
        <v>76</v>
      </c>
      <c r="L18" s="9"/>
      <c r="M18" s="19" t="s">
        <v>75</v>
      </c>
      <c r="N18" s="11"/>
      <c r="O18" s="9"/>
      <c r="P18" s="19" t="s">
        <v>75</v>
      </c>
      <c r="Q18" s="11"/>
      <c r="R18" s="9"/>
      <c r="S18" s="19" t="s">
        <v>75</v>
      </c>
      <c r="T18" s="19" t="s">
        <v>75</v>
      </c>
      <c r="U18" s="19" t="s">
        <v>75</v>
      </c>
      <c r="V18" s="26"/>
      <c r="W18" s="11"/>
      <c r="X18" s="11"/>
      <c r="Y18" s="19" t="s">
        <v>75</v>
      </c>
      <c r="Z18" s="19" t="s">
        <v>75</v>
      </c>
      <c r="AA18" s="11"/>
      <c r="AB18" s="9"/>
      <c r="AC18" s="19" t="s">
        <v>76</v>
      </c>
      <c r="AD18" s="19" t="s">
        <v>76</v>
      </c>
      <c r="AE18" s="11"/>
      <c r="AF18" s="11"/>
      <c r="AG18" s="9"/>
      <c r="AH18" s="19" t="s">
        <v>75</v>
      </c>
      <c r="AI18" s="19" t="s">
        <v>75</v>
      </c>
      <c r="AJ18" s="19" t="s">
        <v>75</v>
      </c>
      <c r="AK18" s="9"/>
      <c r="AL18" s="11"/>
      <c r="AM18" s="11"/>
      <c r="AN18" s="11"/>
      <c r="AO18" s="9"/>
      <c r="AP18" s="11"/>
      <c r="AQ18" s="9" t="s">
        <v>78</v>
      </c>
      <c r="AR18" s="9" t="s">
        <v>78</v>
      </c>
      <c r="AS18" s="9" t="s">
        <v>78</v>
      </c>
    </row>
    <row r="19" spans="2:46" ht="17.25" customHeight="1" x14ac:dyDescent="0.15">
      <c r="B19" s="25" t="s">
        <v>38</v>
      </c>
      <c r="C19" s="11"/>
      <c r="D19" s="11"/>
      <c r="E19" s="11"/>
      <c r="F19" s="11"/>
      <c r="G19" s="11"/>
      <c r="H19" s="11"/>
      <c r="I19" s="11"/>
      <c r="J19" s="19" t="s">
        <v>77</v>
      </c>
      <c r="K19" s="19" t="s">
        <v>77</v>
      </c>
      <c r="L19" s="9"/>
      <c r="M19" s="19" t="s">
        <v>75</v>
      </c>
      <c r="N19" s="19" t="s">
        <v>75</v>
      </c>
      <c r="O19" s="9"/>
      <c r="P19" s="19" t="s">
        <v>75</v>
      </c>
      <c r="Q19" s="11"/>
      <c r="R19" s="9"/>
      <c r="S19" s="19" t="s">
        <v>77</v>
      </c>
      <c r="T19" s="19" t="s">
        <v>77</v>
      </c>
      <c r="U19" s="19" t="s">
        <v>77</v>
      </c>
      <c r="V19" s="26"/>
      <c r="W19" s="11"/>
      <c r="X19" s="11"/>
      <c r="Y19" s="19" t="s">
        <v>75</v>
      </c>
      <c r="Z19" s="19" t="s">
        <v>75</v>
      </c>
      <c r="AA19" s="11"/>
      <c r="AB19" s="9"/>
      <c r="AC19" s="19" t="s">
        <v>75</v>
      </c>
      <c r="AD19" s="19" t="s">
        <v>75</v>
      </c>
      <c r="AE19" s="11"/>
      <c r="AF19" s="11"/>
      <c r="AG19" s="9"/>
      <c r="AH19" s="19" t="s">
        <v>75</v>
      </c>
      <c r="AI19" s="19" t="s">
        <v>75</v>
      </c>
      <c r="AJ19" s="19" t="s">
        <v>75</v>
      </c>
      <c r="AK19" s="9"/>
      <c r="AL19" s="11"/>
      <c r="AM19" s="11"/>
      <c r="AN19" s="11"/>
      <c r="AO19" s="9"/>
      <c r="AP19" s="11"/>
      <c r="AQ19" s="9" t="s">
        <v>78</v>
      </c>
      <c r="AR19" s="30">
        <v>43235</v>
      </c>
      <c r="AS19" s="9" t="s">
        <v>78</v>
      </c>
      <c r="AT19" s="9" t="s">
        <v>78</v>
      </c>
    </row>
    <row r="20" spans="2:46" ht="17.25" customHeight="1" x14ac:dyDescent="0.15">
      <c r="B20" s="25" t="s">
        <v>39</v>
      </c>
      <c r="C20" s="11">
        <v>43262</v>
      </c>
      <c r="D20" s="11">
        <v>43273</v>
      </c>
      <c r="E20" s="11"/>
      <c r="F20" s="11"/>
      <c r="G20" s="11"/>
      <c r="H20" s="11"/>
      <c r="I20" s="11"/>
      <c r="J20" s="19" t="s">
        <v>77</v>
      </c>
      <c r="K20" s="19" t="s">
        <v>77</v>
      </c>
      <c r="L20" s="9"/>
      <c r="M20" s="19" t="s">
        <v>77</v>
      </c>
      <c r="N20" s="19" t="s">
        <v>77</v>
      </c>
      <c r="O20" s="9"/>
      <c r="P20" s="19" t="s">
        <v>75</v>
      </c>
      <c r="Q20" s="11"/>
      <c r="R20" s="9"/>
      <c r="S20" s="19" t="s">
        <v>77</v>
      </c>
      <c r="T20" s="19" t="s">
        <v>77</v>
      </c>
      <c r="U20" s="19" t="s">
        <v>77</v>
      </c>
      <c r="V20" s="26"/>
      <c r="W20" s="11"/>
      <c r="X20" s="11"/>
      <c r="Y20" s="19" t="s">
        <v>75</v>
      </c>
      <c r="Z20" s="19" t="s">
        <v>75</v>
      </c>
      <c r="AA20" s="11"/>
      <c r="AB20" s="9"/>
      <c r="AC20" s="19" t="s">
        <v>75</v>
      </c>
      <c r="AD20" s="19" t="s">
        <v>75</v>
      </c>
      <c r="AE20" s="11"/>
      <c r="AF20" s="11"/>
      <c r="AG20" s="9"/>
      <c r="AH20" s="19" t="s">
        <v>75</v>
      </c>
      <c r="AI20" s="19" t="s">
        <v>75</v>
      </c>
      <c r="AJ20" s="19" t="s">
        <v>75</v>
      </c>
      <c r="AK20" s="9"/>
      <c r="AL20" s="11"/>
      <c r="AM20" s="11"/>
      <c r="AN20" s="11"/>
      <c r="AO20" s="9"/>
      <c r="AP20" s="11"/>
      <c r="AQ20" s="9" t="s">
        <v>78</v>
      </c>
      <c r="AS20" s="9" t="s">
        <v>78</v>
      </c>
      <c r="AT20" s="9" t="s">
        <v>78</v>
      </c>
    </row>
    <row r="21" spans="2:46" ht="17.25" customHeight="1" x14ac:dyDescent="0.15">
      <c r="B21" s="25" t="s">
        <v>40</v>
      </c>
      <c r="C21" s="11"/>
      <c r="D21" s="11"/>
      <c r="E21" s="11">
        <v>43300</v>
      </c>
      <c r="F21" s="11"/>
      <c r="G21" s="11"/>
      <c r="H21" s="11"/>
      <c r="I21" s="11"/>
      <c r="J21" s="19" t="s">
        <v>77</v>
      </c>
      <c r="K21" s="19" t="s">
        <v>77</v>
      </c>
      <c r="L21" s="9"/>
      <c r="M21" s="19" t="s">
        <v>77</v>
      </c>
      <c r="N21" s="19" t="s">
        <v>77</v>
      </c>
      <c r="O21" s="9"/>
      <c r="P21" s="19" t="s">
        <v>75</v>
      </c>
      <c r="Q21" s="11"/>
      <c r="R21" s="9"/>
      <c r="S21" s="19" t="s">
        <v>77</v>
      </c>
      <c r="T21" s="19" t="s">
        <v>77</v>
      </c>
      <c r="U21" s="19" t="s">
        <v>77</v>
      </c>
      <c r="V21" s="26"/>
      <c r="W21" s="11"/>
      <c r="X21" s="11"/>
      <c r="Y21" s="19" t="s">
        <v>75</v>
      </c>
      <c r="Z21" s="19" t="s">
        <v>75</v>
      </c>
      <c r="AA21" s="11"/>
      <c r="AB21" s="9"/>
      <c r="AC21" s="19" t="s">
        <v>75</v>
      </c>
      <c r="AD21" s="19" t="s">
        <v>75</v>
      </c>
      <c r="AE21" s="11"/>
      <c r="AF21" s="11"/>
      <c r="AG21" s="9"/>
      <c r="AH21" s="11"/>
      <c r="AI21" s="19" t="s">
        <v>75</v>
      </c>
      <c r="AJ21" s="19" t="s">
        <v>75</v>
      </c>
      <c r="AK21" s="9"/>
      <c r="AL21" s="11"/>
      <c r="AM21" s="11"/>
      <c r="AN21" s="11"/>
      <c r="AO21" s="9"/>
      <c r="AP21" s="11"/>
      <c r="AQ21" s="9" t="s">
        <v>78</v>
      </c>
      <c r="AS21" s="9" t="s">
        <v>78</v>
      </c>
      <c r="AT21" s="9" t="s">
        <v>78</v>
      </c>
    </row>
    <row r="22" spans="2:46" ht="17.25" customHeight="1" x14ac:dyDescent="0.15">
      <c r="B22" s="25" t="s">
        <v>41</v>
      </c>
      <c r="C22" s="11"/>
      <c r="D22" s="11"/>
      <c r="E22" s="11"/>
      <c r="F22" s="11"/>
      <c r="G22" s="11"/>
      <c r="H22" s="11"/>
      <c r="I22" s="11"/>
      <c r="J22" s="19" t="s">
        <v>77</v>
      </c>
      <c r="K22" s="19" t="s">
        <v>77</v>
      </c>
      <c r="L22" s="9"/>
      <c r="M22" s="19" t="s">
        <v>77</v>
      </c>
      <c r="N22" s="19" t="s">
        <v>77</v>
      </c>
      <c r="O22" s="9"/>
      <c r="P22" s="19" t="s">
        <v>79</v>
      </c>
      <c r="Q22" s="11"/>
      <c r="R22" s="9"/>
      <c r="S22" s="19" t="s">
        <v>77</v>
      </c>
      <c r="T22" s="19" t="s">
        <v>77</v>
      </c>
      <c r="U22" s="19" t="s">
        <v>77</v>
      </c>
      <c r="V22" s="26"/>
      <c r="W22" s="11"/>
      <c r="X22" s="11"/>
      <c r="Y22" s="19" t="s">
        <v>75</v>
      </c>
      <c r="Z22" s="19" t="s">
        <v>75</v>
      </c>
      <c r="AA22" s="11"/>
      <c r="AB22" s="9"/>
      <c r="AC22" s="19" t="s">
        <v>75</v>
      </c>
      <c r="AD22" s="19" t="s">
        <v>75</v>
      </c>
      <c r="AE22" s="11"/>
      <c r="AF22" s="11"/>
      <c r="AG22" s="9"/>
      <c r="AH22" s="11"/>
      <c r="AI22" s="11"/>
      <c r="AJ22" s="19" t="s">
        <v>75</v>
      </c>
      <c r="AK22" s="9"/>
      <c r="AL22" s="11"/>
      <c r="AM22" s="11"/>
      <c r="AN22" s="11"/>
      <c r="AO22" s="9"/>
      <c r="AP22" s="11"/>
      <c r="AQ22" s="9" t="s">
        <v>78</v>
      </c>
      <c r="AS22" s="9" t="s">
        <v>78</v>
      </c>
      <c r="AT22" s="9" t="s">
        <v>78</v>
      </c>
    </row>
    <row r="23" spans="2:46" ht="17.25" customHeight="1" x14ac:dyDescent="0.15">
      <c r="B23" s="25" t="s">
        <v>42</v>
      </c>
      <c r="C23" s="11">
        <v>43363</v>
      </c>
      <c r="D23" s="11">
        <v>43358</v>
      </c>
      <c r="E23" s="11"/>
      <c r="F23" s="11">
        <v>43362</v>
      </c>
      <c r="G23" s="11"/>
      <c r="H23" s="11"/>
      <c r="I23" s="11"/>
      <c r="J23" s="19" t="s">
        <v>77</v>
      </c>
      <c r="K23" s="19" t="s">
        <v>77</v>
      </c>
      <c r="L23" s="9"/>
      <c r="M23" s="19" t="s">
        <v>77</v>
      </c>
      <c r="N23" s="19" t="s">
        <v>77</v>
      </c>
      <c r="O23" s="9"/>
      <c r="P23" s="19" t="s">
        <v>79</v>
      </c>
      <c r="Q23" s="11"/>
      <c r="R23" s="9"/>
      <c r="S23" s="19" t="s">
        <v>77</v>
      </c>
      <c r="T23" s="19" t="s">
        <v>77</v>
      </c>
      <c r="U23" s="19" t="s">
        <v>77</v>
      </c>
      <c r="V23" s="26"/>
      <c r="W23" s="11"/>
      <c r="X23" s="11"/>
      <c r="Y23" s="19" t="s">
        <v>75</v>
      </c>
      <c r="Z23" s="19" t="s">
        <v>75</v>
      </c>
      <c r="AA23" s="11"/>
      <c r="AB23" s="9"/>
      <c r="AC23" s="19" t="s">
        <v>75</v>
      </c>
      <c r="AD23" s="19" t="s">
        <v>75</v>
      </c>
      <c r="AE23" s="11"/>
      <c r="AF23" s="11"/>
      <c r="AG23" s="9"/>
      <c r="AH23" s="11"/>
      <c r="AI23" s="11"/>
      <c r="AJ23" s="19" t="s">
        <v>75</v>
      </c>
      <c r="AK23" s="9"/>
      <c r="AL23" s="11"/>
      <c r="AM23" s="11"/>
      <c r="AN23" s="11"/>
      <c r="AO23" s="9"/>
      <c r="AP23" s="11"/>
      <c r="AQ23" s="9" t="s">
        <v>78</v>
      </c>
      <c r="AS23" s="9" t="s">
        <v>78</v>
      </c>
      <c r="AT23" s="9" t="s">
        <v>78</v>
      </c>
    </row>
    <row r="24" spans="2:46" ht="17.25" customHeight="1" x14ac:dyDescent="0.15">
      <c r="B24" s="25" t="s">
        <v>43</v>
      </c>
      <c r="C24" s="11"/>
      <c r="D24" s="11"/>
      <c r="E24" s="11"/>
      <c r="F24" s="11"/>
      <c r="G24" s="11"/>
      <c r="H24" s="11"/>
      <c r="I24" s="11"/>
      <c r="J24" s="19" t="s">
        <v>77</v>
      </c>
      <c r="K24" s="19" t="s">
        <v>77</v>
      </c>
      <c r="L24" s="9"/>
      <c r="M24" s="19" t="s">
        <v>77</v>
      </c>
      <c r="N24" s="19" t="s">
        <v>77</v>
      </c>
      <c r="O24" s="9"/>
      <c r="P24" s="19" t="s">
        <v>79</v>
      </c>
      <c r="Q24" s="11"/>
      <c r="R24" s="9"/>
      <c r="S24" s="19" t="s">
        <v>79</v>
      </c>
      <c r="T24" s="19" t="s">
        <v>79</v>
      </c>
      <c r="U24" s="19" t="s">
        <v>79</v>
      </c>
      <c r="V24" s="26"/>
      <c r="W24" s="11"/>
      <c r="X24" s="11"/>
      <c r="Y24" s="19" t="s">
        <v>75</v>
      </c>
      <c r="Z24" s="19" t="s">
        <v>75</v>
      </c>
      <c r="AA24" s="11"/>
      <c r="AB24" s="9"/>
      <c r="AC24" s="19" t="s">
        <v>75</v>
      </c>
      <c r="AD24" s="19" t="s">
        <v>75</v>
      </c>
      <c r="AE24" s="11"/>
      <c r="AF24" s="11"/>
      <c r="AG24" s="9"/>
      <c r="AH24" s="11"/>
      <c r="AI24" s="11"/>
      <c r="AJ24" s="19" t="s">
        <v>75</v>
      </c>
      <c r="AK24" s="9"/>
      <c r="AL24" s="11"/>
      <c r="AM24" s="11"/>
      <c r="AN24" s="11"/>
      <c r="AO24" s="9"/>
      <c r="AP24" s="11"/>
      <c r="AQ24" s="9" t="s">
        <v>78</v>
      </c>
      <c r="AS24" s="9" t="s">
        <v>78</v>
      </c>
      <c r="AT24" s="9" t="s">
        <v>78</v>
      </c>
    </row>
    <row r="25" spans="2:46" ht="17.25" customHeight="1" x14ac:dyDescent="0.15">
      <c r="B25" s="25" t="s">
        <v>44</v>
      </c>
      <c r="C25" s="11"/>
      <c r="D25" s="11"/>
      <c r="E25" s="11"/>
      <c r="F25" s="11"/>
      <c r="G25" s="11"/>
      <c r="H25" s="11"/>
      <c r="I25" s="11"/>
      <c r="J25" s="19" t="s">
        <v>77</v>
      </c>
      <c r="K25" s="19" t="s">
        <v>77</v>
      </c>
      <c r="L25" s="9"/>
      <c r="M25" s="19" t="s">
        <v>77</v>
      </c>
      <c r="N25" s="19" t="s">
        <v>77</v>
      </c>
      <c r="O25" s="9"/>
      <c r="P25" s="19" t="s">
        <v>79</v>
      </c>
      <c r="Q25" s="11"/>
      <c r="R25" s="9"/>
      <c r="S25" s="19" t="s">
        <v>79</v>
      </c>
      <c r="T25" s="19" t="s">
        <v>79</v>
      </c>
      <c r="U25" s="19" t="s">
        <v>79</v>
      </c>
      <c r="V25" s="26"/>
      <c r="W25" s="11"/>
      <c r="X25" s="11"/>
      <c r="Y25" s="19" t="s">
        <v>75</v>
      </c>
      <c r="Z25" s="19" t="s">
        <v>75</v>
      </c>
      <c r="AA25" s="11"/>
      <c r="AB25" s="9"/>
      <c r="AC25" s="19" t="s">
        <v>75</v>
      </c>
      <c r="AD25" s="19" t="s">
        <v>75</v>
      </c>
      <c r="AE25" s="11"/>
      <c r="AF25" s="11"/>
      <c r="AG25" s="9"/>
      <c r="AH25" s="11"/>
      <c r="AI25" s="11"/>
      <c r="AJ25" s="26"/>
      <c r="AK25" s="9"/>
      <c r="AL25" s="11"/>
      <c r="AM25" s="11"/>
      <c r="AN25" s="11"/>
      <c r="AO25" s="9"/>
      <c r="AP25" s="11"/>
      <c r="AQ25" s="9" t="s">
        <v>78</v>
      </c>
      <c r="AS25" s="9" t="s">
        <v>78</v>
      </c>
      <c r="AT25" s="9" t="s">
        <v>78</v>
      </c>
    </row>
    <row r="26" spans="2:46" ht="17.25" customHeight="1" x14ac:dyDescent="0.15">
      <c r="B26" s="25" t="s">
        <v>45</v>
      </c>
      <c r="C26" s="11">
        <v>43455</v>
      </c>
      <c r="D26" s="11">
        <v>43450</v>
      </c>
      <c r="E26" s="11"/>
      <c r="F26" s="11"/>
      <c r="G26" s="11"/>
      <c r="H26" s="11"/>
      <c r="I26" s="11"/>
      <c r="J26" s="19" t="s">
        <v>77</v>
      </c>
      <c r="K26" s="19" t="s">
        <v>77</v>
      </c>
      <c r="L26" s="9"/>
      <c r="M26" s="19" t="s">
        <v>77</v>
      </c>
      <c r="N26" s="19" t="s">
        <v>77</v>
      </c>
      <c r="O26" s="9"/>
      <c r="P26" s="19" t="s">
        <v>79</v>
      </c>
      <c r="Q26" s="11"/>
      <c r="R26" s="9"/>
      <c r="S26" s="19" t="s">
        <v>79</v>
      </c>
      <c r="T26" s="19" t="s">
        <v>79</v>
      </c>
      <c r="U26" s="19" t="s">
        <v>79</v>
      </c>
      <c r="V26" s="26"/>
      <c r="W26" s="11"/>
      <c r="X26" s="11"/>
      <c r="Y26" s="19" t="s">
        <v>75</v>
      </c>
      <c r="Z26" s="19" t="s">
        <v>75</v>
      </c>
      <c r="AA26" s="11"/>
      <c r="AB26" s="9"/>
      <c r="AC26" s="19" t="s">
        <v>75</v>
      </c>
      <c r="AD26" s="19" t="s">
        <v>75</v>
      </c>
      <c r="AE26" s="11"/>
      <c r="AF26" s="11"/>
      <c r="AG26" s="9"/>
      <c r="AH26" s="11"/>
      <c r="AI26" s="11"/>
      <c r="AJ26" s="26"/>
      <c r="AK26" s="9"/>
      <c r="AL26" s="11"/>
      <c r="AM26" s="11"/>
      <c r="AN26" s="11"/>
      <c r="AO26" s="9"/>
      <c r="AP26" s="11"/>
      <c r="AQ26" s="9" t="s">
        <v>78</v>
      </c>
      <c r="AS26" s="9" t="s">
        <v>78</v>
      </c>
      <c r="AT26" s="9" t="s">
        <v>78</v>
      </c>
    </row>
    <row r="27" spans="2:46" ht="17.25" customHeight="1" x14ac:dyDescent="0.15">
      <c r="B27" s="25" t="s">
        <v>46</v>
      </c>
      <c r="C27" s="11"/>
      <c r="D27" s="11"/>
      <c r="E27" s="11">
        <v>43110</v>
      </c>
      <c r="F27" s="11"/>
      <c r="G27" s="11"/>
      <c r="H27" s="11"/>
      <c r="I27" s="11"/>
      <c r="J27" s="19" t="s">
        <v>77</v>
      </c>
      <c r="K27" s="19" t="s">
        <v>77</v>
      </c>
      <c r="L27" s="9"/>
      <c r="M27" s="19" t="s">
        <v>77</v>
      </c>
      <c r="N27" s="19" t="s">
        <v>77</v>
      </c>
      <c r="O27" s="9"/>
      <c r="P27" s="19" t="s">
        <v>79</v>
      </c>
      <c r="Q27" s="11"/>
      <c r="R27" s="9"/>
      <c r="S27" s="29" t="s">
        <v>79</v>
      </c>
      <c r="T27" s="19" t="s">
        <v>79</v>
      </c>
      <c r="U27" s="19" t="s">
        <v>79</v>
      </c>
      <c r="V27" s="26"/>
      <c r="W27" s="11"/>
      <c r="X27" s="11"/>
      <c r="Y27" s="19" t="s">
        <v>75</v>
      </c>
      <c r="Z27" s="19" t="s">
        <v>75</v>
      </c>
      <c r="AA27" s="11"/>
      <c r="AB27" s="9"/>
      <c r="AC27" s="19" t="s">
        <v>75</v>
      </c>
      <c r="AD27" s="19" t="s">
        <v>75</v>
      </c>
      <c r="AE27" s="11"/>
      <c r="AF27" s="11"/>
      <c r="AG27" s="9"/>
      <c r="AH27" s="11"/>
      <c r="AI27" s="11"/>
      <c r="AJ27" s="11"/>
      <c r="AK27" s="9"/>
      <c r="AL27" s="11"/>
      <c r="AM27" s="11"/>
      <c r="AN27" s="11"/>
      <c r="AO27" s="9"/>
      <c r="AP27" s="11"/>
      <c r="AQ27" s="9" t="s">
        <v>78</v>
      </c>
      <c r="AS27" s="9" t="s">
        <v>78</v>
      </c>
      <c r="AT27" s="9" t="s">
        <v>78</v>
      </c>
    </row>
    <row r="28" spans="2:46" ht="17.25" customHeight="1" x14ac:dyDescent="0.15">
      <c r="B28" s="25" t="s">
        <v>47</v>
      </c>
      <c r="C28" s="11"/>
      <c r="D28" s="11"/>
      <c r="E28" s="11"/>
      <c r="F28" s="11"/>
      <c r="G28" s="11"/>
      <c r="H28" s="11"/>
      <c r="I28" s="11"/>
      <c r="J28" s="19" t="s">
        <v>77</v>
      </c>
      <c r="K28" s="19" t="s">
        <v>77</v>
      </c>
      <c r="L28" s="9"/>
      <c r="M28" s="19" t="s">
        <v>77</v>
      </c>
      <c r="N28" s="19" t="s">
        <v>77</v>
      </c>
      <c r="O28" s="9"/>
      <c r="P28" s="19" t="s">
        <v>79</v>
      </c>
      <c r="Q28" s="11"/>
      <c r="R28" s="9"/>
      <c r="S28" s="19" t="s">
        <v>79</v>
      </c>
      <c r="T28" s="19" t="s">
        <v>79</v>
      </c>
      <c r="U28" s="19" t="s">
        <v>79</v>
      </c>
      <c r="V28" s="26"/>
      <c r="W28" s="11"/>
      <c r="X28" s="11"/>
      <c r="Y28" s="19" t="s">
        <v>75</v>
      </c>
      <c r="Z28" s="19" t="s">
        <v>75</v>
      </c>
      <c r="AA28" s="11"/>
      <c r="AB28" s="9"/>
      <c r="AC28" s="19" t="s">
        <v>75</v>
      </c>
      <c r="AD28" s="19" t="s">
        <v>75</v>
      </c>
      <c r="AE28" s="11"/>
      <c r="AF28" s="11"/>
      <c r="AG28" s="9"/>
      <c r="AH28" s="11"/>
      <c r="AI28" s="11"/>
      <c r="AJ28" s="11"/>
      <c r="AK28" s="9"/>
      <c r="AL28" s="11"/>
      <c r="AM28" s="11"/>
      <c r="AN28" s="11"/>
      <c r="AO28" s="9"/>
      <c r="AP28" s="11"/>
      <c r="AQ28" s="9" t="s">
        <v>78</v>
      </c>
      <c r="AS28" s="9" t="s">
        <v>78</v>
      </c>
      <c r="AT28" s="9" t="s">
        <v>78</v>
      </c>
    </row>
    <row r="29" spans="2:46" ht="19.5" customHeight="1" x14ac:dyDescent="0.15">
      <c r="B29" s="25" t="s">
        <v>48</v>
      </c>
      <c r="C29" s="11">
        <v>43185</v>
      </c>
      <c r="D29" s="11">
        <v>43171</v>
      </c>
      <c r="E29" s="11"/>
      <c r="F29" s="11">
        <v>43160</v>
      </c>
      <c r="G29" s="11"/>
      <c r="H29" s="11"/>
      <c r="I29" s="11"/>
      <c r="J29" s="19" t="s">
        <v>77</v>
      </c>
      <c r="K29" s="19" t="s">
        <v>77</v>
      </c>
      <c r="L29" s="9"/>
      <c r="M29" s="19" t="s">
        <v>77</v>
      </c>
      <c r="N29" s="19" t="s">
        <v>77</v>
      </c>
      <c r="O29" s="9"/>
      <c r="P29" s="19" t="s">
        <v>79</v>
      </c>
      <c r="Q29" s="11"/>
      <c r="R29" s="9"/>
      <c r="S29" s="19" t="s">
        <v>79</v>
      </c>
      <c r="T29" s="19" t="s">
        <v>79</v>
      </c>
      <c r="U29" s="19" t="s">
        <v>79</v>
      </c>
      <c r="V29" s="26"/>
      <c r="W29" s="11"/>
      <c r="X29" s="11"/>
      <c r="Y29" s="19" t="s">
        <v>75</v>
      </c>
      <c r="Z29" s="19" t="s">
        <v>75</v>
      </c>
      <c r="AA29" s="11"/>
      <c r="AB29" s="9"/>
      <c r="AC29" s="19" t="s">
        <v>75</v>
      </c>
      <c r="AD29" s="19" t="s">
        <v>75</v>
      </c>
      <c r="AE29" s="11"/>
      <c r="AF29" s="11"/>
      <c r="AG29" s="9"/>
      <c r="AH29" s="11"/>
      <c r="AI29" s="11"/>
      <c r="AJ29" s="11"/>
      <c r="AK29" s="9"/>
      <c r="AL29" s="11"/>
      <c r="AM29" s="11"/>
      <c r="AN29" s="11"/>
      <c r="AO29" s="9"/>
      <c r="AP29" s="11"/>
      <c r="AQ29" s="9" t="s">
        <v>78</v>
      </c>
      <c r="AS29" s="9" t="s">
        <v>78</v>
      </c>
      <c r="AT29" s="9" t="s">
        <v>78</v>
      </c>
    </row>
    <row r="30" spans="2:46" ht="17.25" hidden="1" customHeight="1" x14ac:dyDescent="0.15">
      <c r="B30" s="25" t="s">
        <v>49</v>
      </c>
      <c r="C30" s="11"/>
      <c r="D30" s="11"/>
      <c r="E30" s="11"/>
      <c r="F30" s="11"/>
      <c r="G30" s="11"/>
      <c r="H30" s="11"/>
      <c r="I30" s="11"/>
      <c r="J30" s="19" t="s">
        <v>77</v>
      </c>
      <c r="K30" s="19" t="s">
        <v>77</v>
      </c>
      <c r="L30" s="9"/>
      <c r="M30" s="19" t="s">
        <v>77</v>
      </c>
      <c r="N30" s="19" t="s">
        <v>77</v>
      </c>
      <c r="O30" s="9"/>
      <c r="P30" s="19" t="s">
        <v>79</v>
      </c>
      <c r="Q30" s="11"/>
      <c r="R30" s="9"/>
      <c r="S30" s="19" t="s">
        <v>79</v>
      </c>
      <c r="T30" s="19" t="s">
        <v>79</v>
      </c>
      <c r="U30" s="19" t="s">
        <v>79</v>
      </c>
      <c r="V30" s="26"/>
      <c r="W30" s="11"/>
      <c r="X30" s="11"/>
      <c r="Y30" s="19">
        <v>43193</v>
      </c>
      <c r="Z30" s="11"/>
      <c r="AA30" s="11"/>
      <c r="AB30" s="9"/>
      <c r="AC30" s="19"/>
      <c r="AD30" s="19">
        <v>43193</v>
      </c>
      <c r="AE30" s="11"/>
      <c r="AF30" s="11"/>
      <c r="AG30" s="9"/>
      <c r="AH30" s="11"/>
      <c r="AI30" s="11"/>
      <c r="AJ30" s="11"/>
      <c r="AK30" s="9"/>
      <c r="AL30" s="11"/>
      <c r="AM30" s="11"/>
      <c r="AN30" s="11"/>
      <c r="AO30" s="9"/>
      <c r="AP30" s="11"/>
      <c r="AQ30" s="9" t="s">
        <v>78</v>
      </c>
      <c r="AS30" s="9" t="s">
        <v>78</v>
      </c>
      <c r="AT30" s="9" t="s">
        <v>78</v>
      </c>
    </row>
    <row r="31" spans="2:46" ht="9.75" hidden="1" customHeight="1" x14ac:dyDescent="0.15">
      <c r="B31" s="25" t="s">
        <v>50</v>
      </c>
      <c r="C31" s="11"/>
      <c r="D31" s="11"/>
      <c r="E31" s="11"/>
      <c r="F31" s="11"/>
      <c r="G31" s="11"/>
      <c r="H31" s="11"/>
      <c r="I31" s="11"/>
      <c r="J31" s="19"/>
      <c r="K31" s="11"/>
      <c r="L31" s="9"/>
      <c r="M31" s="11"/>
      <c r="N31" s="11"/>
      <c r="O31" s="9"/>
      <c r="P31" s="11"/>
      <c r="Q31" s="11"/>
      <c r="R31" s="9"/>
      <c r="S31" s="11"/>
      <c r="T31" s="11"/>
      <c r="U31" s="11"/>
      <c r="V31" s="26"/>
      <c r="W31" s="11"/>
      <c r="X31" s="11"/>
      <c r="Y31" s="11"/>
      <c r="Z31" s="11"/>
      <c r="AA31" s="11"/>
      <c r="AB31" s="9"/>
      <c r="AC31" s="11"/>
      <c r="AD31" s="11"/>
      <c r="AE31" s="11"/>
      <c r="AF31" s="11"/>
      <c r="AG31" s="9"/>
      <c r="AH31" s="11"/>
      <c r="AI31" s="11"/>
      <c r="AJ31" s="11"/>
      <c r="AK31" s="9"/>
      <c r="AL31" s="11"/>
      <c r="AM31" s="11"/>
      <c r="AN31" s="11"/>
      <c r="AO31" s="9"/>
      <c r="AP31" s="11"/>
    </row>
    <row r="32" spans="2:46" ht="9.75" hidden="1" customHeight="1" x14ac:dyDescent="0.15">
      <c r="B32" s="25"/>
      <c r="C32" s="12"/>
      <c r="D32" s="12"/>
      <c r="E32" s="12"/>
      <c r="F32" s="12"/>
      <c r="G32" s="12"/>
      <c r="H32" s="12"/>
      <c r="I32" s="12"/>
      <c r="J32" s="20"/>
      <c r="K32" s="12"/>
      <c r="L32" s="9"/>
      <c r="M32" s="12"/>
      <c r="N32" s="12"/>
      <c r="O32" s="9"/>
      <c r="P32" s="12"/>
      <c r="Q32" s="12"/>
      <c r="R32" s="9"/>
      <c r="S32" s="12"/>
      <c r="T32" s="12"/>
      <c r="U32" s="12"/>
      <c r="V32" s="27"/>
      <c r="W32" s="12"/>
      <c r="X32" s="12"/>
      <c r="Y32" s="12"/>
      <c r="Z32" s="12"/>
      <c r="AA32" s="12"/>
      <c r="AB32" s="9"/>
      <c r="AC32" s="12"/>
      <c r="AD32" s="12"/>
      <c r="AE32" s="12"/>
      <c r="AF32" s="12"/>
      <c r="AG32" s="9"/>
      <c r="AH32" s="12"/>
      <c r="AI32" s="12"/>
      <c r="AJ32" s="12"/>
      <c r="AK32" s="9"/>
      <c r="AL32" s="12"/>
      <c r="AM32" s="12"/>
      <c r="AN32" s="12"/>
      <c r="AO32" s="9"/>
      <c r="AP32" s="12"/>
    </row>
    <row r="33" spans="2:42" ht="9.75" hidden="1" customHeight="1" x14ac:dyDescent="0.15">
      <c r="B33" s="25"/>
      <c r="C33" s="13"/>
      <c r="D33" s="13"/>
      <c r="E33" s="13"/>
      <c r="F33" s="13"/>
      <c r="G33" s="13"/>
      <c r="H33" s="13"/>
      <c r="I33" s="13"/>
      <c r="J33" s="21"/>
      <c r="K33" s="13"/>
      <c r="L33" s="9"/>
      <c r="M33" s="13"/>
      <c r="N33" s="13"/>
      <c r="O33" s="9"/>
      <c r="P33" s="13"/>
      <c r="Q33" s="13"/>
      <c r="R33" s="9"/>
      <c r="S33" s="13"/>
      <c r="T33" s="13"/>
      <c r="U33" s="13"/>
      <c r="V33" s="28"/>
      <c r="W33" s="13"/>
      <c r="X33" s="13"/>
      <c r="Y33" s="13"/>
      <c r="Z33" s="13"/>
      <c r="AA33" s="13"/>
      <c r="AB33" s="9"/>
      <c r="AC33" s="13"/>
      <c r="AD33" s="13"/>
      <c r="AE33" s="13"/>
      <c r="AF33" s="13"/>
      <c r="AG33" s="9"/>
      <c r="AH33" s="13"/>
      <c r="AI33" s="13"/>
      <c r="AJ33" s="13"/>
      <c r="AK33" s="9"/>
      <c r="AL33" s="13"/>
      <c r="AM33" s="13"/>
      <c r="AN33" s="13"/>
      <c r="AO33" s="9"/>
      <c r="AP33" s="13"/>
    </row>
    <row r="34" spans="2:42" ht="9.75" hidden="1" customHeight="1" x14ac:dyDescent="0.15">
      <c r="B34" s="25" t="s">
        <v>51</v>
      </c>
      <c r="C34" s="11"/>
      <c r="D34" s="11"/>
      <c r="E34" s="11"/>
      <c r="F34" s="11"/>
      <c r="G34" s="11"/>
      <c r="H34" s="11"/>
      <c r="I34" s="11"/>
      <c r="J34" s="19"/>
      <c r="K34" s="11"/>
      <c r="L34" s="9"/>
      <c r="M34" s="11"/>
      <c r="N34" s="11"/>
      <c r="O34" s="9"/>
      <c r="P34" s="11"/>
      <c r="Q34" s="11"/>
      <c r="R34" s="9"/>
      <c r="S34" s="11"/>
      <c r="T34" s="11"/>
      <c r="U34" s="11"/>
      <c r="V34" s="26"/>
      <c r="W34" s="11"/>
      <c r="X34" s="11"/>
      <c r="Y34" s="11"/>
      <c r="Z34" s="11"/>
      <c r="AA34" s="11"/>
      <c r="AB34" s="9"/>
      <c r="AC34" s="11"/>
      <c r="AD34" s="11"/>
      <c r="AE34" s="11"/>
      <c r="AF34" s="11"/>
      <c r="AG34" s="9"/>
      <c r="AH34" s="11"/>
      <c r="AI34" s="11"/>
      <c r="AJ34" s="11"/>
      <c r="AK34" s="9"/>
      <c r="AL34" s="11"/>
      <c r="AM34" s="11"/>
      <c r="AN34" s="11"/>
      <c r="AO34" s="9"/>
      <c r="AP34" s="11"/>
    </row>
    <row r="35" spans="2:42" ht="9.75" hidden="1" customHeight="1" x14ac:dyDescent="0.15">
      <c r="B35" s="25"/>
      <c r="C35" s="12"/>
      <c r="D35" s="12"/>
      <c r="E35" s="12"/>
      <c r="F35" s="12"/>
      <c r="G35" s="12"/>
      <c r="H35" s="12"/>
      <c r="I35" s="12"/>
      <c r="J35" s="20"/>
      <c r="K35" s="12"/>
      <c r="L35" s="9"/>
      <c r="M35" s="12"/>
      <c r="N35" s="12"/>
      <c r="O35" s="9"/>
      <c r="P35" s="12"/>
      <c r="Q35" s="12"/>
      <c r="R35" s="9"/>
      <c r="S35" s="12"/>
      <c r="T35" s="12"/>
      <c r="U35" s="12"/>
      <c r="V35" s="27"/>
      <c r="W35" s="12"/>
      <c r="X35" s="12"/>
      <c r="Y35" s="12"/>
      <c r="Z35" s="12"/>
      <c r="AA35" s="12"/>
      <c r="AB35" s="9"/>
      <c r="AC35" s="12"/>
      <c r="AD35" s="12"/>
      <c r="AE35" s="12"/>
      <c r="AF35" s="12"/>
      <c r="AG35" s="9"/>
      <c r="AH35" s="12"/>
      <c r="AI35" s="12"/>
      <c r="AJ35" s="12"/>
      <c r="AK35" s="9"/>
      <c r="AL35" s="12"/>
      <c r="AM35" s="12"/>
      <c r="AN35" s="12"/>
      <c r="AO35" s="9"/>
      <c r="AP35" s="12"/>
    </row>
    <row r="36" spans="2:42" ht="9.75" hidden="1" customHeight="1" x14ac:dyDescent="0.15">
      <c r="B36" s="25"/>
      <c r="C36" s="13"/>
      <c r="D36" s="13"/>
      <c r="E36" s="13"/>
      <c r="F36" s="13"/>
      <c r="G36" s="13"/>
      <c r="H36" s="13"/>
      <c r="I36" s="13"/>
      <c r="J36" s="21"/>
      <c r="K36" s="13"/>
      <c r="L36" s="9"/>
      <c r="M36" s="13"/>
      <c r="N36" s="13"/>
      <c r="O36" s="9"/>
      <c r="P36" s="13"/>
      <c r="Q36" s="13"/>
      <c r="R36" s="9"/>
      <c r="S36" s="13"/>
      <c r="T36" s="13"/>
      <c r="U36" s="13"/>
      <c r="V36" s="28"/>
      <c r="W36" s="13"/>
      <c r="X36" s="13"/>
      <c r="Y36" s="13"/>
      <c r="Z36" s="13"/>
      <c r="AA36" s="13"/>
      <c r="AB36" s="9"/>
      <c r="AC36" s="13"/>
      <c r="AD36" s="13"/>
      <c r="AE36" s="13"/>
      <c r="AF36" s="13"/>
      <c r="AG36" s="9"/>
      <c r="AH36" s="13"/>
      <c r="AI36" s="13"/>
      <c r="AJ36" s="13"/>
      <c r="AK36" s="9"/>
      <c r="AL36" s="13"/>
      <c r="AM36" s="13"/>
      <c r="AN36" s="13"/>
      <c r="AO36" s="9"/>
      <c r="AP36" s="13"/>
    </row>
    <row r="37" spans="2:42" ht="9.75" hidden="1" customHeight="1" x14ac:dyDescent="0.15">
      <c r="B37" s="25" t="s">
        <v>52</v>
      </c>
      <c r="C37" s="11"/>
      <c r="D37" s="11"/>
      <c r="E37" s="11"/>
      <c r="F37" s="11"/>
      <c r="G37" s="11"/>
      <c r="H37" s="11"/>
      <c r="I37" s="11"/>
      <c r="J37" s="19"/>
      <c r="K37" s="11"/>
      <c r="L37" s="9"/>
      <c r="M37" s="11"/>
      <c r="N37" s="11"/>
      <c r="O37" s="9"/>
      <c r="P37" s="11"/>
      <c r="Q37" s="11"/>
      <c r="R37" s="9"/>
      <c r="S37" s="11"/>
      <c r="T37" s="11"/>
      <c r="U37" s="11"/>
      <c r="V37" s="26"/>
      <c r="W37" s="11"/>
      <c r="X37" s="11"/>
      <c r="Y37" s="11"/>
      <c r="Z37" s="11"/>
      <c r="AA37" s="11"/>
      <c r="AB37" s="9"/>
      <c r="AC37" s="11"/>
      <c r="AD37" s="11"/>
      <c r="AE37" s="11"/>
      <c r="AF37" s="11"/>
      <c r="AG37" s="9"/>
      <c r="AH37" s="11"/>
      <c r="AI37" s="11"/>
      <c r="AJ37" s="11"/>
      <c r="AK37" s="9"/>
      <c r="AL37" s="11"/>
      <c r="AM37" s="11"/>
      <c r="AN37" s="11"/>
      <c r="AO37" s="9"/>
      <c r="AP37" s="11"/>
    </row>
    <row r="38" spans="2:42" ht="9.75" hidden="1" customHeight="1" x14ac:dyDescent="0.15">
      <c r="B38" s="25"/>
      <c r="C38" s="12"/>
      <c r="D38" s="12"/>
      <c r="E38" s="12"/>
      <c r="F38" s="12"/>
      <c r="G38" s="12"/>
      <c r="H38" s="12"/>
      <c r="I38" s="12"/>
      <c r="J38" s="20"/>
      <c r="K38" s="12"/>
      <c r="L38" s="9"/>
      <c r="M38" s="12"/>
      <c r="N38" s="12"/>
      <c r="O38" s="9"/>
      <c r="P38" s="12"/>
      <c r="Q38" s="12"/>
      <c r="R38" s="9"/>
      <c r="S38" s="12"/>
      <c r="T38" s="12"/>
      <c r="U38" s="12"/>
      <c r="V38" s="27"/>
      <c r="W38" s="12"/>
      <c r="X38" s="12"/>
      <c r="Y38" s="12"/>
      <c r="Z38" s="12"/>
      <c r="AA38" s="12"/>
      <c r="AB38" s="9"/>
      <c r="AC38" s="12"/>
      <c r="AD38" s="12"/>
      <c r="AE38" s="12"/>
      <c r="AF38" s="12"/>
      <c r="AG38" s="9"/>
      <c r="AH38" s="12"/>
      <c r="AI38" s="12"/>
      <c r="AJ38" s="12"/>
      <c r="AK38" s="9"/>
      <c r="AL38" s="12"/>
      <c r="AM38" s="12"/>
      <c r="AN38" s="12"/>
      <c r="AO38" s="9"/>
      <c r="AP38" s="12"/>
    </row>
    <row r="39" spans="2:42" ht="9.75" hidden="1" customHeight="1" x14ac:dyDescent="0.15">
      <c r="B39" s="25"/>
      <c r="C39" s="13"/>
      <c r="D39" s="13"/>
      <c r="E39" s="13"/>
      <c r="F39" s="13"/>
      <c r="G39" s="13"/>
      <c r="H39" s="13"/>
      <c r="I39" s="13"/>
      <c r="J39" s="21"/>
      <c r="K39" s="13"/>
      <c r="L39" s="9"/>
      <c r="M39" s="13"/>
      <c r="N39" s="13"/>
      <c r="O39" s="9"/>
      <c r="P39" s="13"/>
      <c r="Q39" s="13"/>
      <c r="R39" s="9"/>
      <c r="S39" s="13"/>
      <c r="T39" s="13"/>
      <c r="U39" s="13"/>
      <c r="V39" s="28"/>
      <c r="W39" s="13"/>
      <c r="X39" s="13"/>
      <c r="Y39" s="13"/>
      <c r="Z39" s="13"/>
      <c r="AA39" s="13"/>
      <c r="AB39" s="9"/>
      <c r="AC39" s="13"/>
      <c r="AD39" s="13"/>
      <c r="AE39" s="13"/>
      <c r="AF39" s="13"/>
      <c r="AG39" s="9"/>
      <c r="AH39" s="13"/>
      <c r="AI39" s="13"/>
      <c r="AJ39" s="13"/>
      <c r="AK39" s="9"/>
      <c r="AL39" s="13"/>
      <c r="AM39" s="13"/>
      <c r="AN39" s="13"/>
      <c r="AO39" s="9"/>
      <c r="AP39" s="13"/>
    </row>
    <row r="40" spans="2:42" ht="9.75" hidden="1" customHeight="1" x14ac:dyDescent="0.15">
      <c r="B40" s="25" t="s">
        <v>53</v>
      </c>
      <c r="C40" s="11"/>
      <c r="D40" s="11"/>
      <c r="E40" s="11"/>
      <c r="F40" s="11"/>
      <c r="G40" s="11"/>
      <c r="H40" s="11"/>
      <c r="I40" s="11"/>
      <c r="J40" s="19"/>
      <c r="K40" s="11"/>
      <c r="L40" s="9"/>
      <c r="M40" s="11"/>
      <c r="N40" s="11"/>
      <c r="O40" s="9"/>
      <c r="P40" s="11"/>
      <c r="Q40" s="11"/>
      <c r="R40" s="9"/>
      <c r="S40" s="11"/>
      <c r="T40" s="11"/>
      <c r="U40" s="11"/>
      <c r="V40" s="26"/>
      <c r="W40" s="11"/>
      <c r="X40" s="11"/>
      <c r="Y40" s="11"/>
      <c r="Z40" s="11"/>
      <c r="AA40" s="11"/>
      <c r="AB40" s="9"/>
      <c r="AC40" s="11"/>
      <c r="AD40" s="11"/>
      <c r="AE40" s="11"/>
      <c r="AF40" s="11"/>
      <c r="AG40" s="9"/>
      <c r="AH40" s="11"/>
      <c r="AI40" s="11"/>
      <c r="AJ40" s="11"/>
      <c r="AK40" s="9"/>
      <c r="AL40" s="11"/>
      <c r="AM40" s="11"/>
      <c r="AN40" s="11"/>
      <c r="AO40" s="9"/>
      <c r="AP40" s="11"/>
    </row>
    <row r="41" spans="2:42" ht="9.75" hidden="1" customHeight="1" x14ac:dyDescent="0.15">
      <c r="B41" s="25"/>
      <c r="C41" s="12"/>
      <c r="D41" s="12"/>
      <c r="E41" s="12"/>
      <c r="F41" s="12"/>
      <c r="G41" s="12"/>
      <c r="H41" s="12"/>
      <c r="I41" s="12"/>
      <c r="J41" s="20"/>
      <c r="K41" s="12"/>
      <c r="L41" s="9"/>
      <c r="M41" s="12"/>
      <c r="N41" s="12"/>
      <c r="O41" s="9"/>
      <c r="P41" s="12"/>
      <c r="Q41" s="12"/>
      <c r="R41" s="9"/>
      <c r="S41" s="12"/>
      <c r="T41" s="12"/>
      <c r="U41" s="12"/>
      <c r="V41" s="27"/>
      <c r="W41" s="12"/>
      <c r="X41" s="12"/>
      <c r="Y41" s="12"/>
      <c r="Z41" s="12"/>
      <c r="AA41" s="12"/>
      <c r="AB41" s="9"/>
      <c r="AC41" s="12"/>
      <c r="AD41" s="12"/>
      <c r="AE41" s="12"/>
      <c r="AF41" s="12"/>
      <c r="AG41" s="9"/>
      <c r="AH41" s="12"/>
      <c r="AI41" s="12"/>
      <c r="AJ41" s="12"/>
      <c r="AK41" s="9"/>
      <c r="AL41" s="12"/>
      <c r="AM41" s="12"/>
      <c r="AN41" s="12"/>
      <c r="AO41" s="9"/>
      <c r="AP41" s="12"/>
    </row>
    <row r="42" spans="2:42" ht="9.75" hidden="1" customHeight="1" x14ac:dyDescent="0.15">
      <c r="B42" s="25"/>
      <c r="C42" s="13"/>
      <c r="D42" s="13"/>
      <c r="E42" s="13"/>
      <c r="F42" s="13"/>
      <c r="G42" s="13"/>
      <c r="H42" s="13"/>
      <c r="I42" s="13"/>
      <c r="J42" s="21"/>
      <c r="K42" s="13"/>
      <c r="L42" s="9"/>
      <c r="M42" s="13"/>
      <c r="N42" s="13"/>
      <c r="O42" s="9"/>
      <c r="P42" s="13"/>
      <c r="Q42" s="13"/>
      <c r="R42" s="9"/>
      <c r="S42" s="13"/>
      <c r="T42" s="13"/>
      <c r="U42" s="13"/>
      <c r="V42" s="28"/>
      <c r="W42" s="13"/>
      <c r="X42" s="13"/>
      <c r="Y42" s="13"/>
      <c r="Z42" s="13"/>
      <c r="AA42" s="13"/>
      <c r="AB42" s="9"/>
      <c r="AC42" s="13"/>
      <c r="AD42" s="13"/>
      <c r="AE42" s="13"/>
      <c r="AF42" s="13"/>
      <c r="AG42" s="9"/>
      <c r="AH42" s="13"/>
      <c r="AI42" s="13"/>
      <c r="AJ42" s="13"/>
      <c r="AK42" s="9"/>
      <c r="AL42" s="13"/>
      <c r="AM42" s="13"/>
      <c r="AN42" s="13"/>
      <c r="AO42" s="9"/>
      <c r="AP42" s="13"/>
    </row>
    <row r="43" spans="2:42" ht="9.75" hidden="1" customHeight="1" x14ac:dyDescent="0.15">
      <c r="B43" s="25" t="s">
        <v>54</v>
      </c>
      <c r="C43" s="11"/>
      <c r="D43" s="11"/>
      <c r="E43" s="11"/>
      <c r="F43" s="11"/>
      <c r="G43" s="11"/>
      <c r="H43" s="11"/>
      <c r="I43" s="11"/>
      <c r="J43" s="19"/>
      <c r="K43" s="11"/>
      <c r="L43" s="9"/>
      <c r="M43" s="11"/>
      <c r="N43" s="11"/>
      <c r="O43" s="9"/>
      <c r="P43" s="11"/>
      <c r="Q43" s="11"/>
      <c r="R43" s="9"/>
      <c r="S43" s="11"/>
      <c r="T43" s="11"/>
      <c r="U43" s="11"/>
      <c r="V43" s="26"/>
      <c r="W43" s="11"/>
      <c r="X43" s="11"/>
      <c r="Y43" s="11"/>
      <c r="Z43" s="11"/>
      <c r="AA43" s="11"/>
      <c r="AB43" s="9"/>
      <c r="AC43" s="11"/>
      <c r="AD43" s="11"/>
      <c r="AE43" s="11"/>
      <c r="AF43" s="11"/>
      <c r="AG43" s="9"/>
      <c r="AH43" s="11"/>
      <c r="AI43" s="11"/>
      <c r="AJ43" s="11"/>
      <c r="AK43" s="9"/>
      <c r="AL43" s="11"/>
      <c r="AM43" s="11"/>
      <c r="AN43" s="11"/>
      <c r="AO43" s="9"/>
      <c r="AP43" s="11"/>
    </row>
    <row r="44" spans="2:42" ht="9.75" hidden="1" customHeight="1" x14ac:dyDescent="0.15">
      <c r="B44" s="25"/>
      <c r="C44" s="12"/>
      <c r="D44" s="12"/>
      <c r="E44" s="12"/>
      <c r="F44" s="12"/>
      <c r="G44" s="12"/>
      <c r="H44" s="12"/>
      <c r="I44" s="12"/>
      <c r="J44" s="20"/>
      <c r="K44" s="12"/>
      <c r="L44" s="9"/>
      <c r="M44" s="12"/>
      <c r="N44" s="12"/>
      <c r="O44" s="9"/>
      <c r="P44" s="12"/>
      <c r="Q44" s="12"/>
      <c r="R44" s="9"/>
      <c r="S44" s="12"/>
      <c r="T44" s="12"/>
      <c r="U44" s="12"/>
      <c r="V44" s="27"/>
      <c r="W44" s="12"/>
      <c r="X44" s="12"/>
      <c r="Y44" s="12"/>
      <c r="Z44" s="12"/>
      <c r="AA44" s="12"/>
      <c r="AB44" s="9"/>
      <c r="AC44" s="12"/>
      <c r="AD44" s="12"/>
      <c r="AE44" s="12"/>
      <c r="AF44" s="12"/>
      <c r="AG44" s="9"/>
      <c r="AH44" s="12"/>
      <c r="AI44" s="12"/>
      <c r="AJ44" s="12"/>
      <c r="AK44" s="9"/>
      <c r="AL44" s="12"/>
      <c r="AM44" s="12"/>
      <c r="AN44" s="12"/>
      <c r="AO44" s="9"/>
      <c r="AP44" s="12"/>
    </row>
    <row r="45" spans="2:42" ht="9.75" hidden="1" customHeight="1" x14ac:dyDescent="0.15">
      <c r="B45" s="25"/>
      <c r="C45" s="13"/>
      <c r="D45" s="13"/>
      <c r="E45" s="13"/>
      <c r="F45" s="13"/>
      <c r="G45" s="13"/>
      <c r="H45" s="13"/>
      <c r="I45" s="13"/>
      <c r="J45" s="21"/>
      <c r="K45" s="13"/>
      <c r="L45" s="9"/>
      <c r="M45" s="13"/>
      <c r="N45" s="13"/>
      <c r="O45" s="9"/>
      <c r="P45" s="13"/>
      <c r="Q45" s="13"/>
      <c r="R45" s="9"/>
      <c r="S45" s="13"/>
      <c r="T45" s="13"/>
      <c r="U45" s="13"/>
      <c r="V45" s="28"/>
      <c r="W45" s="13"/>
      <c r="X45" s="13"/>
      <c r="Y45" s="13"/>
      <c r="Z45" s="13"/>
      <c r="AA45" s="13"/>
      <c r="AB45" s="9"/>
      <c r="AC45" s="13"/>
      <c r="AD45" s="13"/>
      <c r="AE45" s="13"/>
      <c r="AF45" s="13"/>
      <c r="AG45" s="9"/>
      <c r="AH45" s="13"/>
      <c r="AI45" s="13"/>
      <c r="AJ45" s="13"/>
      <c r="AK45" s="9"/>
      <c r="AL45" s="13"/>
      <c r="AM45" s="13"/>
      <c r="AN45" s="13"/>
      <c r="AO45" s="9"/>
      <c r="AP45" s="13"/>
    </row>
    <row r="46" spans="2:42" ht="9.75" hidden="1" customHeight="1" x14ac:dyDescent="0.15">
      <c r="B46" s="25" t="s">
        <v>55</v>
      </c>
      <c r="C46" s="11"/>
      <c r="D46" s="11"/>
      <c r="E46" s="11"/>
      <c r="F46" s="11"/>
      <c r="G46" s="11"/>
      <c r="H46" s="11"/>
      <c r="I46" s="11"/>
      <c r="J46" s="19"/>
      <c r="K46" s="11"/>
      <c r="L46" s="9"/>
      <c r="M46" s="11"/>
      <c r="N46" s="11"/>
      <c r="O46" s="9"/>
      <c r="P46" s="11"/>
      <c r="Q46" s="11"/>
      <c r="R46" s="9"/>
      <c r="S46" s="11"/>
      <c r="T46" s="11"/>
      <c r="U46" s="11"/>
      <c r="V46" s="26"/>
      <c r="W46" s="11"/>
      <c r="X46" s="11"/>
      <c r="Y46" s="11"/>
      <c r="Z46" s="11"/>
      <c r="AA46" s="11"/>
      <c r="AB46" s="9"/>
      <c r="AC46" s="11"/>
      <c r="AD46" s="11"/>
      <c r="AE46" s="11"/>
      <c r="AF46" s="11"/>
      <c r="AG46" s="9"/>
      <c r="AH46" s="11"/>
      <c r="AI46" s="11"/>
      <c r="AJ46" s="11"/>
      <c r="AK46" s="9"/>
      <c r="AL46" s="11"/>
      <c r="AM46" s="11"/>
      <c r="AN46" s="11"/>
      <c r="AO46" s="9"/>
      <c r="AP46" s="11"/>
    </row>
    <row r="47" spans="2:42" ht="9.75" hidden="1" customHeight="1" x14ac:dyDescent="0.15">
      <c r="B47" s="25"/>
      <c r="C47" s="12"/>
      <c r="D47" s="12"/>
      <c r="E47" s="12"/>
      <c r="F47" s="12"/>
      <c r="G47" s="12"/>
      <c r="H47" s="12"/>
      <c r="I47" s="12"/>
      <c r="J47" s="20"/>
      <c r="K47" s="12"/>
      <c r="L47" s="9"/>
      <c r="M47" s="12"/>
      <c r="N47" s="12"/>
      <c r="O47" s="9"/>
      <c r="P47" s="12"/>
      <c r="Q47" s="12"/>
      <c r="R47" s="9"/>
      <c r="S47" s="12"/>
      <c r="T47" s="12"/>
      <c r="U47" s="12"/>
      <c r="V47" s="27"/>
      <c r="W47" s="12"/>
      <c r="X47" s="12"/>
      <c r="Y47" s="12"/>
      <c r="Z47" s="12"/>
      <c r="AA47" s="12"/>
      <c r="AB47" s="9"/>
      <c r="AC47" s="12"/>
      <c r="AD47" s="12"/>
      <c r="AE47" s="12"/>
      <c r="AF47" s="12"/>
      <c r="AG47" s="9"/>
      <c r="AH47" s="12"/>
      <c r="AI47" s="12"/>
      <c r="AJ47" s="12"/>
      <c r="AK47" s="9"/>
      <c r="AL47" s="12"/>
      <c r="AM47" s="12"/>
      <c r="AN47" s="12"/>
      <c r="AO47" s="9"/>
      <c r="AP47" s="12"/>
    </row>
    <row r="48" spans="2:42" ht="9.75" hidden="1" customHeight="1" x14ac:dyDescent="0.15">
      <c r="B48" s="25"/>
      <c r="C48" s="13"/>
      <c r="D48" s="13"/>
      <c r="E48" s="13"/>
      <c r="F48" s="13"/>
      <c r="G48" s="13"/>
      <c r="H48" s="13"/>
      <c r="I48" s="13"/>
      <c r="J48" s="21"/>
      <c r="K48" s="13"/>
      <c r="L48" s="9"/>
      <c r="M48" s="13"/>
      <c r="N48" s="13"/>
      <c r="O48" s="9"/>
      <c r="P48" s="13"/>
      <c r="Q48" s="13"/>
      <c r="R48" s="9"/>
      <c r="S48" s="13"/>
      <c r="T48" s="13"/>
      <c r="U48" s="13"/>
      <c r="V48" s="28"/>
      <c r="W48" s="13"/>
      <c r="X48" s="13"/>
      <c r="Y48" s="13"/>
      <c r="Z48" s="13"/>
      <c r="AA48" s="13"/>
      <c r="AB48" s="9"/>
      <c r="AC48" s="13"/>
      <c r="AD48" s="13"/>
      <c r="AE48" s="13"/>
      <c r="AF48" s="13"/>
      <c r="AG48" s="9"/>
      <c r="AH48" s="13"/>
      <c r="AI48" s="13"/>
      <c r="AJ48" s="13"/>
      <c r="AK48" s="9"/>
      <c r="AL48" s="13"/>
      <c r="AM48" s="13"/>
      <c r="AN48" s="13"/>
      <c r="AO48" s="9"/>
      <c r="AP48" s="13"/>
    </row>
    <row r="49" spans="2:42" ht="9.75" hidden="1" customHeight="1" x14ac:dyDescent="0.15">
      <c r="B49" s="25" t="s">
        <v>56</v>
      </c>
      <c r="C49" s="11"/>
      <c r="D49" s="11"/>
      <c r="E49" s="11"/>
      <c r="F49" s="11"/>
      <c r="G49" s="11"/>
      <c r="H49" s="11"/>
      <c r="I49" s="11"/>
      <c r="J49" s="19"/>
      <c r="K49" s="11"/>
      <c r="L49" s="9"/>
      <c r="M49" s="11"/>
      <c r="N49" s="11"/>
      <c r="O49" s="9"/>
      <c r="P49" s="11"/>
      <c r="Q49" s="11"/>
      <c r="R49" s="9"/>
      <c r="S49" s="11"/>
      <c r="T49" s="11"/>
      <c r="U49" s="11"/>
      <c r="V49" s="26"/>
      <c r="W49" s="11"/>
      <c r="X49" s="11"/>
      <c r="Y49" s="11"/>
      <c r="Z49" s="11"/>
      <c r="AA49" s="11"/>
      <c r="AB49" s="9"/>
      <c r="AC49" s="11"/>
      <c r="AD49" s="11"/>
      <c r="AE49" s="11"/>
      <c r="AF49" s="11"/>
      <c r="AG49" s="9"/>
      <c r="AH49" s="11"/>
      <c r="AI49" s="11"/>
      <c r="AJ49" s="11"/>
      <c r="AK49" s="9"/>
      <c r="AL49" s="11"/>
      <c r="AM49" s="11"/>
      <c r="AN49" s="11"/>
      <c r="AO49" s="9"/>
      <c r="AP49" s="11"/>
    </row>
    <row r="50" spans="2:42" ht="9.75" hidden="1" customHeight="1" x14ac:dyDescent="0.15">
      <c r="B50" s="25"/>
      <c r="C50" s="12"/>
      <c r="D50" s="12"/>
      <c r="E50" s="12"/>
      <c r="F50" s="12"/>
      <c r="G50" s="12"/>
      <c r="H50" s="12"/>
      <c r="I50" s="12"/>
      <c r="J50" s="20"/>
      <c r="K50" s="12"/>
      <c r="L50" s="9"/>
      <c r="M50" s="12"/>
      <c r="N50" s="12"/>
      <c r="O50" s="9"/>
      <c r="P50" s="12"/>
      <c r="Q50" s="12"/>
      <c r="R50" s="9"/>
      <c r="S50" s="12"/>
      <c r="T50" s="12"/>
      <c r="U50" s="12"/>
      <c r="V50" s="27"/>
      <c r="W50" s="12"/>
      <c r="X50" s="12"/>
      <c r="Y50" s="12"/>
      <c r="Z50" s="12"/>
      <c r="AA50" s="12"/>
      <c r="AB50" s="9"/>
      <c r="AC50" s="12"/>
      <c r="AD50" s="12"/>
      <c r="AE50" s="12"/>
      <c r="AF50" s="12"/>
      <c r="AG50" s="9"/>
      <c r="AH50" s="12"/>
      <c r="AI50" s="12"/>
      <c r="AJ50" s="12"/>
      <c r="AK50" s="9"/>
      <c r="AL50" s="12"/>
      <c r="AM50" s="12"/>
      <c r="AN50" s="12"/>
      <c r="AO50" s="9"/>
      <c r="AP50" s="12"/>
    </row>
    <row r="51" spans="2:42" ht="9.75" hidden="1" customHeight="1" x14ac:dyDescent="0.15">
      <c r="B51" s="25"/>
      <c r="C51" s="13"/>
      <c r="D51" s="13"/>
      <c r="E51" s="13"/>
      <c r="F51" s="13"/>
      <c r="G51" s="13"/>
      <c r="H51" s="13"/>
      <c r="I51" s="13"/>
      <c r="J51" s="21"/>
      <c r="K51" s="13"/>
      <c r="L51" s="9"/>
      <c r="M51" s="13"/>
      <c r="N51" s="13"/>
      <c r="O51" s="9"/>
      <c r="P51" s="13"/>
      <c r="Q51" s="13"/>
      <c r="R51" s="9"/>
      <c r="S51" s="13"/>
      <c r="T51" s="13"/>
      <c r="U51" s="13"/>
      <c r="V51" s="28"/>
      <c r="W51" s="13"/>
      <c r="X51" s="13"/>
      <c r="Y51" s="13"/>
      <c r="Z51" s="13"/>
      <c r="AA51" s="13"/>
      <c r="AB51" s="9"/>
      <c r="AC51" s="13"/>
      <c r="AD51" s="13"/>
      <c r="AE51" s="13"/>
      <c r="AF51" s="13"/>
      <c r="AG51" s="9"/>
      <c r="AH51" s="13"/>
      <c r="AI51" s="13"/>
      <c r="AJ51" s="13"/>
      <c r="AK51" s="9"/>
      <c r="AL51" s="13"/>
      <c r="AM51" s="13"/>
      <c r="AN51" s="13"/>
      <c r="AO51" s="9"/>
      <c r="AP51" s="13"/>
    </row>
    <row r="52" spans="2:42" ht="9.75" hidden="1" customHeight="1" x14ac:dyDescent="0.15">
      <c r="B52" s="25" t="s">
        <v>57</v>
      </c>
      <c r="C52" s="11"/>
      <c r="D52" s="11"/>
      <c r="E52" s="11"/>
      <c r="F52" s="11"/>
      <c r="G52" s="11"/>
      <c r="H52" s="11"/>
      <c r="I52" s="11"/>
      <c r="J52" s="19"/>
      <c r="K52" s="11"/>
      <c r="L52" s="9"/>
      <c r="M52" s="11"/>
      <c r="N52" s="11"/>
      <c r="O52" s="9"/>
      <c r="P52" s="11"/>
      <c r="Q52" s="11"/>
      <c r="R52" s="9"/>
      <c r="S52" s="11"/>
      <c r="T52" s="11"/>
      <c r="U52" s="11"/>
      <c r="V52" s="26"/>
      <c r="W52" s="11"/>
      <c r="X52" s="11"/>
      <c r="Y52" s="11"/>
      <c r="Z52" s="11"/>
      <c r="AA52" s="11"/>
      <c r="AB52" s="9"/>
      <c r="AC52" s="11"/>
      <c r="AD52" s="11"/>
      <c r="AE52" s="11"/>
      <c r="AF52" s="11"/>
      <c r="AG52" s="9"/>
      <c r="AH52" s="11"/>
      <c r="AI52" s="11"/>
      <c r="AJ52" s="11"/>
      <c r="AK52" s="9"/>
      <c r="AL52" s="11"/>
      <c r="AM52" s="11"/>
      <c r="AN52" s="11"/>
      <c r="AO52" s="9"/>
      <c r="AP52" s="11"/>
    </row>
    <row r="53" spans="2:42" ht="9.75" hidden="1" customHeight="1" x14ac:dyDescent="0.15">
      <c r="B53" s="25"/>
      <c r="C53" s="12"/>
      <c r="D53" s="12"/>
      <c r="E53" s="12"/>
      <c r="F53" s="12"/>
      <c r="G53" s="12"/>
      <c r="H53" s="12"/>
      <c r="I53" s="12"/>
      <c r="J53" s="20"/>
      <c r="K53" s="12"/>
      <c r="L53" s="9"/>
      <c r="M53" s="12"/>
      <c r="N53" s="12"/>
      <c r="O53" s="9"/>
      <c r="P53" s="12"/>
      <c r="Q53" s="12"/>
      <c r="R53" s="9"/>
      <c r="S53" s="12"/>
      <c r="T53" s="12"/>
      <c r="U53" s="12"/>
      <c r="V53" s="27"/>
      <c r="W53" s="12"/>
      <c r="X53" s="12"/>
      <c r="Y53" s="12"/>
      <c r="Z53" s="12"/>
      <c r="AA53" s="12"/>
      <c r="AB53" s="9"/>
      <c r="AC53" s="12"/>
      <c r="AD53" s="12"/>
      <c r="AE53" s="12"/>
      <c r="AF53" s="12"/>
      <c r="AG53" s="9"/>
      <c r="AH53" s="12"/>
      <c r="AI53" s="12"/>
      <c r="AJ53" s="12"/>
      <c r="AK53" s="9"/>
      <c r="AL53" s="12"/>
      <c r="AM53" s="12"/>
      <c r="AN53" s="12"/>
      <c r="AO53" s="9"/>
      <c r="AP53" s="12"/>
    </row>
    <row r="54" spans="2:42" ht="9.75" hidden="1" customHeight="1" x14ac:dyDescent="0.15">
      <c r="B54" s="25"/>
      <c r="C54" s="13"/>
      <c r="D54" s="13"/>
      <c r="E54" s="13"/>
      <c r="F54" s="13"/>
      <c r="G54" s="13"/>
      <c r="H54" s="13"/>
      <c r="I54" s="13"/>
      <c r="J54" s="21"/>
      <c r="K54" s="13"/>
      <c r="L54" s="9"/>
      <c r="M54" s="13"/>
      <c r="N54" s="13"/>
      <c r="O54" s="9"/>
      <c r="P54" s="13"/>
      <c r="Q54" s="13"/>
      <c r="R54" s="9"/>
      <c r="S54" s="13"/>
      <c r="T54" s="13"/>
      <c r="U54" s="13"/>
      <c r="V54" s="28"/>
      <c r="W54" s="13"/>
      <c r="X54" s="13"/>
      <c r="Y54" s="13"/>
      <c r="Z54" s="13"/>
      <c r="AA54" s="13"/>
      <c r="AB54" s="9"/>
      <c r="AC54" s="13"/>
      <c r="AD54" s="13"/>
      <c r="AE54" s="13"/>
      <c r="AF54" s="13"/>
      <c r="AG54" s="9"/>
      <c r="AH54" s="13"/>
      <c r="AI54" s="13"/>
      <c r="AJ54" s="13"/>
      <c r="AK54" s="9"/>
      <c r="AL54" s="13"/>
      <c r="AM54" s="13"/>
      <c r="AN54" s="13"/>
      <c r="AO54" s="9"/>
      <c r="AP54" s="13"/>
    </row>
    <row r="55" spans="2:42" ht="9.75" hidden="1" customHeight="1" x14ac:dyDescent="0.15">
      <c r="AO55" s="9"/>
    </row>
    <row r="56" spans="2:42" ht="9.75" customHeight="1" x14ac:dyDescent="0.15">
      <c r="AO56" s="9"/>
    </row>
    <row r="57" spans="2:42" ht="9.75" customHeight="1" x14ac:dyDescent="0.15">
      <c r="AO57" s="9"/>
    </row>
    <row r="58" spans="2:42" ht="9.75" customHeight="1" x14ac:dyDescent="0.15">
      <c r="AO58" s="9"/>
    </row>
    <row r="59" spans="2:42" ht="9.75" customHeight="1" x14ac:dyDescent="0.15">
      <c r="AO59" s="9"/>
    </row>
    <row r="60" spans="2:42" ht="9.75" customHeight="1" x14ac:dyDescent="0.15">
      <c r="AO60" s="9"/>
    </row>
    <row r="61" spans="2:42" ht="9.75" customHeight="1" x14ac:dyDescent="0.15">
      <c r="AO61" s="9"/>
    </row>
    <row r="62" spans="2:42" ht="9.75" customHeight="1" x14ac:dyDescent="0.15">
      <c r="AO62" s="9"/>
    </row>
    <row r="63" spans="2:42" ht="9.75" customHeight="1" x14ac:dyDescent="0.15">
      <c r="AO63" s="9"/>
    </row>
    <row r="64" spans="2:42" ht="9.75" customHeight="1" x14ac:dyDescent="0.15">
      <c r="AO64" s="9"/>
    </row>
    <row r="65" spans="41:41" ht="9.75" customHeight="1" x14ac:dyDescent="0.15">
      <c r="AO65" s="9"/>
    </row>
    <row r="66" spans="41:41" ht="9.75" customHeight="1" x14ac:dyDescent="0.15">
      <c r="AO66" s="9"/>
    </row>
    <row r="67" spans="41:41" ht="9.75" customHeight="1" x14ac:dyDescent="0.15">
      <c r="AO67" s="9"/>
    </row>
    <row r="68" spans="41:41" ht="9.75" customHeight="1" x14ac:dyDescent="0.15">
      <c r="AO68" s="9"/>
    </row>
    <row r="69" spans="41:41" ht="9.75" customHeight="1" x14ac:dyDescent="0.15">
      <c r="AO69" s="9"/>
    </row>
    <row r="70" spans="41:41" ht="9.75" customHeight="1" x14ac:dyDescent="0.15">
      <c r="AO70" s="9"/>
    </row>
    <row r="71" spans="41:41" ht="9.75" customHeight="1" x14ac:dyDescent="0.15">
      <c r="AO71" s="9"/>
    </row>
    <row r="72" spans="41:41" ht="9.75" customHeight="1" x14ac:dyDescent="0.15">
      <c r="AO72" s="9"/>
    </row>
    <row r="73" spans="41:41" ht="9.75" customHeight="1" x14ac:dyDescent="0.15">
      <c r="AO73" s="9"/>
    </row>
    <row r="74" spans="41:41" ht="9.75" customHeight="1" x14ac:dyDescent="0.15">
      <c r="AO74" s="9"/>
    </row>
    <row r="75" spans="41:41" ht="9.75" customHeight="1" x14ac:dyDescent="0.15">
      <c r="AO75" s="9"/>
    </row>
    <row r="76" spans="41:41" ht="9.75" customHeight="1" x14ac:dyDescent="0.15">
      <c r="AO76" s="9"/>
    </row>
    <row r="77" spans="41:41" ht="9.75" customHeight="1" x14ac:dyDescent="0.15">
      <c r="AO77" s="9"/>
    </row>
    <row r="78" spans="41:41" ht="9.75" customHeight="1" x14ac:dyDescent="0.15">
      <c r="AO78" s="9"/>
    </row>
    <row r="79" spans="41:41" ht="9.75" customHeight="1" x14ac:dyDescent="0.15">
      <c r="AO79" s="9"/>
    </row>
    <row r="80" spans="41:41" ht="9.75" customHeight="1" x14ac:dyDescent="0.15">
      <c r="AO80" s="9"/>
    </row>
    <row r="81" spans="41:41" ht="9.75" customHeight="1" x14ac:dyDescent="0.15">
      <c r="AO81" s="9"/>
    </row>
    <row r="82" spans="41:41" ht="9.75" customHeight="1" x14ac:dyDescent="0.15">
      <c r="AO82" s="9"/>
    </row>
    <row r="83" spans="41:41" ht="9.75" customHeight="1" x14ac:dyDescent="0.15">
      <c r="AO83" s="9"/>
    </row>
    <row r="84" spans="41:41" ht="9.75" customHeight="1" x14ac:dyDescent="0.15">
      <c r="AO84" s="9"/>
    </row>
    <row r="85" spans="41:41" ht="9.75" customHeight="1" x14ac:dyDescent="0.15">
      <c r="AO85" s="9"/>
    </row>
    <row r="86" spans="41:41" ht="9.75" customHeight="1" x14ac:dyDescent="0.15">
      <c r="AO86" s="9"/>
    </row>
    <row r="87" spans="41:41" ht="9.75" customHeight="1" x14ac:dyDescent="0.15">
      <c r="AO87" s="9"/>
    </row>
    <row r="88" spans="41:41" ht="9.75" customHeight="1" x14ac:dyDescent="0.15">
      <c r="AO88" s="9"/>
    </row>
    <row r="89" spans="41:41" ht="9.75" customHeight="1" x14ac:dyDescent="0.15">
      <c r="AO89" s="9"/>
    </row>
    <row r="90" spans="41:41" ht="9.75" customHeight="1" x14ac:dyDescent="0.15">
      <c r="AO90" s="9"/>
    </row>
    <row r="91" spans="41:41" ht="9.75" customHeight="1" x14ac:dyDescent="0.15">
      <c r="AO91" s="9"/>
    </row>
    <row r="92" spans="41:41" ht="9.75" customHeight="1" x14ac:dyDescent="0.15">
      <c r="AO92" s="9"/>
    </row>
    <row r="93" spans="41:41" ht="9.75" customHeight="1" x14ac:dyDescent="0.15">
      <c r="AO93" s="9"/>
    </row>
    <row r="94" spans="41:41" ht="9.75" customHeight="1" x14ac:dyDescent="0.15">
      <c r="AO94" s="9"/>
    </row>
    <row r="95" spans="41:41" ht="9.75" customHeight="1" x14ac:dyDescent="0.15">
      <c r="AO95" s="9"/>
    </row>
    <row r="96" spans="41:41" ht="9.75" customHeight="1" x14ac:dyDescent="0.15">
      <c r="AO96" s="9"/>
    </row>
    <row r="97" spans="41:41" ht="9.75" customHeight="1" x14ac:dyDescent="0.15">
      <c r="AO97" s="9"/>
    </row>
    <row r="98" spans="41:41" ht="9.75" customHeight="1" x14ac:dyDescent="0.15">
      <c r="AO98" s="9"/>
    </row>
    <row r="99" spans="41:41" ht="9.75" customHeight="1" x14ac:dyDescent="0.15">
      <c r="AO99" s="9"/>
    </row>
    <row r="100" spans="41:41" ht="9.75" customHeight="1" x14ac:dyDescent="0.15">
      <c r="AO100" s="9"/>
    </row>
    <row r="101" spans="41:41" ht="9.75" customHeight="1" x14ac:dyDescent="0.15">
      <c r="AO101" s="9"/>
    </row>
    <row r="102" spans="41:41" ht="9.75" customHeight="1" x14ac:dyDescent="0.15">
      <c r="AO102" s="9"/>
    </row>
    <row r="103" spans="41:41" ht="9.75" customHeight="1" x14ac:dyDescent="0.15">
      <c r="AO103" s="9"/>
    </row>
    <row r="104" spans="41:41" ht="9.75" customHeight="1" x14ac:dyDescent="0.15">
      <c r="AO104" s="9"/>
    </row>
    <row r="105" spans="41:41" ht="9.75" customHeight="1" x14ac:dyDescent="0.15">
      <c r="AO105" s="9"/>
    </row>
    <row r="106" spans="41:41" ht="9.75" customHeight="1" x14ac:dyDescent="0.15">
      <c r="AO106" s="9"/>
    </row>
    <row r="107" spans="41:41" ht="9.75" customHeight="1" x14ac:dyDescent="0.15">
      <c r="AO107" s="9"/>
    </row>
    <row r="108" spans="41:41" ht="9.75" customHeight="1" x14ac:dyDescent="0.15">
      <c r="AO108" s="9"/>
    </row>
    <row r="109" spans="41:41" ht="9.75" customHeight="1" x14ac:dyDescent="0.15">
      <c r="AO109" s="9"/>
    </row>
    <row r="110" spans="41:41" ht="9.75" customHeight="1" x14ac:dyDescent="0.15">
      <c r="AO110" s="9"/>
    </row>
    <row r="111" spans="41:41" ht="9.75" customHeight="1" x14ac:dyDescent="0.15">
      <c r="AO111" s="9"/>
    </row>
    <row r="112" spans="41:41" ht="9.75" customHeight="1" x14ac:dyDescent="0.15">
      <c r="AO112" s="9"/>
    </row>
    <row r="113" spans="41:41" ht="9.75" customHeight="1" x14ac:dyDescent="0.15">
      <c r="AO113" s="9"/>
    </row>
    <row r="114" spans="41:41" ht="9.75" customHeight="1" x14ac:dyDescent="0.15">
      <c r="AO114" s="9"/>
    </row>
  </sheetData>
  <phoneticPr fontId="2"/>
  <pageMargins left="0.25" right="0.25" top="0.75" bottom="0.75" header="0.3" footer="0.3"/>
  <pageSetup paperSize="9" scale="9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Views>
    <sheetView view="pageBreakPreview" zoomScale="85" zoomScaleNormal="85" zoomScaleSheetLayoutView="85" workbookViewId="0">
      <selection activeCell="F140" sqref="F140"/>
    </sheetView>
  </sheetViews>
  <sheetFormatPr defaultRowHeight="10.5" customHeight="1" x14ac:dyDescent="0.15"/>
  <cols>
    <col min="1" max="1" width="5" style="36" customWidth="1"/>
    <col min="2" max="2" width="3.125" style="31" customWidth="1"/>
    <col min="3" max="3" width="11.875" style="41" customWidth="1"/>
    <col min="4" max="4" width="7" style="31" customWidth="1"/>
    <col min="5" max="5" width="3.75" style="9" customWidth="1"/>
    <col min="6" max="7" width="6.375" style="31" customWidth="1"/>
    <col min="8" max="8" width="7.25" style="31" customWidth="1"/>
    <col min="9" max="9" width="5" style="36" customWidth="1"/>
    <col min="10" max="10" width="3.125" style="31" customWidth="1"/>
    <col min="11" max="11" width="11.875" style="31" customWidth="1"/>
    <col min="12" max="12" width="7" style="31" customWidth="1"/>
    <col min="13" max="13" width="3.75" style="9" customWidth="1"/>
    <col min="14" max="15" width="5.75" style="31" customWidth="1"/>
    <col min="16" max="16" width="7.25" style="31" customWidth="1"/>
    <col min="17" max="16384" width="9" style="31"/>
  </cols>
  <sheetData>
    <row r="1" spans="1:16" ht="23.25" customHeight="1" x14ac:dyDescent="0.15">
      <c r="A1" s="54" t="s">
        <v>80</v>
      </c>
      <c r="B1" s="54"/>
      <c r="C1" s="54"/>
      <c r="D1" s="54"/>
      <c r="E1" s="54"/>
      <c r="F1" s="54"/>
      <c r="G1" s="54"/>
      <c r="H1" s="54"/>
      <c r="I1" s="54"/>
      <c r="K1" s="32"/>
      <c r="M1" s="31"/>
      <c r="O1" s="58">
        <f>A3</f>
        <v>42370</v>
      </c>
      <c r="P1" s="58"/>
    </row>
    <row r="2" spans="1:16" s="44" customFormat="1" ht="21" customHeight="1" x14ac:dyDescent="0.15">
      <c r="A2" s="56" t="s">
        <v>89</v>
      </c>
      <c r="B2" s="57"/>
      <c r="C2" s="42" t="s">
        <v>87</v>
      </c>
      <c r="D2" s="43" t="s">
        <v>86</v>
      </c>
      <c r="E2" s="42" t="s">
        <v>88</v>
      </c>
      <c r="F2" s="42" t="s">
        <v>83</v>
      </c>
      <c r="G2" s="42" t="s">
        <v>84</v>
      </c>
      <c r="H2" s="42" t="s">
        <v>85</v>
      </c>
      <c r="I2" s="56" t="s">
        <v>89</v>
      </c>
      <c r="J2" s="57"/>
      <c r="K2" s="42" t="s">
        <v>87</v>
      </c>
      <c r="L2" s="43" t="s">
        <v>86</v>
      </c>
      <c r="M2" s="42" t="s">
        <v>88</v>
      </c>
      <c r="N2" s="42" t="s">
        <v>83</v>
      </c>
      <c r="O2" s="42" t="s">
        <v>84</v>
      </c>
      <c r="P2" s="42" t="s">
        <v>85</v>
      </c>
    </row>
    <row r="3" spans="1:16" ht="25.5" customHeight="1" x14ac:dyDescent="0.15">
      <c r="A3" s="53">
        <v>42370</v>
      </c>
      <c r="B3" s="45" t="str">
        <f>LEFT(TEXT(A3,"aaaa"),1)</f>
        <v>金</v>
      </c>
      <c r="C3" s="39"/>
      <c r="D3" s="14"/>
      <c r="E3" s="14" t="s">
        <v>81</v>
      </c>
      <c r="F3" s="14" t="s">
        <v>90</v>
      </c>
      <c r="G3" s="14" t="s">
        <v>90</v>
      </c>
      <c r="H3" s="25"/>
      <c r="I3" s="53">
        <f>A31+1</f>
        <v>42385</v>
      </c>
      <c r="J3" s="45" t="str">
        <f>LEFT(TEXT(I3,"aaaa"),1)</f>
        <v>土</v>
      </c>
      <c r="K3" s="34" t="str">
        <f>IF(C3="","",C3)</f>
        <v/>
      </c>
      <c r="L3" s="14"/>
      <c r="M3" s="14" t="s">
        <v>81</v>
      </c>
      <c r="N3" s="14" t="s">
        <v>90</v>
      </c>
      <c r="O3" s="14" t="s">
        <v>90</v>
      </c>
      <c r="P3" s="25"/>
    </row>
    <row r="4" spans="1:16" ht="25.5" customHeight="1" x14ac:dyDescent="0.15">
      <c r="A4" s="53"/>
      <c r="B4" s="45"/>
      <c r="C4" s="33"/>
      <c r="D4" s="14"/>
      <c r="E4" s="14" t="s">
        <v>82</v>
      </c>
      <c r="F4" s="14" t="s">
        <v>90</v>
      </c>
      <c r="G4" s="14" t="s">
        <v>90</v>
      </c>
      <c r="H4" s="25"/>
      <c r="I4" s="53"/>
      <c r="J4" s="45"/>
      <c r="K4" s="34" t="str">
        <f>IF(C4="","",C4)</f>
        <v/>
      </c>
      <c r="L4" s="14"/>
      <c r="M4" s="14" t="s">
        <v>82</v>
      </c>
      <c r="N4" s="14" t="s">
        <v>90</v>
      </c>
      <c r="O4" s="14" t="s">
        <v>90</v>
      </c>
      <c r="P4" s="25"/>
    </row>
    <row r="5" spans="1:16" ht="25.5" customHeight="1" x14ac:dyDescent="0.15">
      <c r="A5" s="53">
        <f>A3+1</f>
        <v>42371</v>
      </c>
      <c r="B5" s="45" t="str">
        <f>LEFT(TEXT(A5,"aaaa"),1)</f>
        <v>土</v>
      </c>
      <c r="C5" s="39" t="str">
        <f>IF(C3="","",C3)</f>
        <v/>
      </c>
      <c r="D5" s="14"/>
      <c r="E5" s="14" t="s">
        <v>81</v>
      </c>
      <c r="F5" s="14" t="s">
        <v>90</v>
      </c>
      <c r="G5" s="14" t="s">
        <v>90</v>
      </c>
      <c r="H5" s="25"/>
      <c r="I5" s="53">
        <f>I3+1</f>
        <v>42386</v>
      </c>
      <c r="J5" s="45" t="str">
        <f>LEFT(TEXT(I5,"aaaa"),1)</f>
        <v>日</v>
      </c>
      <c r="K5" s="14" t="str">
        <f t="shared" ref="K5:K34" si="0">IF(C5="","",C5)</f>
        <v/>
      </c>
      <c r="L5" s="14"/>
      <c r="M5" s="14" t="s">
        <v>81</v>
      </c>
      <c r="N5" s="14" t="s">
        <v>90</v>
      </c>
      <c r="O5" s="14" t="s">
        <v>90</v>
      </c>
      <c r="P5" s="25"/>
    </row>
    <row r="6" spans="1:16" ht="25.5" customHeight="1" x14ac:dyDescent="0.15">
      <c r="A6" s="53"/>
      <c r="B6" s="45"/>
      <c r="C6" s="39" t="str">
        <f>IF(C4="","",C4)</f>
        <v/>
      </c>
      <c r="D6" s="14"/>
      <c r="E6" s="14" t="s">
        <v>82</v>
      </c>
      <c r="F6" s="14" t="s">
        <v>90</v>
      </c>
      <c r="G6" s="14" t="s">
        <v>90</v>
      </c>
      <c r="H6" s="25"/>
      <c r="I6" s="53"/>
      <c r="J6" s="45"/>
      <c r="K6" s="14" t="str">
        <f t="shared" si="0"/>
        <v/>
      </c>
      <c r="L6" s="14"/>
      <c r="M6" s="14" t="s">
        <v>82</v>
      </c>
      <c r="N6" s="14" t="s">
        <v>90</v>
      </c>
      <c r="O6" s="14" t="s">
        <v>90</v>
      </c>
      <c r="P6" s="25"/>
    </row>
    <row r="7" spans="1:16" ht="25.5" customHeight="1" x14ac:dyDescent="0.15">
      <c r="A7" s="53">
        <f>A5+1</f>
        <v>42372</v>
      </c>
      <c r="B7" s="45" t="str">
        <f>LEFT(TEXT(A7,"aaaa"),1)</f>
        <v>日</v>
      </c>
      <c r="C7" s="39" t="str">
        <f t="shared" ref="C7:C32" si="1">IF(C5="","",C5)</f>
        <v/>
      </c>
      <c r="D7" s="14"/>
      <c r="E7" s="14" t="s">
        <v>81</v>
      </c>
      <c r="F7" s="14" t="s">
        <v>90</v>
      </c>
      <c r="G7" s="14" t="s">
        <v>90</v>
      </c>
      <c r="H7" s="25"/>
      <c r="I7" s="53">
        <f>I5+1</f>
        <v>42387</v>
      </c>
      <c r="J7" s="45" t="str">
        <f>LEFT(TEXT(I7,"aaaa"),1)</f>
        <v>月</v>
      </c>
      <c r="K7" s="14" t="str">
        <f t="shared" si="0"/>
        <v/>
      </c>
      <c r="L7" s="14"/>
      <c r="M7" s="14" t="s">
        <v>81</v>
      </c>
      <c r="N7" s="14" t="s">
        <v>90</v>
      </c>
      <c r="O7" s="14" t="s">
        <v>90</v>
      </c>
      <c r="P7" s="25"/>
    </row>
    <row r="8" spans="1:16" ht="25.5" customHeight="1" x14ac:dyDescent="0.15">
      <c r="A8" s="53"/>
      <c r="B8" s="45"/>
      <c r="C8" s="39" t="str">
        <f t="shared" si="1"/>
        <v/>
      </c>
      <c r="D8" s="14"/>
      <c r="E8" s="14" t="s">
        <v>82</v>
      </c>
      <c r="F8" s="14" t="s">
        <v>90</v>
      </c>
      <c r="G8" s="14" t="s">
        <v>90</v>
      </c>
      <c r="H8" s="25"/>
      <c r="I8" s="53"/>
      <c r="J8" s="45"/>
      <c r="K8" s="14" t="str">
        <f t="shared" si="0"/>
        <v/>
      </c>
      <c r="L8" s="14"/>
      <c r="M8" s="14" t="s">
        <v>82</v>
      </c>
      <c r="N8" s="14" t="s">
        <v>90</v>
      </c>
      <c r="O8" s="14" t="s">
        <v>90</v>
      </c>
      <c r="P8" s="25"/>
    </row>
    <row r="9" spans="1:16" ht="25.5" customHeight="1" x14ac:dyDescent="0.15">
      <c r="A9" s="53">
        <f>A7+1</f>
        <v>42373</v>
      </c>
      <c r="B9" s="45" t="str">
        <f>LEFT(TEXT(A9,"aaaa"),1)</f>
        <v>月</v>
      </c>
      <c r="C9" s="39" t="str">
        <f t="shared" si="1"/>
        <v/>
      </c>
      <c r="D9" s="14"/>
      <c r="E9" s="14" t="s">
        <v>81</v>
      </c>
      <c r="F9" s="14" t="s">
        <v>90</v>
      </c>
      <c r="G9" s="14" t="s">
        <v>90</v>
      </c>
      <c r="H9" s="25"/>
      <c r="I9" s="53">
        <f>I7+1</f>
        <v>42388</v>
      </c>
      <c r="J9" s="45" t="str">
        <f>LEFT(TEXT(I9,"aaaa"),1)</f>
        <v>火</v>
      </c>
      <c r="K9" s="14" t="str">
        <f t="shared" si="0"/>
        <v/>
      </c>
      <c r="L9" s="14"/>
      <c r="M9" s="14" t="s">
        <v>81</v>
      </c>
      <c r="N9" s="14" t="s">
        <v>90</v>
      </c>
      <c r="O9" s="14" t="s">
        <v>90</v>
      </c>
      <c r="P9" s="25"/>
    </row>
    <row r="10" spans="1:16" ht="25.5" customHeight="1" x14ac:dyDescent="0.15">
      <c r="A10" s="53"/>
      <c r="B10" s="45"/>
      <c r="C10" s="39" t="str">
        <f t="shared" si="1"/>
        <v/>
      </c>
      <c r="D10" s="14"/>
      <c r="E10" s="14" t="s">
        <v>82</v>
      </c>
      <c r="F10" s="14" t="s">
        <v>90</v>
      </c>
      <c r="G10" s="14" t="s">
        <v>90</v>
      </c>
      <c r="H10" s="25"/>
      <c r="I10" s="53"/>
      <c r="J10" s="45"/>
      <c r="K10" s="14" t="str">
        <f t="shared" si="0"/>
        <v/>
      </c>
      <c r="L10" s="14"/>
      <c r="M10" s="14" t="s">
        <v>82</v>
      </c>
      <c r="N10" s="14" t="s">
        <v>90</v>
      </c>
      <c r="O10" s="14" t="s">
        <v>90</v>
      </c>
      <c r="P10" s="25"/>
    </row>
    <row r="11" spans="1:16" ht="25.5" customHeight="1" x14ac:dyDescent="0.15">
      <c r="A11" s="53">
        <f>A9+1</f>
        <v>42374</v>
      </c>
      <c r="B11" s="45" t="str">
        <f>LEFT(TEXT(A11,"aaaa"),1)</f>
        <v>火</v>
      </c>
      <c r="C11" s="39" t="str">
        <f t="shared" si="1"/>
        <v/>
      </c>
      <c r="D11" s="14"/>
      <c r="E11" s="14" t="s">
        <v>81</v>
      </c>
      <c r="F11" s="14" t="s">
        <v>90</v>
      </c>
      <c r="G11" s="14" t="s">
        <v>90</v>
      </c>
      <c r="H11" s="25"/>
      <c r="I11" s="53">
        <f>I9+1</f>
        <v>42389</v>
      </c>
      <c r="J11" s="45" t="str">
        <f>LEFT(TEXT(I11,"aaaa"),1)</f>
        <v>水</v>
      </c>
      <c r="K11" s="14" t="str">
        <f t="shared" si="0"/>
        <v/>
      </c>
      <c r="L11" s="14"/>
      <c r="M11" s="14" t="s">
        <v>81</v>
      </c>
      <c r="N11" s="14" t="s">
        <v>90</v>
      </c>
      <c r="O11" s="14" t="s">
        <v>90</v>
      </c>
      <c r="P11" s="25"/>
    </row>
    <row r="12" spans="1:16" ht="25.5" customHeight="1" x14ac:dyDescent="0.15">
      <c r="A12" s="53"/>
      <c r="B12" s="45"/>
      <c r="C12" s="39" t="str">
        <f t="shared" si="1"/>
        <v/>
      </c>
      <c r="D12" s="14"/>
      <c r="E12" s="14" t="s">
        <v>82</v>
      </c>
      <c r="F12" s="14" t="s">
        <v>90</v>
      </c>
      <c r="G12" s="14" t="s">
        <v>90</v>
      </c>
      <c r="H12" s="25"/>
      <c r="I12" s="53"/>
      <c r="J12" s="45"/>
      <c r="K12" s="14" t="str">
        <f t="shared" si="0"/>
        <v/>
      </c>
      <c r="L12" s="14"/>
      <c r="M12" s="14" t="s">
        <v>82</v>
      </c>
      <c r="N12" s="14" t="s">
        <v>90</v>
      </c>
      <c r="O12" s="14" t="s">
        <v>90</v>
      </c>
      <c r="P12" s="25"/>
    </row>
    <row r="13" spans="1:16" ht="25.5" customHeight="1" x14ac:dyDescent="0.15">
      <c r="A13" s="53">
        <f>A11+1</f>
        <v>42375</v>
      </c>
      <c r="B13" s="45" t="str">
        <f>LEFT(TEXT(A13,"aaaa"),1)</f>
        <v>水</v>
      </c>
      <c r="C13" s="39" t="str">
        <f t="shared" si="1"/>
        <v/>
      </c>
      <c r="D13" s="14"/>
      <c r="E13" s="14" t="s">
        <v>81</v>
      </c>
      <c r="F13" s="14" t="s">
        <v>90</v>
      </c>
      <c r="G13" s="14" t="s">
        <v>90</v>
      </c>
      <c r="H13" s="25"/>
      <c r="I13" s="53">
        <f>I11+1</f>
        <v>42390</v>
      </c>
      <c r="J13" s="45" t="str">
        <f>LEFT(TEXT(I13,"aaaa"),1)</f>
        <v>木</v>
      </c>
      <c r="K13" s="14" t="str">
        <f t="shared" si="0"/>
        <v/>
      </c>
      <c r="L13" s="14"/>
      <c r="M13" s="14" t="s">
        <v>81</v>
      </c>
      <c r="N13" s="14" t="s">
        <v>90</v>
      </c>
      <c r="O13" s="14" t="s">
        <v>90</v>
      </c>
      <c r="P13" s="25"/>
    </row>
    <row r="14" spans="1:16" ht="25.5" customHeight="1" x14ac:dyDescent="0.15">
      <c r="A14" s="53"/>
      <c r="B14" s="45"/>
      <c r="C14" s="39" t="str">
        <f t="shared" si="1"/>
        <v/>
      </c>
      <c r="D14" s="14"/>
      <c r="E14" s="14" t="s">
        <v>82</v>
      </c>
      <c r="F14" s="14" t="s">
        <v>90</v>
      </c>
      <c r="G14" s="14" t="s">
        <v>90</v>
      </c>
      <c r="H14" s="25"/>
      <c r="I14" s="53"/>
      <c r="J14" s="45"/>
      <c r="K14" s="14" t="str">
        <f t="shared" si="0"/>
        <v/>
      </c>
      <c r="L14" s="14"/>
      <c r="M14" s="14" t="s">
        <v>82</v>
      </c>
      <c r="N14" s="14" t="s">
        <v>90</v>
      </c>
      <c r="O14" s="14" t="s">
        <v>90</v>
      </c>
      <c r="P14" s="25"/>
    </row>
    <row r="15" spans="1:16" ht="25.5" customHeight="1" x14ac:dyDescent="0.15">
      <c r="A15" s="53">
        <f>A13+1</f>
        <v>42376</v>
      </c>
      <c r="B15" s="45" t="str">
        <f>LEFT(TEXT(A15,"aaaa"),1)</f>
        <v>木</v>
      </c>
      <c r="C15" s="39" t="str">
        <f t="shared" si="1"/>
        <v/>
      </c>
      <c r="D15" s="14"/>
      <c r="E15" s="14" t="s">
        <v>81</v>
      </c>
      <c r="F15" s="14" t="s">
        <v>90</v>
      </c>
      <c r="G15" s="14" t="s">
        <v>90</v>
      </c>
      <c r="H15" s="25"/>
      <c r="I15" s="53">
        <f>I13+1</f>
        <v>42391</v>
      </c>
      <c r="J15" s="45" t="str">
        <f>LEFT(TEXT(I15,"aaaa"),1)</f>
        <v>金</v>
      </c>
      <c r="K15" s="14" t="str">
        <f t="shared" si="0"/>
        <v/>
      </c>
      <c r="L15" s="14"/>
      <c r="M15" s="14" t="s">
        <v>81</v>
      </c>
      <c r="N15" s="14" t="s">
        <v>90</v>
      </c>
      <c r="O15" s="14" t="s">
        <v>90</v>
      </c>
      <c r="P15" s="25"/>
    </row>
    <row r="16" spans="1:16" ht="25.5" customHeight="1" x14ac:dyDescent="0.15">
      <c r="A16" s="53"/>
      <c r="B16" s="45"/>
      <c r="C16" s="39" t="str">
        <f t="shared" si="1"/>
        <v/>
      </c>
      <c r="D16" s="14"/>
      <c r="E16" s="14" t="s">
        <v>82</v>
      </c>
      <c r="F16" s="14" t="s">
        <v>90</v>
      </c>
      <c r="G16" s="14" t="s">
        <v>90</v>
      </c>
      <c r="H16" s="25"/>
      <c r="I16" s="53"/>
      <c r="J16" s="45"/>
      <c r="K16" s="14" t="str">
        <f t="shared" si="0"/>
        <v/>
      </c>
      <c r="L16" s="14"/>
      <c r="M16" s="14" t="s">
        <v>82</v>
      </c>
      <c r="N16" s="14" t="s">
        <v>90</v>
      </c>
      <c r="O16" s="14" t="s">
        <v>90</v>
      </c>
      <c r="P16" s="25"/>
    </row>
    <row r="17" spans="1:16" ht="25.5" customHeight="1" x14ac:dyDescent="0.15">
      <c r="A17" s="53">
        <f>A15+1</f>
        <v>42377</v>
      </c>
      <c r="B17" s="45" t="str">
        <f>LEFT(TEXT(A17,"aaaa"),1)</f>
        <v>金</v>
      </c>
      <c r="C17" s="39" t="str">
        <f t="shared" si="1"/>
        <v/>
      </c>
      <c r="D17" s="14"/>
      <c r="E17" s="14" t="s">
        <v>81</v>
      </c>
      <c r="F17" s="14" t="s">
        <v>90</v>
      </c>
      <c r="G17" s="14" t="s">
        <v>90</v>
      </c>
      <c r="H17" s="25"/>
      <c r="I17" s="53">
        <f>I15+1</f>
        <v>42392</v>
      </c>
      <c r="J17" s="45" t="str">
        <f>LEFT(TEXT(I17,"aaaa"),1)</f>
        <v>土</v>
      </c>
      <c r="K17" s="14" t="str">
        <f t="shared" si="0"/>
        <v/>
      </c>
      <c r="L17" s="14"/>
      <c r="M17" s="14" t="s">
        <v>81</v>
      </c>
      <c r="N17" s="14" t="s">
        <v>90</v>
      </c>
      <c r="O17" s="14" t="s">
        <v>90</v>
      </c>
      <c r="P17" s="25"/>
    </row>
    <row r="18" spans="1:16" ht="25.5" customHeight="1" x14ac:dyDescent="0.15">
      <c r="A18" s="53"/>
      <c r="B18" s="45"/>
      <c r="C18" s="39" t="str">
        <f t="shared" si="1"/>
        <v/>
      </c>
      <c r="D18" s="14"/>
      <c r="E18" s="14" t="s">
        <v>82</v>
      </c>
      <c r="F18" s="14" t="s">
        <v>90</v>
      </c>
      <c r="G18" s="14" t="s">
        <v>90</v>
      </c>
      <c r="H18" s="25"/>
      <c r="I18" s="53"/>
      <c r="J18" s="45"/>
      <c r="K18" s="14" t="str">
        <f t="shared" si="0"/>
        <v/>
      </c>
      <c r="L18" s="14"/>
      <c r="M18" s="14" t="s">
        <v>82</v>
      </c>
      <c r="N18" s="14" t="s">
        <v>90</v>
      </c>
      <c r="O18" s="14" t="s">
        <v>90</v>
      </c>
      <c r="P18" s="25"/>
    </row>
    <row r="19" spans="1:16" ht="25.5" customHeight="1" x14ac:dyDescent="0.15">
      <c r="A19" s="53">
        <f>A17+1</f>
        <v>42378</v>
      </c>
      <c r="B19" s="45" t="str">
        <f>LEFT(TEXT(A19,"aaaa"),1)</f>
        <v>土</v>
      </c>
      <c r="C19" s="39" t="str">
        <f t="shared" si="1"/>
        <v/>
      </c>
      <c r="D19" s="14"/>
      <c r="E19" s="14" t="s">
        <v>81</v>
      </c>
      <c r="F19" s="14" t="s">
        <v>90</v>
      </c>
      <c r="G19" s="14" t="s">
        <v>90</v>
      </c>
      <c r="H19" s="25"/>
      <c r="I19" s="53">
        <f>I17+1</f>
        <v>42393</v>
      </c>
      <c r="J19" s="45" t="str">
        <f>LEFT(TEXT(I19,"aaaa"),1)</f>
        <v>日</v>
      </c>
      <c r="K19" s="14" t="str">
        <f t="shared" si="0"/>
        <v/>
      </c>
      <c r="L19" s="14"/>
      <c r="M19" s="14" t="s">
        <v>81</v>
      </c>
      <c r="N19" s="14" t="s">
        <v>90</v>
      </c>
      <c r="O19" s="14" t="s">
        <v>90</v>
      </c>
      <c r="P19" s="25"/>
    </row>
    <row r="20" spans="1:16" ht="25.5" customHeight="1" x14ac:dyDescent="0.15">
      <c r="A20" s="53"/>
      <c r="B20" s="45"/>
      <c r="C20" s="39" t="str">
        <f t="shared" si="1"/>
        <v/>
      </c>
      <c r="D20" s="14"/>
      <c r="E20" s="14" t="s">
        <v>82</v>
      </c>
      <c r="F20" s="14" t="s">
        <v>90</v>
      </c>
      <c r="G20" s="14" t="s">
        <v>90</v>
      </c>
      <c r="H20" s="25"/>
      <c r="I20" s="53"/>
      <c r="J20" s="45"/>
      <c r="K20" s="14" t="str">
        <f t="shared" si="0"/>
        <v/>
      </c>
      <c r="L20" s="14"/>
      <c r="M20" s="14" t="s">
        <v>82</v>
      </c>
      <c r="N20" s="14" t="s">
        <v>90</v>
      </c>
      <c r="O20" s="14" t="s">
        <v>90</v>
      </c>
      <c r="P20" s="25"/>
    </row>
    <row r="21" spans="1:16" ht="25.5" customHeight="1" x14ac:dyDescent="0.15">
      <c r="A21" s="53">
        <f>A19+1</f>
        <v>42379</v>
      </c>
      <c r="B21" s="45" t="str">
        <f>LEFT(TEXT(A21,"aaaa"),1)</f>
        <v>日</v>
      </c>
      <c r="C21" s="39" t="str">
        <f t="shared" si="1"/>
        <v/>
      </c>
      <c r="D21" s="14"/>
      <c r="E21" s="14" t="s">
        <v>81</v>
      </c>
      <c r="F21" s="14" t="s">
        <v>90</v>
      </c>
      <c r="G21" s="14" t="s">
        <v>90</v>
      </c>
      <c r="H21" s="25"/>
      <c r="I21" s="53">
        <f>I19+1</f>
        <v>42394</v>
      </c>
      <c r="J21" s="45" t="str">
        <f>LEFT(TEXT(I21,"aaaa"),1)</f>
        <v>月</v>
      </c>
      <c r="K21" s="14" t="str">
        <f t="shared" si="0"/>
        <v/>
      </c>
      <c r="L21" s="14"/>
      <c r="M21" s="14" t="s">
        <v>81</v>
      </c>
      <c r="N21" s="14" t="s">
        <v>90</v>
      </c>
      <c r="O21" s="14" t="s">
        <v>90</v>
      </c>
      <c r="P21" s="25"/>
    </row>
    <row r="22" spans="1:16" ht="25.5" customHeight="1" x14ac:dyDescent="0.15">
      <c r="A22" s="53"/>
      <c r="B22" s="45"/>
      <c r="C22" s="39" t="str">
        <f t="shared" si="1"/>
        <v/>
      </c>
      <c r="D22" s="14"/>
      <c r="E22" s="14" t="s">
        <v>82</v>
      </c>
      <c r="F22" s="14" t="s">
        <v>90</v>
      </c>
      <c r="G22" s="14" t="s">
        <v>90</v>
      </c>
      <c r="H22" s="25"/>
      <c r="I22" s="53"/>
      <c r="J22" s="45"/>
      <c r="K22" s="14" t="str">
        <f t="shared" si="0"/>
        <v/>
      </c>
      <c r="L22" s="14"/>
      <c r="M22" s="14" t="s">
        <v>82</v>
      </c>
      <c r="N22" s="14" t="s">
        <v>90</v>
      </c>
      <c r="O22" s="14" t="s">
        <v>90</v>
      </c>
      <c r="P22" s="25"/>
    </row>
    <row r="23" spans="1:16" ht="25.5" customHeight="1" x14ac:dyDescent="0.15">
      <c r="A23" s="53">
        <f>A21+1</f>
        <v>42380</v>
      </c>
      <c r="B23" s="45" t="str">
        <f>LEFT(TEXT(A23,"aaaa"),1)</f>
        <v>月</v>
      </c>
      <c r="C23" s="39" t="str">
        <f t="shared" si="1"/>
        <v/>
      </c>
      <c r="D23" s="14"/>
      <c r="E23" s="14" t="s">
        <v>81</v>
      </c>
      <c r="F23" s="14" t="s">
        <v>90</v>
      </c>
      <c r="G23" s="14" t="s">
        <v>90</v>
      </c>
      <c r="H23" s="25"/>
      <c r="I23" s="53">
        <f>I21+1</f>
        <v>42395</v>
      </c>
      <c r="J23" s="45" t="str">
        <f>LEFT(TEXT(I23,"aaaa"),1)</f>
        <v>火</v>
      </c>
      <c r="K23" s="14" t="str">
        <f t="shared" si="0"/>
        <v/>
      </c>
      <c r="L23" s="14"/>
      <c r="M23" s="14" t="s">
        <v>81</v>
      </c>
      <c r="N23" s="14" t="s">
        <v>90</v>
      </c>
      <c r="O23" s="14" t="s">
        <v>90</v>
      </c>
      <c r="P23" s="25"/>
    </row>
    <row r="24" spans="1:16" ht="25.5" customHeight="1" x14ac:dyDescent="0.15">
      <c r="A24" s="53"/>
      <c r="B24" s="45"/>
      <c r="C24" s="39" t="str">
        <f t="shared" si="1"/>
        <v/>
      </c>
      <c r="D24" s="14"/>
      <c r="E24" s="14" t="s">
        <v>82</v>
      </c>
      <c r="F24" s="14" t="s">
        <v>90</v>
      </c>
      <c r="G24" s="14" t="s">
        <v>90</v>
      </c>
      <c r="H24" s="25"/>
      <c r="I24" s="53"/>
      <c r="J24" s="45"/>
      <c r="K24" s="14" t="str">
        <f t="shared" si="0"/>
        <v/>
      </c>
      <c r="L24" s="14"/>
      <c r="M24" s="14" t="s">
        <v>82</v>
      </c>
      <c r="N24" s="14" t="s">
        <v>90</v>
      </c>
      <c r="O24" s="14" t="s">
        <v>90</v>
      </c>
      <c r="P24" s="25"/>
    </row>
    <row r="25" spans="1:16" ht="25.5" customHeight="1" x14ac:dyDescent="0.15">
      <c r="A25" s="53">
        <f>A23+1</f>
        <v>42381</v>
      </c>
      <c r="B25" s="45" t="str">
        <f>LEFT(TEXT(A25,"aaaa"),1)</f>
        <v>火</v>
      </c>
      <c r="C25" s="39" t="str">
        <f t="shared" si="1"/>
        <v/>
      </c>
      <c r="D25" s="14"/>
      <c r="E25" s="14" t="s">
        <v>81</v>
      </c>
      <c r="F25" s="14" t="s">
        <v>90</v>
      </c>
      <c r="G25" s="14" t="s">
        <v>90</v>
      </c>
      <c r="H25" s="25"/>
      <c r="I25" s="53">
        <f>I23+1</f>
        <v>42396</v>
      </c>
      <c r="J25" s="45" t="str">
        <f>LEFT(TEXT(I25,"aaaa"),1)</f>
        <v>水</v>
      </c>
      <c r="K25" s="14" t="str">
        <f t="shared" si="0"/>
        <v/>
      </c>
      <c r="L25" s="14"/>
      <c r="M25" s="14" t="s">
        <v>81</v>
      </c>
      <c r="N25" s="14" t="s">
        <v>90</v>
      </c>
      <c r="O25" s="14" t="s">
        <v>90</v>
      </c>
      <c r="P25" s="25"/>
    </row>
    <row r="26" spans="1:16" ht="25.5" customHeight="1" x14ac:dyDescent="0.15">
      <c r="A26" s="53"/>
      <c r="B26" s="45"/>
      <c r="C26" s="39" t="str">
        <f t="shared" si="1"/>
        <v/>
      </c>
      <c r="D26" s="14"/>
      <c r="E26" s="14" t="s">
        <v>82</v>
      </c>
      <c r="F26" s="14" t="s">
        <v>90</v>
      </c>
      <c r="G26" s="14" t="s">
        <v>90</v>
      </c>
      <c r="H26" s="25"/>
      <c r="I26" s="53"/>
      <c r="J26" s="45"/>
      <c r="K26" s="14" t="str">
        <f t="shared" si="0"/>
        <v/>
      </c>
      <c r="L26" s="14"/>
      <c r="M26" s="14" t="s">
        <v>82</v>
      </c>
      <c r="N26" s="14" t="s">
        <v>90</v>
      </c>
      <c r="O26" s="14" t="s">
        <v>90</v>
      </c>
      <c r="P26" s="25"/>
    </row>
    <row r="27" spans="1:16" ht="25.5" customHeight="1" x14ac:dyDescent="0.15">
      <c r="A27" s="53">
        <f>A25+1</f>
        <v>42382</v>
      </c>
      <c r="B27" s="45" t="str">
        <f>LEFT(TEXT(A27,"aaaa"),1)</f>
        <v>水</v>
      </c>
      <c r="C27" s="39" t="str">
        <f t="shared" si="1"/>
        <v/>
      </c>
      <c r="D27" s="14"/>
      <c r="E27" s="14" t="s">
        <v>81</v>
      </c>
      <c r="F27" s="14" t="s">
        <v>90</v>
      </c>
      <c r="G27" s="14" t="s">
        <v>90</v>
      </c>
      <c r="H27" s="25"/>
      <c r="I27" s="53">
        <f>I25+1</f>
        <v>42397</v>
      </c>
      <c r="J27" s="45" t="str">
        <f>LEFT(TEXT(I27,"aaaa"),1)</f>
        <v>木</v>
      </c>
      <c r="K27" s="14" t="str">
        <f t="shared" si="0"/>
        <v/>
      </c>
      <c r="L27" s="14"/>
      <c r="M27" s="14" t="s">
        <v>81</v>
      </c>
      <c r="N27" s="14" t="s">
        <v>90</v>
      </c>
      <c r="O27" s="14" t="s">
        <v>90</v>
      </c>
      <c r="P27" s="25"/>
    </row>
    <row r="28" spans="1:16" ht="25.5" customHeight="1" x14ac:dyDescent="0.15">
      <c r="A28" s="53"/>
      <c r="B28" s="45"/>
      <c r="C28" s="39" t="str">
        <f t="shared" si="1"/>
        <v/>
      </c>
      <c r="D28" s="14"/>
      <c r="E28" s="14" t="s">
        <v>82</v>
      </c>
      <c r="F28" s="14" t="s">
        <v>90</v>
      </c>
      <c r="G28" s="14" t="s">
        <v>90</v>
      </c>
      <c r="H28" s="25"/>
      <c r="I28" s="53"/>
      <c r="J28" s="45"/>
      <c r="K28" s="14" t="str">
        <f t="shared" si="0"/>
        <v/>
      </c>
      <c r="L28" s="14"/>
      <c r="M28" s="14" t="s">
        <v>82</v>
      </c>
      <c r="N28" s="14" t="s">
        <v>90</v>
      </c>
      <c r="O28" s="14" t="s">
        <v>90</v>
      </c>
      <c r="P28" s="25"/>
    </row>
    <row r="29" spans="1:16" ht="25.5" customHeight="1" x14ac:dyDescent="0.15">
      <c r="A29" s="53">
        <f>A27+1</f>
        <v>42383</v>
      </c>
      <c r="B29" s="45" t="str">
        <f>LEFT(TEXT(A29,"aaaa"),1)</f>
        <v>木</v>
      </c>
      <c r="C29" s="39" t="str">
        <f t="shared" si="1"/>
        <v/>
      </c>
      <c r="D29" s="14"/>
      <c r="E29" s="14" t="s">
        <v>81</v>
      </c>
      <c r="F29" s="14" t="s">
        <v>90</v>
      </c>
      <c r="G29" s="14" t="s">
        <v>90</v>
      </c>
      <c r="H29" s="25"/>
      <c r="I29" s="53">
        <f>I27+1</f>
        <v>42398</v>
      </c>
      <c r="J29" s="45" t="str">
        <f>LEFT(TEXT(I29,"aaaa"),1)</f>
        <v>金</v>
      </c>
      <c r="K29" s="14" t="str">
        <f t="shared" si="0"/>
        <v/>
      </c>
      <c r="L29" s="14"/>
      <c r="M29" s="14" t="s">
        <v>81</v>
      </c>
      <c r="N29" s="14" t="s">
        <v>90</v>
      </c>
      <c r="O29" s="14" t="s">
        <v>90</v>
      </c>
      <c r="P29" s="25"/>
    </row>
    <row r="30" spans="1:16" ht="25.5" customHeight="1" x14ac:dyDescent="0.15">
      <c r="A30" s="53"/>
      <c r="B30" s="45"/>
      <c r="C30" s="39" t="str">
        <f t="shared" si="1"/>
        <v/>
      </c>
      <c r="D30" s="14"/>
      <c r="E30" s="14" t="s">
        <v>82</v>
      </c>
      <c r="F30" s="14" t="s">
        <v>90</v>
      </c>
      <c r="G30" s="14" t="s">
        <v>90</v>
      </c>
      <c r="H30" s="25"/>
      <c r="I30" s="53"/>
      <c r="J30" s="45"/>
      <c r="K30" s="14" t="str">
        <f t="shared" si="0"/>
        <v/>
      </c>
      <c r="L30" s="14"/>
      <c r="M30" s="14" t="s">
        <v>82</v>
      </c>
      <c r="N30" s="14" t="s">
        <v>90</v>
      </c>
      <c r="O30" s="14" t="s">
        <v>90</v>
      </c>
      <c r="P30" s="25"/>
    </row>
    <row r="31" spans="1:16" ht="25.5" customHeight="1" x14ac:dyDescent="0.15">
      <c r="A31" s="53">
        <f>A29+1</f>
        <v>42384</v>
      </c>
      <c r="B31" s="45" t="str">
        <f>LEFT(TEXT(A31,"aaaa"),1)</f>
        <v>金</v>
      </c>
      <c r="C31" s="39" t="str">
        <f t="shared" si="1"/>
        <v/>
      </c>
      <c r="D31" s="14"/>
      <c r="E31" s="14" t="s">
        <v>81</v>
      </c>
      <c r="F31" s="14" t="s">
        <v>90</v>
      </c>
      <c r="G31" s="14" t="s">
        <v>90</v>
      </c>
      <c r="H31" s="25"/>
      <c r="I31" s="53">
        <f>I29+1</f>
        <v>42399</v>
      </c>
      <c r="J31" s="45" t="str">
        <f>LEFT(TEXT(I31,"aaaa"),1)</f>
        <v>土</v>
      </c>
      <c r="K31" s="14" t="str">
        <f t="shared" si="0"/>
        <v/>
      </c>
      <c r="L31" s="14"/>
      <c r="M31" s="14" t="s">
        <v>81</v>
      </c>
      <c r="N31" s="14" t="s">
        <v>90</v>
      </c>
      <c r="O31" s="14" t="s">
        <v>90</v>
      </c>
      <c r="P31" s="25"/>
    </row>
    <row r="32" spans="1:16" ht="25.5" customHeight="1" x14ac:dyDescent="0.15">
      <c r="A32" s="53"/>
      <c r="B32" s="45"/>
      <c r="C32" s="39" t="str">
        <f t="shared" si="1"/>
        <v/>
      </c>
      <c r="D32" s="14"/>
      <c r="E32" s="14" t="s">
        <v>82</v>
      </c>
      <c r="F32" s="14" t="s">
        <v>90</v>
      </c>
      <c r="G32" s="14" t="s">
        <v>90</v>
      </c>
      <c r="H32" s="25"/>
      <c r="I32" s="53"/>
      <c r="J32" s="45"/>
      <c r="K32" s="14" t="str">
        <f t="shared" si="0"/>
        <v/>
      </c>
      <c r="L32" s="14"/>
      <c r="M32" s="14" t="s">
        <v>82</v>
      </c>
      <c r="N32" s="14" t="s">
        <v>90</v>
      </c>
      <c r="O32" s="14" t="s">
        <v>90</v>
      </c>
      <c r="P32" s="25"/>
    </row>
    <row r="33" spans="1:16" ht="25.5" customHeight="1" x14ac:dyDescent="0.15">
      <c r="A33" s="35"/>
      <c r="B33" s="25"/>
      <c r="C33" s="40"/>
      <c r="D33" s="25"/>
      <c r="E33" s="14"/>
      <c r="F33" s="14" t="s">
        <v>90</v>
      </c>
      <c r="G33" s="14" t="s">
        <v>90</v>
      </c>
      <c r="H33" s="25"/>
      <c r="I33" s="53">
        <f>I31+1</f>
        <v>42400</v>
      </c>
      <c r="J33" s="25"/>
      <c r="K33" s="25" t="str">
        <f t="shared" si="0"/>
        <v/>
      </c>
      <c r="L33" s="25"/>
      <c r="M33" s="14" t="s">
        <v>81</v>
      </c>
      <c r="N33" s="14" t="s">
        <v>90</v>
      </c>
      <c r="O33" s="14" t="s">
        <v>90</v>
      </c>
      <c r="P33" s="25"/>
    </row>
    <row r="34" spans="1:16" ht="25.5" customHeight="1" x14ac:dyDescent="0.15">
      <c r="A34" s="35"/>
      <c r="B34" s="25"/>
      <c r="C34" s="40"/>
      <c r="D34" s="25"/>
      <c r="E34" s="14"/>
      <c r="F34" s="14" t="s">
        <v>90</v>
      </c>
      <c r="G34" s="14" t="s">
        <v>90</v>
      </c>
      <c r="H34" s="25"/>
      <c r="I34" s="53"/>
      <c r="J34" s="25"/>
      <c r="K34" s="25" t="str">
        <f t="shared" si="0"/>
        <v/>
      </c>
      <c r="L34" s="25"/>
      <c r="M34" s="14" t="s">
        <v>82</v>
      </c>
      <c r="N34" s="14" t="s">
        <v>90</v>
      </c>
      <c r="O34" s="14" t="s">
        <v>90</v>
      </c>
      <c r="P34" s="25"/>
    </row>
    <row r="35" spans="1:16" ht="18" customHeight="1" x14ac:dyDescent="0.15">
      <c r="A35" s="54" t="s">
        <v>80</v>
      </c>
      <c r="B35" s="54"/>
      <c r="C35" s="54"/>
      <c r="D35" s="54"/>
      <c r="E35" s="54"/>
      <c r="F35" s="54"/>
      <c r="G35" s="54"/>
      <c r="H35" s="54"/>
      <c r="I35" s="54"/>
      <c r="K35" s="32"/>
      <c r="M35" s="31"/>
      <c r="O35" s="55">
        <f>A37</f>
        <v>42370</v>
      </c>
      <c r="P35" s="55"/>
    </row>
    <row r="36" spans="1:16" s="44" customFormat="1" ht="21" customHeight="1" x14ac:dyDescent="0.15">
      <c r="A36" s="56" t="s">
        <v>89</v>
      </c>
      <c r="B36" s="57"/>
      <c r="C36" s="42" t="s">
        <v>87</v>
      </c>
      <c r="D36" s="43" t="s">
        <v>86</v>
      </c>
      <c r="E36" s="42" t="s">
        <v>88</v>
      </c>
      <c r="F36" s="42" t="s">
        <v>83</v>
      </c>
      <c r="G36" s="42" t="s">
        <v>84</v>
      </c>
      <c r="H36" s="42" t="s">
        <v>85</v>
      </c>
      <c r="I36" s="56" t="s">
        <v>89</v>
      </c>
      <c r="J36" s="57"/>
      <c r="K36" s="42" t="s">
        <v>87</v>
      </c>
      <c r="L36" s="43" t="s">
        <v>86</v>
      </c>
      <c r="M36" s="42" t="s">
        <v>88</v>
      </c>
      <c r="N36" s="42" t="s">
        <v>83</v>
      </c>
      <c r="O36" s="42" t="s">
        <v>84</v>
      </c>
      <c r="P36" s="42" t="s">
        <v>85</v>
      </c>
    </row>
    <row r="37" spans="1:16" ht="25.5" customHeight="1" x14ac:dyDescent="0.15">
      <c r="A37" s="53">
        <f>A3</f>
        <v>42370</v>
      </c>
      <c r="B37" s="45" t="str">
        <f>LEFT(TEXT(A37,"aaaa"),1)</f>
        <v>金</v>
      </c>
      <c r="C37" s="39"/>
      <c r="D37" s="14"/>
      <c r="E37" s="14" t="s">
        <v>81</v>
      </c>
      <c r="F37" s="14" t="s">
        <v>90</v>
      </c>
      <c r="G37" s="14" t="s">
        <v>90</v>
      </c>
      <c r="H37" s="25"/>
      <c r="I37" s="53">
        <f>I3</f>
        <v>42385</v>
      </c>
      <c r="J37" s="45" t="str">
        <f>LEFT(TEXT(I37,"aaaa"),1)</f>
        <v>土</v>
      </c>
      <c r="K37" s="34" t="str">
        <f>IF(C37="","",C37)</f>
        <v/>
      </c>
      <c r="L37" s="14"/>
      <c r="M37" s="14" t="s">
        <v>81</v>
      </c>
      <c r="N37" s="14" t="s">
        <v>90</v>
      </c>
      <c r="O37" s="14" t="s">
        <v>90</v>
      </c>
      <c r="P37" s="25"/>
    </row>
    <row r="38" spans="1:16" ht="25.5" customHeight="1" x14ac:dyDescent="0.15">
      <c r="A38" s="53"/>
      <c r="B38" s="45"/>
      <c r="C38" s="33"/>
      <c r="D38" s="14"/>
      <c r="E38" s="14" t="s">
        <v>82</v>
      </c>
      <c r="F38" s="14" t="s">
        <v>90</v>
      </c>
      <c r="G38" s="14" t="s">
        <v>90</v>
      </c>
      <c r="H38" s="25"/>
      <c r="I38" s="53"/>
      <c r="J38" s="45"/>
      <c r="K38" s="34" t="str">
        <f>IF(C38="","",C38)</f>
        <v/>
      </c>
      <c r="L38" s="14"/>
      <c r="M38" s="14" t="s">
        <v>82</v>
      </c>
      <c r="N38" s="14" t="s">
        <v>90</v>
      </c>
      <c r="O38" s="14" t="s">
        <v>90</v>
      </c>
      <c r="P38" s="25"/>
    </row>
    <row r="39" spans="1:16" ht="25.5" customHeight="1" x14ac:dyDescent="0.15">
      <c r="A39" s="53">
        <f>A5</f>
        <v>42371</v>
      </c>
      <c r="B39" s="45" t="str">
        <f>LEFT(TEXT(A39,"aaaa"),1)</f>
        <v>土</v>
      </c>
      <c r="C39" s="39" t="str">
        <f>IF(C37="","",C37)</f>
        <v/>
      </c>
      <c r="D39" s="14"/>
      <c r="E39" s="14"/>
      <c r="F39" s="14" t="s">
        <v>90</v>
      </c>
      <c r="G39" s="14" t="s">
        <v>90</v>
      </c>
      <c r="H39" s="25"/>
      <c r="I39" s="53">
        <f>I5</f>
        <v>42386</v>
      </c>
      <c r="J39" s="45" t="str">
        <f>LEFT(TEXT(I39,"aaaa"),1)</f>
        <v>日</v>
      </c>
      <c r="K39" s="39" t="str">
        <f>IF(K37="","",K37)</f>
        <v/>
      </c>
      <c r="L39" s="14"/>
      <c r="M39" s="14"/>
      <c r="N39" s="14" t="s">
        <v>90</v>
      </c>
      <c r="O39" s="14" t="s">
        <v>90</v>
      </c>
      <c r="P39" s="25"/>
    </row>
    <row r="40" spans="1:16" ht="25.5" customHeight="1" x14ac:dyDescent="0.15">
      <c r="A40" s="53"/>
      <c r="B40" s="45"/>
      <c r="C40" s="39" t="str">
        <f>IF(C38="","",C38)</f>
        <v/>
      </c>
      <c r="D40" s="14"/>
      <c r="E40" s="14"/>
      <c r="F40" s="14" t="s">
        <v>90</v>
      </c>
      <c r="G40" s="14" t="s">
        <v>90</v>
      </c>
      <c r="H40" s="25"/>
      <c r="I40" s="53"/>
      <c r="J40" s="45"/>
      <c r="K40" s="39" t="str">
        <f>IF(K38="","",K38)</f>
        <v/>
      </c>
      <c r="L40" s="14"/>
      <c r="M40" s="14"/>
      <c r="N40" s="14" t="s">
        <v>90</v>
      </c>
      <c r="O40" s="14" t="s">
        <v>90</v>
      </c>
      <c r="P40" s="25"/>
    </row>
    <row r="41" spans="1:16" ht="25.5" customHeight="1" x14ac:dyDescent="0.15">
      <c r="A41" s="53">
        <f>A7</f>
        <v>42372</v>
      </c>
      <c r="B41" s="45" t="str">
        <f>LEFT(TEXT(A41,"aaaa"),1)</f>
        <v>日</v>
      </c>
      <c r="C41" s="39" t="str">
        <f t="shared" ref="C41:C66" si="2">IF(C39="","",C39)</f>
        <v/>
      </c>
      <c r="D41" s="14"/>
      <c r="E41" s="14"/>
      <c r="F41" s="14" t="s">
        <v>90</v>
      </c>
      <c r="G41" s="14" t="s">
        <v>90</v>
      </c>
      <c r="H41" s="25"/>
      <c r="I41" s="53">
        <f>I7</f>
        <v>42387</v>
      </c>
      <c r="J41" s="45" t="str">
        <f>LEFT(TEXT(I41,"aaaa"),1)</f>
        <v>月</v>
      </c>
      <c r="K41" s="39" t="str">
        <f t="shared" ref="K41:K66" si="3">IF(K39="","",K39)</f>
        <v/>
      </c>
      <c r="L41" s="14"/>
      <c r="M41" s="14"/>
      <c r="N41" s="14" t="s">
        <v>90</v>
      </c>
      <c r="O41" s="14" t="s">
        <v>90</v>
      </c>
      <c r="P41" s="25"/>
    </row>
    <row r="42" spans="1:16" ht="25.5" customHeight="1" x14ac:dyDescent="0.15">
      <c r="A42" s="53"/>
      <c r="B42" s="45"/>
      <c r="C42" s="39" t="str">
        <f t="shared" si="2"/>
        <v/>
      </c>
      <c r="D42" s="14"/>
      <c r="E42" s="14"/>
      <c r="F42" s="14" t="s">
        <v>90</v>
      </c>
      <c r="G42" s="14" t="s">
        <v>90</v>
      </c>
      <c r="H42" s="25"/>
      <c r="I42" s="53"/>
      <c r="J42" s="45"/>
      <c r="K42" s="39" t="str">
        <f t="shared" si="3"/>
        <v/>
      </c>
      <c r="L42" s="14"/>
      <c r="M42" s="14"/>
      <c r="N42" s="14" t="s">
        <v>90</v>
      </c>
      <c r="O42" s="14" t="s">
        <v>90</v>
      </c>
      <c r="P42" s="25"/>
    </row>
    <row r="43" spans="1:16" ht="25.5" customHeight="1" x14ac:dyDescent="0.15">
      <c r="A43" s="53">
        <f>A9</f>
        <v>42373</v>
      </c>
      <c r="B43" s="45" t="str">
        <f>LEFT(TEXT(A43,"aaaa"),1)</f>
        <v>月</v>
      </c>
      <c r="C43" s="39" t="str">
        <f t="shared" si="2"/>
        <v/>
      </c>
      <c r="D43" s="14"/>
      <c r="E43" s="14"/>
      <c r="F43" s="14" t="s">
        <v>90</v>
      </c>
      <c r="G43" s="14" t="s">
        <v>90</v>
      </c>
      <c r="H43" s="25"/>
      <c r="I43" s="53">
        <f>I9</f>
        <v>42388</v>
      </c>
      <c r="J43" s="45" t="str">
        <f>LEFT(TEXT(I43,"aaaa"),1)</f>
        <v>火</v>
      </c>
      <c r="K43" s="39" t="str">
        <f t="shared" si="3"/>
        <v/>
      </c>
      <c r="L43" s="14"/>
      <c r="M43" s="14"/>
      <c r="N43" s="14" t="s">
        <v>90</v>
      </c>
      <c r="O43" s="14" t="s">
        <v>90</v>
      </c>
      <c r="P43" s="25"/>
    </row>
    <row r="44" spans="1:16" ht="25.5" customHeight="1" x14ac:dyDescent="0.15">
      <c r="A44" s="53"/>
      <c r="B44" s="45"/>
      <c r="C44" s="39" t="str">
        <f t="shared" si="2"/>
        <v/>
      </c>
      <c r="D44" s="14"/>
      <c r="E44" s="14"/>
      <c r="F44" s="14" t="s">
        <v>90</v>
      </c>
      <c r="G44" s="14" t="s">
        <v>90</v>
      </c>
      <c r="H44" s="25"/>
      <c r="I44" s="53"/>
      <c r="J44" s="45"/>
      <c r="K44" s="39" t="str">
        <f t="shared" si="3"/>
        <v/>
      </c>
      <c r="L44" s="14"/>
      <c r="M44" s="14"/>
      <c r="N44" s="14" t="s">
        <v>90</v>
      </c>
      <c r="O44" s="14" t="s">
        <v>90</v>
      </c>
      <c r="P44" s="25"/>
    </row>
    <row r="45" spans="1:16" ht="25.5" customHeight="1" x14ac:dyDescent="0.15">
      <c r="A45" s="53">
        <f>A11</f>
        <v>42374</v>
      </c>
      <c r="B45" s="45" t="str">
        <f>LEFT(TEXT(A45,"aaaa"),1)</f>
        <v>火</v>
      </c>
      <c r="C45" s="39" t="str">
        <f t="shared" si="2"/>
        <v/>
      </c>
      <c r="D45" s="14"/>
      <c r="E45" s="14"/>
      <c r="F45" s="14" t="s">
        <v>90</v>
      </c>
      <c r="G45" s="14" t="s">
        <v>90</v>
      </c>
      <c r="H45" s="25"/>
      <c r="I45" s="53">
        <f>I11</f>
        <v>42389</v>
      </c>
      <c r="J45" s="45" t="str">
        <f>LEFT(TEXT(I45,"aaaa"),1)</f>
        <v>水</v>
      </c>
      <c r="K45" s="39" t="str">
        <f t="shared" si="3"/>
        <v/>
      </c>
      <c r="L45" s="14"/>
      <c r="M45" s="14"/>
      <c r="N45" s="14" t="s">
        <v>90</v>
      </c>
      <c r="O45" s="14" t="s">
        <v>90</v>
      </c>
      <c r="P45" s="25"/>
    </row>
    <row r="46" spans="1:16" ht="25.5" customHeight="1" x14ac:dyDescent="0.15">
      <c r="A46" s="53"/>
      <c r="B46" s="45"/>
      <c r="C46" s="39" t="str">
        <f t="shared" si="2"/>
        <v/>
      </c>
      <c r="D46" s="14"/>
      <c r="E46" s="14"/>
      <c r="F46" s="14" t="s">
        <v>90</v>
      </c>
      <c r="G46" s="14" t="s">
        <v>90</v>
      </c>
      <c r="H46" s="25"/>
      <c r="I46" s="53"/>
      <c r="J46" s="45"/>
      <c r="K46" s="39" t="str">
        <f t="shared" si="3"/>
        <v/>
      </c>
      <c r="L46" s="14"/>
      <c r="M46" s="14"/>
      <c r="N46" s="14" t="s">
        <v>90</v>
      </c>
      <c r="O46" s="14" t="s">
        <v>90</v>
      </c>
      <c r="P46" s="25"/>
    </row>
    <row r="47" spans="1:16" ht="25.5" customHeight="1" x14ac:dyDescent="0.15">
      <c r="A47" s="53">
        <f>A13</f>
        <v>42375</v>
      </c>
      <c r="B47" s="45" t="str">
        <f>LEFT(TEXT(A47,"aaaa"),1)</f>
        <v>水</v>
      </c>
      <c r="C47" s="39" t="str">
        <f t="shared" si="2"/>
        <v/>
      </c>
      <c r="D47" s="14"/>
      <c r="E47" s="14"/>
      <c r="F47" s="14" t="s">
        <v>90</v>
      </c>
      <c r="G47" s="14" t="s">
        <v>90</v>
      </c>
      <c r="H47" s="25"/>
      <c r="I47" s="53">
        <f>I13</f>
        <v>42390</v>
      </c>
      <c r="J47" s="45" t="str">
        <f>LEFT(TEXT(I47,"aaaa"),1)</f>
        <v>木</v>
      </c>
      <c r="K47" s="39" t="str">
        <f t="shared" si="3"/>
        <v/>
      </c>
      <c r="L47" s="14"/>
      <c r="M47" s="14"/>
      <c r="N47" s="14" t="s">
        <v>90</v>
      </c>
      <c r="O47" s="14" t="s">
        <v>90</v>
      </c>
      <c r="P47" s="25"/>
    </row>
    <row r="48" spans="1:16" ht="25.5" customHeight="1" x14ac:dyDescent="0.15">
      <c r="A48" s="53"/>
      <c r="B48" s="45"/>
      <c r="C48" s="39" t="str">
        <f t="shared" si="2"/>
        <v/>
      </c>
      <c r="D48" s="14"/>
      <c r="E48" s="14"/>
      <c r="F48" s="14" t="s">
        <v>90</v>
      </c>
      <c r="G48" s="14" t="s">
        <v>90</v>
      </c>
      <c r="H48" s="25"/>
      <c r="I48" s="53"/>
      <c r="J48" s="45"/>
      <c r="K48" s="39" t="str">
        <f t="shared" si="3"/>
        <v/>
      </c>
      <c r="L48" s="14"/>
      <c r="M48" s="14"/>
      <c r="N48" s="14" t="s">
        <v>90</v>
      </c>
      <c r="O48" s="14" t="s">
        <v>90</v>
      </c>
      <c r="P48" s="25"/>
    </row>
    <row r="49" spans="1:16" ht="25.5" customHeight="1" x14ac:dyDescent="0.15">
      <c r="A49" s="53">
        <f>A15</f>
        <v>42376</v>
      </c>
      <c r="B49" s="45" t="str">
        <f>LEFT(TEXT(A49,"aaaa"),1)</f>
        <v>木</v>
      </c>
      <c r="C49" s="39" t="str">
        <f t="shared" si="2"/>
        <v/>
      </c>
      <c r="D49" s="14"/>
      <c r="E49" s="14"/>
      <c r="F49" s="14" t="s">
        <v>90</v>
      </c>
      <c r="G49" s="14" t="s">
        <v>90</v>
      </c>
      <c r="H49" s="25"/>
      <c r="I49" s="53">
        <f>I15</f>
        <v>42391</v>
      </c>
      <c r="J49" s="45" t="str">
        <f>LEFT(TEXT(I49,"aaaa"),1)</f>
        <v>金</v>
      </c>
      <c r="K49" s="39" t="str">
        <f t="shared" si="3"/>
        <v/>
      </c>
      <c r="L49" s="14"/>
      <c r="M49" s="14"/>
      <c r="N49" s="14" t="s">
        <v>90</v>
      </c>
      <c r="O49" s="14" t="s">
        <v>90</v>
      </c>
      <c r="P49" s="25"/>
    </row>
    <row r="50" spans="1:16" ht="25.5" customHeight="1" x14ac:dyDescent="0.15">
      <c r="A50" s="53"/>
      <c r="B50" s="45"/>
      <c r="C50" s="39" t="str">
        <f t="shared" si="2"/>
        <v/>
      </c>
      <c r="D50" s="14"/>
      <c r="E50" s="14"/>
      <c r="F50" s="14" t="s">
        <v>90</v>
      </c>
      <c r="G50" s="14" t="s">
        <v>90</v>
      </c>
      <c r="H50" s="25"/>
      <c r="I50" s="53"/>
      <c r="J50" s="45"/>
      <c r="K50" s="39" t="str">
        <f t="shared" si="3"/>
        <v/>
      </c>
      <c r="L50" s="14"/>
      <c r="M50" s="14"/>
      <c r="N50" s="14" t="s">
        <v>90</v>
      </c>
      <c r="O50" s="14" t="s">
        <v>90</v>
      </c>
      <c r="P50" s="25"/>
    </row>
    <row r="51" spans="1:16" ht="25.5" customHeight="1" x14ac:dyDescent="0.15">
      <c r="A51" s="53">
        <f>A17</f>
        <v>42377</v>
      </c>
      <c r="B51" s="45" t="str">
        <f>LEFT(TEXT(A51,"aaaa"),1)</f>
        <v>金</v>
      </c>
      <c r="C51" s="39" t="str">
        <f t="shared" si="2"/>
        <v/>
      </c>
      <c r="D51" s="14"/>
      <c r="E51" s="14"/>
      <c r="F51" s="14" t="s">
        <v>90</v>
      </c>
      <c r="G51" s="14" t="s">
        <v>90</v>
      </c>
      <c r="H51" s="25"/>
      <c r="I51" s="53">
        <f>I17</f>
        <v>42392</v>
      </c>
      <c r="J51" s="45" t="str">
        <f>LEFT(TEXT(I51,"aaaa"),1)</f>
        <v>土</v>
      </c>
      <c r="K51" s="39" t="str">
        <f t="shared" si="3"/>
        <v/>
      </c>
      <c r="L51" s="14"/>
      <c r="M51" s="14"/>
      <c r="N51" s="14" t="s">
        <v>90</v>
      </c>
      <c r="O51" s="14" t="s">
        <v>90</v>
      </c>
      <c r="P51" s="25"/>
    </row>
    <row r="52" spans="1:16" ht="25.5" customHeight="1" x14ac:dyDescent="0.15">
      <c r="A52" s="53"/>
      <c r="B52" s="45"/>
      <c r="C52" s="39" t="str">
        <f t="shared" si="2"/>
        <v/>
      </c>
      <c r="D52" s="14"/>
      <c r="E52" s="14"/>
      <c r="F52" s="14" t="s">
        <v>90</v>
      </c>
      <c r="G52" s="14" t="s">
        <v>90</v>
      </c>
      <c r="H52" s="25"/>
      <c r="I52" s="53"/>
      <c r="J52" s="45"/>
      <c r="K52" s="39" t="str">
        <f t="shared" si="3"/>
        <v/>
      </c>
      <c r="L52" s="14"/>
      <c r="M52" s="14"/>
      <c r="N52" s="14" t="s">
        <v>90</v>
      </c>
      <c r="O52" s="14" t="s">
        <v>90</v>
      </c>
      <c r="P52" s="25"/>
    </row>
    <row r="53" spans="1:16" ht="25.5" customHeight="1" x14ac:dyDescent="0.15">
      <c r="A53" s="53">
        <f>A19</f>
        <v>42378</v>
      </c>
      <c r="B53" s="45" t="str">
        <f>LEFT(TEXT(A53,"aaaa"),1)</f>
        <v>土</v>
      </c>
      <c r="C53" s="39" t="str">
        <f t="shared" si="2"/>
        <v/>
      </c>
      <c r="D53" s="14"/>
      <c r="E53" s="14"/>
      <c r="F53" s="14" t="s">
        <v>90</v>
      </c>
      <c r="G53" s="14" t="s">
        <v>90</v>
      </c>
      <c r="H53" s="25"/>
      <c r="I53" s="53">
        <f>I19</f>
        <v>42393</v>
      </c>
      <c r="J53" s="45" t="str">
        <f>LEFT(TEXT(I53,"aaaa"),1)</f>
        <v>日</v>
      </c>
      <c r="K53" s="39" t="str">
        <f t="shared" si="3"/>
        <v/>
      </c>
      <c r="L53" s="14"/>
      <c r="M53" s="14"/>
      <c r="N53" s="14" t="s">
        <v>90</v>
      </c>
      <c r="O53" s="14" t="s">
        <v>90</v>
      </c>
      <c r="P53" s="25"/>
    </row>
    <row r="54" spans="1:16" ht="25.5" customHeight="1" x14ac:dyDescent="0.15">
      <c r="A54" s="53"/>
      <c r="B54" s="45"/>
      <c r="C54" s="39" t="str">
        <f t="shared" si="2"/>
        <v/>
      </c>
      <c r="D54" s="14"/>
      <c r="E54" s="14"/>
      <c r="F54" s="14" t="s">
        <v>90</v>
      </c>
      <c r="G54" s="14" t="s">
        <v>90</v>
      </c>
      <c r="H54" s="25"/>
      <c r="I54" s="53"/>
      <c r="J54" s="45"/>
      <c r="K54" s="39" t="str">
        <f t="shared" si="3"/>
        <v/>
      </c>
      <c r="L54" s="14"/>
      <c r="M54" s="14"/>
      <c r="N54" s="14" t="s">
        <v>90</v>
      </c>
      <c r="O54" s="14" t="s">
        <v>90</v>
      </c>
      <c r="P54" s="25"/>
    </row>
    <row r="55" spans="1:16" ht="25.5" customHeight="1" x14ac:dyDescent="0.15">
      <c r="A55" s="53">
        <f>A21</f>
        <v>42379</v>
      </c>
      <c r="B55" s="45" t="str">
        <f>LEFT(TEXT(A55,"aaaa"),1)</f>
        <v>日</v>
      </c>
      <c r="C55" s="39" t="str">
        <f t="shared" si="2"/>
        <v/>
      </c>
      <c r="D55" s="14"/>
      <c r="E55" s="14"/>
      <c r="F55" s="14" t="s">
        <v>90</v>
      </c>
      <c r="G55" s="14" t="s">
        <v>90</v>
      </c>
      <c r="H55" s="25"/>
      <c r="I55" s="53">
        <f>I21</f>
        <v>42394</v>
      </c>
      <c r="J55" s="45" t="str">
        <f>LEFT(TEXT(I55,"aaaa"),1)</f>
        <v>月</v>
      </c>
      <c r="K55" s="39" t="str">
        <f t="shared" si="3"/>
        <v/>
      </c>
      <c r="L55" s="14"/>
      <c r="M55" s="14"/>
      <c r="N55" s="14" t="s">
        <v>90</v>
      </c>
      <c r="O55" s="14" t="s">
        <v>90</v>
      </c>
      <c r="P55" s="25"/>
    </row>
    <row r="56" spans="1:16" ht="25.5" customHeight="1" x14ac:dyDescent="0.15">
      <c r="A56" s="53"/>
      <c r="B56" s="45"/>
      <c r="C56" s="39" t="str">
        <f t="shared" si="2"/>
        <v/>
      </c>
      <c r="D56" s="14"/>
      <c r="E56" s="14"/>
      <c r="F56" s="14" t="s">
        <v>90</v>
      </c>
      <c r="G56" s="14" t="s">
        <v>90</v>
      </c>
      <c r="H56" s="25"/>
      <c r="I56" s="53"/>
      <c r="J56" s="45"/>
      <c r="K56" s="39" t="str">
        <f t="shared" si="3"/>
        <v/>
      </c>
      <c r="L56" s="14"/>
      <c r="M56" s="14"/>
      <c r="N56" s="14" t="s">
        <v>90</v>
      </c>
      <c r="O56" s="14" t="s">
        <v>90</v>
      </c>
      <c r="P56" s="25"/>
    </row>
    <row r="57" spans="1:16" ht="25.5" customHeight="1" x14ac:dyDescent="0.15">
      <c r="A57" s="53">
        <f>A23</f>
        <v>42380</v>
      </c>
      <c r="B57" s="45" t="str">
        <f>LEFT(TEXT(A57,"aaaa"),1)</f>
        <v>月</v>
      </c>
      <c r="C57" s="39" t="str">
        <f t="shared" si="2"/>
        <v/>
      </c>
      <c r="D57" s="14"/>
      <c r="E57" s="14"/>
      <c r="F57" s="14" t="s">
        <v>90</v>
      </c>
      <c r="G57" s="14" t="s">
        <v>90</v>
      </c>
      <c r="H57" s="25"/>
      <c r="I57" s="53">
        <f>I23</f>
        <v>42395</v>
      </c>
      <c r="J57" s="45" t="str">
        <f>LEFT(TEXT(I57,"aaaa"),1)</f>
        <v>火</v>
      </c>
      <c r="K57" s="39" t="str">
        <f t="shared" si="3"/>
        <v/>
      </c>
      <c r="L57" s="14"/>
      <c r="M57" s="14"/>
      <c r="N57" s="14" t="s">
        <v>90</v>
      </c>
      <c r="O57" s="14" t="s">
        <v>90</v>
      </c>
      <c r="P57" s="25"/>
    </row>
    <row r="58" spans="1:16" ht="25.5" customHeight="1" x14ac:dyDescent="0.15">
      <c r="A58" s="53"/>
      <c r="B58" s="45"/>
      <c r="C58" s="39" t="str">
        <f t="shared" si="2"/>
        <v/>
      </c>
      <c r="D58" s="14"/>
      <c r="E58" s="14"/>
      <c r="F58" s="14" t="s">
        <v>90</v>
      </c>
      <c r="G58" s="14" t="s">
        <v>90</v>
      </c>
      <c r="H58" s="25"/>
      <c r="I58" s="53"/>
      <c r="J58" s="45"/>
      <c r="K58" s="39" t="str">
        <f t="shared" si="3"/>
        <v/>
      </c>
      <c r="L58" s="14"/>
      <c r="M58" s="14"/>
      <c r="N58" s="14" t="s">
        <v>90</v>
      </c>
      <c r="O58" s="14" t="s">
        <v>90</v>
      </c>
      <c r="P58" s="25"/>
    </row>
    <row r="59" spans="1:16" ht="25.5" customHeight="1" x14ac:dyDescent="0.15">
      <c r="A59" s="53">
        <f>A25</f>
        <v>42381</v>
      </c>
      <c r="B59" s="45" t="str">
        <f>LEFT(TEXT(A59,"aaaa"),1)</f>
        <v>火</v>
      </c>
      <c r="C59" s="39" t="str">
        <f t="shared" si="2"/>
        <v/>
      </c>
      <c r="D59" s="14"/>
      <c r="E59" s="14"/>
      <c r="F59" s="14" t="s">
        <v>90</v>
      </c>
      <c r="G59" s="14" t="s">
        <v>90</v>
      </c>
      <c r="H59" s="25"/>
      <c r="I59" s="53">
        <f>I25</f>
        <v>42396</v>
      </c>
      <c r="J59" s="45" t="str">
        <f>LEFT(TEXT(I59,"aaaa"),1)</f>
        <v>水</v>
      </c>
      <c r="K59" s="39" t="str">
        <f t="shared" si="3"/>
        <v/>
      </c>
      <c r="L59" s="14"/>
      <c r="M59" s="14"/>
      <c r="N59" s="14" t="s">
        <v>90</v>
      </c>
      <c r="O59" s="14" t="s">
        <v>90</v>
      </c>
      <c r="P59" s="25"/>
    </row>
    <row r="60" spans="1:16" ht="25.5" customHeight="1" x14ac:dyDescent="0.15">
      <c r="A60" s="53"/>
      <c r="B60" s="45"/>
      <c r="C60" s="39" t="str">
        <f t="shared" si="2"/>
        <v/>
      </c>
      <c r="D60" s="14"/>
      <c r="E60" s="14"/>
      <c r="F60" s="14" t="s">
        <v>90</v>
      </c>
      <c r="G60" s="14" t="s">
        <v>90</v>
      </c>
      <c r="H60" s="25"/>
      <c r="I60" s="53"/>
      <c r="J60" s="45"/>
      <c r="K60" s="39" t="str">
        <f t="shared" si="3"/>
        <v/>
      </c>
      <c r="L60" s="14"/>
      <c r="M60" s="14"/>
      <c r="N60" s="14" t="s">
        <v>90</v>
      </c>
      <c r="O60" s="14" t="s">
        <v>90</v>
      </c>
      <c r="P60" s="25"/>
    </row>
    <row r="61" spans="1:16" ht="25.5" customHeight="1" x14ac:dyDescent="0.15">
      <c r="A61" s="53">
        <f>A27</f>
        <v>42382</v>
      </c>
      <c r="B61" s="45" t="str">
        <f>LEFT(TEXT(A61,"aaaa"),1)</f>
        <v>水</v>
      </c>
      <c r="C61" s="39" t="str">
        <f t="shared" si="2"/>
        <v/>
      </c>
      <c r="D61" s="14"/>
      <c r="E61" s="14"/>
      <c r="F61" s="14" t="s">
        <v>90</v>
      </c>
      <c r="G61" s="14" t="s">
        <v>90</v>
      </c>
      <c r="H61" s="25"/>
      <c r="I61" s="53">
        <f>I27</f>
        <v>42397</v>
      </c>
      <c r="J61" s="45" t="str">
        <f>LEFT(TEXT(I61,"aaaa"),1)</f>
        <v>木</v>
      </c>
      <c r="K61" s="39" t="str">
        <f t="shared" si="3"/>
        <v/>
      </c>
      <c r="L61" s="14"/>
      <c r="M61" s="14"/>
      <c r="N61" s="14" t="s">
        <v>90</v>
      </c>
      <c r="O61" s="14" t="s">
        <v>90</v>
      </c>
      <c r="P61" s="25"/>
    </row>
    <row r="62" spans="1:16" ht="25.5" customHeight="1" x14ac:dyDescent="0.15">
      <c r="A62" s="53"/>
      <c r="B62" s="45"/>
      <c r="C62" s="39" t="str">
        <f t="shared" si="2"/>
        <v/>
      </c>
      <c r="D62" s="14"/>
      <c r="E62" s="14"/>
      <c r="F62" s="14" t="s">
        <v>90</v>
      </c>
      <c r="G62" s="14" t="s">
        <v>90</v>
      </c>
      <c r="H62" s="25"/>
      <c r="I62" s="53"/>
      <c r="J62" s="45"/>
      <c r="K62" s="39" t="str">
        <f t="shared" si="3"/>
        <v/>
      </c>
      <c r="L62" s="14"/>
      <c r="M62" s="14"/>
      <c r="N62" s="14" t="s">
        <v>90</v>
      </c>
      <c r="O62" s="14" t="s">
        <v>90</v>
      </c>
      <c r="P62" s="25"/>
    </row>
    <row r="63" spans="1:16" ht="25.5" customHeight="1" x14ac:dyDescent="0.15">
      <c r="A63" s="53">
        <f>A29</f>
        <v>42383</v>
      </c>
      <c r="B63" s="45" t="str">
        <f>LEFT(TEXT(A63,"aaaa"),1)</f>
        <v>木</v>
      </c>
      <c r="C63" s="39" t="str">
        <f t="shared" si="2"/>
        <v/>
      </c>
      <c r="D63" s="14"/>
      <c r="E63" s="14"/>
      <c r="F63" s="14" t="s">
        <v>90</v>
      </c>
      <c r="G63" s="14" t="s">
        <v>90</v>
      </c>
      <c r="H63" s="25"/>
      <c r="I63" s="53">
        <f>I29</f>
        <v>42398</v>
      </c>
      <c r="J63" s="45" t="str">
        <f>LEFT(TEXT(I63,"aaaa"),1)</f>
        <v>金</v>
      </c>
      <c r="K63" s="39" t="str">
        <f t="shared" si="3"/>
        <v/>
      </c>
      <c r="L63" s="14"/>
      <c r="M63" s="14"/>
      <c r="N63" s="14" t="s">
        <v>90</v>
      </c>
      <c r="O63" s="14" t="s">
        <v>90</v>
      </c>
      <c r="P63" s="25"/>
    </row>
    <row r="64" spans="1:16" ht="25.5" customHeight="1" x14ac:dyDescent="0.15">
      <c r="A64" s="53"/>
      <c r="B64" s="45"/>
      <c r="C64" s="39" t="str">
        <f t="shared" si="2"/>
        <v/>
      </c>
      <c r="D64" s="14"/>
      <c r="E64" s="14"/>
      <c r="F64" s="14" t="s">
        <v>90</v>
      </c>
      <c r="G64" s="14" t="s">
        <v>90</v>
      </c>
      <c r="H64" s="25"/>
      <c r="I64" s="53"/>
      <c r="J64" s="45"/>
      <c r="K64" s="39" t="str">
        <f t="shared" si="3"/>
        <v/>
      </c>
      <c r="L64" s="14"/>
      <c r="M64" s="14"/>
      <c r="N64" s="14" t="s">
        <v>90</v>
      </c>
      <c r="O64" s="14" t="s">
        <v>90</v>
      </c>
      <c r="P64" s="25"/>
    </row>
    <row r="65" spans="1:16" ht="25.5" customHeight="1" x14ac:dyDescent="0.15">
      <c r="A65" s="53">
        <f>A31</f>
        <v>42384</v>
      </c>
      <c r="B65" s="45" t="str">
        <f>LEFT(TEXT(A65,"aaaa"),1)</f>
        <v>金</v>
      </c>
      <c r="C65" s="39" t="str">
        <f t="shared" si="2"/>
        <v/>
      </c>
      <c r="D65" s="14"/>
      <c r="E65" s="14"/>
      <c r="F65" s="14" t="s">
        <v>90</v>
      </c>
      <c r="G65" s="14" t="s">
        <v>90</v>
      </c>
      <c r="H65" s="25"/>
      <c r="I65" s="53">
        <f>I31</f>
        <v>42399</v>
      </c>
      <c r="J65" s="45" t="str">
        <f>LEFT(TEXT(I65,"aaaa"),1)</f>
        <v>土</v>
      </c>
      <c r="K65" s="39" t="str">
        <f t="shared" si="3"/>
        <v/>
      </c>
      <c r="L65" s="14"/>
      <c r="M65" s="14"/>
      <c r="N65" s="14" t="s">
        <v>90</v>
      </c>
      <c r="O65" s="14" t="s">
        <v>90</v>
      </c>
      <c r="P65" s="25"/>
    </row>
    <row r="66" spans="1:16" ht="25.5" customHeight="1" x14ac:dyDescent="0.15">
      <c r="A66" s="53"/>
      <c r="B66" s="45"/>
      <c r="C66" s="39" t="str">
        <f t="shared" si="2"/>
        <v/>
      </c>
      <c r="D66" s="14"/>
      <c r="E66" s="14"/>
      <c r="F66" s="14" t="s">
        <v>90</v>
      </c>
      <c r="G66" s="14" t="s">
        <v>90</v>
      </c>
      <c r="H66" s="25"/>
      <c r="I66" s="53"/>
      <c r="J66" s="45"/>
      <c r="K66" s="39" t="str">
        <f t="shared" si="3"/>
        <v/>
      </c>
      <c r="L66" s="14"/>
      <c r="M66" s="14"/>
      <c r="N66" s="14" t="s">
        <v>90</v>
      </c>
      <c r="O66" s="14" t="s">
        <v>90</v>
      </c>
      <c r="P66" s="25"/>
    </row>
    <row r="67" spans="1:16" ht="25.5" customHeight="1" x14ac:dyDescent="0.15">
      <c r="A67" s="35"/>
      <c r="B67" s="25"/>
      <c r="C67" s="40"/>
      <c r="D67" s="25"/>
      <c r="E67" s="14"/>
      <c r="F67" s="14" t="s">
        <v>90</v>
      </c>
      <c r="G67" s="14" t="s">
        <v>90</v>
      </c>
      <c r="H67" s="25"/>
      <c r="I67" s="53">
        <f>I33</f>
        <v>42400</v>
      </c>
      <c r="J67" s="25"/>
      <c r="K67" s="40"/>
      <c r="L67" s="25"/>
      <c r="M67" s="14"/>
      <c r="N67" s="14" t="s">
        <v>90</v>
      </c>
      <c r="O67" s="14" t="s">
        <v>90</v>
      </c>
      <c r="P67" s="25"/>
    </row>
    <row r="68" spans="1:16" ht="25.5" customHeight="1" x14ac:dyDescent="0.15">
      <c r="A68" s="35"/>
      <c r="B68" s="25"/>
      <c r="C68" s="40"/>
      <c r="D68" s="25"/>
      <c r="E68" s="14"/>
      <c r="F68" s="14" t="s">
        <v>90</v>
      </c>
      <c r="G68" s="14" t="s">
        <v>90</v>
      </c>
      <c r="H68" s="25"/>
      <c r="I68" s="53"/>
      <c r="J68" s="25"/>
      <c r="K68" s="40"/>
      <c r="L68" s="25"/>
      <c r="M68" s="14"/>
      <c r="N68" s="14" t="s">
        <v>90</v>
      </c>
      <c r="O68" s="14" t="s">
        <v>90</v>
      </c>
      <c r="P68" s="25"/>
    </row>
    <row r="69" spans="1:16" ht="18" customHeight="1" x14ac:dyDescent="0.15">
      <c r="A69" s="54" t="s">
        <v>80</v>
      </c>
      <c r="B69" s="54"/>
      <c r="C69" s="54"/>
      <c r="D69" s="54"/>
      <c r="E69" s="54"/>
      <c r="F69" s="54"/>
      <c r="G69" s="54"/>
      <c r="H69" s="54"/>
      <c r="I69" s="54"/>
      <c r="K69" s="32"/>
      <c r="M69" s="31"/>
      <c r="O69" s="55">
        <f>A71</f>
        <v>42370</v>
      </c>
      <c r="P69" s="55"/>
    </row>
    <row r="70" spans="1:16" s="44" customFormat="1" ht="21" customHeight="1" x14ac:dyDescent="0.15">
      <c r="A70" s="56" t="s">
        <v>89</v>
      </c>
      <c r="B70" s="57"/>
      <c r="C70" s="42" t="s">
        <v>87</v>
      </c>
      <c r="D70" s="43" t="s">
        <v>86</v>
      </c>
      <c r="E70" s="42" t="s">
        <v>88</v>
      </c>
      <c r="F70" s="42" t="s">
        <v>83</v>
      </c>
      <c r="G70" s="42" t="s">
        <v>84</v>
      </c>
      <c r="H70" s="42" t="s">
        <v>85</v>
      </c>
      <c r="I70" s="56" t="s">
        <v>89</v>
      </c>
      <c r="J70" s="57"/>
      <c r="K70" s="42" t="s">
        <v>87</v>
      </c>
      <c r="L70" s="43" t="s">
        <v>86</v>
      </c>
      <c r="M70" s="42" t="s">
        <v>88</v>
      </c>
      <c r="N70" s="42" t="s">
        <v>83</v>
      </c>
      <c r="O70" s="42" t="s">
        <v>84</v>
      </c>
      <c r="P70" s="42" t="s">
        <v>85</v>
      </c>
    </row>
    <row r="71" spans="1:16" ht="25.5" customHeight="1" x14ac:dyDescent="0.15">
      <c r="A71" s="53">
        <f>A37</f>
        <v>42370</v>
      </c>
      <c r="B71" s="45" t="str">
        <f>LEFT(TEXT(A71,"aaaa"),1)</f>
        <v>金</v>
      </c>
      <c r="C71" s="39"/>
      <c r="D71" s="14"/>
      <c r="E71" s="14" t="s">
        <v>81</v>
      </c>
      <c r="F71" s="14" t="s">
        <v>90</v>
      </c>
      <c r="G71" s="14" t="s">
        <v>90</v>
      </c>
      <c r="H71" s="25"/>
      <c r="I71" s="53">
        <f>I37</f>
        <v>42385</v>
      </c>
      <c r="J71" s="45" t="str">
        <f>LEFT(TEXT(I71,"aaaa"),1)</f>
        <v>土</v>
      </c>
      <c r="K71" s="34" t="str">
        <f>IF(C71="","",C71)</f>
        <v/>
      </c>
      <c r="L71" s="14"/>
      <c r="M71" s="14" t="s">
        <v>81</v>
      </c>
      <c r="N71" s="14" t="s">
        <v>90</v>
      </c>
      <c r="O71" s="14" t="s">
        <v>90</v>
      </c>
      <c r="P71" s="25"/>
    </row>
    <row r="72" spans="1:16" ht="25.5" customHeight="1" x14ac:dyDescent="0.15">
      <c r="A72" s="53"/>
      <c r="B72" s="45"/>
      <c r="C72" s="33"/>
      <c r="D72" s="14"/>
      <c r="E72" s="14" t="s">
        <v>82</v>
      </c>
      <c r="F72" s="14" t="s">
        <v>90</v>
      </c>
      <c r="G72" s="14" t="s">
        <v>90</v>
      </c>
      <c r="H72" s="25"/>
      <c r="I72" s="53"/>
      <c r="J72" s="45"/>
      <c r="K72" s="34" t="str">
        <f>IF(C72="","",C72)</f>
        <v/>
      </c>
      <c r="L72" s="14"/>
      <c r="M72" s="14" t="s">
        <v>82</v>
      </c>
      <c r="N72" s="14" t="s">
        <v>90</v>
      </c>
      <c r="O72" s="14" t="s">
        <v>90</v>
      </c>
      <c r="P72" s="25"/>
    </row>
    <row r="73" spans="1:16" ht="25.5" customHeight="1" x14ac:dyDescent="0.15">
      <c r="A73" s="53">
        <f>A39</f>
        <v>42371</v>
      </c>
      <c r="B73" s="45" t="str">
        <f>LEFT(TEXT(A73,"aaaa"),1)</f>
        <v>土</v>
      </c>
      <c r="C73" s="39" t="str">
        <f>IF(C71="","",C71)</f>
        <v/>
      </c>
      <c r="D73" s="14"/>
      <c r="E73" s="14"/>
      <c r="F73" s="14" t="s">
        <v>90</v>
      </c>
      <c r="G73" s="14" t="s">
        <v>90</v>
      </c>
      <c r="H73" s="25"/>
      <c r="I73" s="53">
        <f>I39</f>
        <v>42386</v>
      </c>
      <c r="J73" s="45" t="str">
        <f>LEFT(TEXT(I73,"aaaa"),1)</f>
        <v>日</v>
      </c>
      <c r="K73" s="39" t="str">
        <f>IF(K71="","",K71)</f>
        <v/>
      </c>
      <c r="L73" s="14"/>
      <c r="M73" s="14"/>
      <c r="N73" s="14" t="s">
        <v>90</v>
      </c>
      <c r="O73" s="14" t="s">
        <v>90</v>
      </c>
      <c r="P73" s="25"/>
    </row>
    <row r="74" spans="1:16" ht="25.5" customHeight="1" x14ac:dyDescent="0.15">
      <c r="A74" s="53"/>
      <c r="B74" s="45"/>
      <c r="C74" s="39" t="str">
        <f>IF(C72="","",C72)</f>
        <v/>
      </c>
      <c r="D74" s="14"/>
      <c r="E74" s="14"/>
      <c r="F74" s="14" t="s">
        <v>90</v>
      </c>
      <c r="G74" s="14" t="s">
        <v>90</v>
      </c>
      <c r="H74" s="25"/>
      <c r="I74" s="53"/>
      <c r="J74" s="45"/>
      <c r="K74" s="39" t="str">
        <f>IF(K72="","",K72)</f>
        <v/>
      </c>
      <c r="L74" s="14"/>
      <c r="M74" s="14"/>
      <c r="N74" s="14" t="s">
        <v>90</v>
      </c>
      <c r="O74" s="14" t="s">
        <v>90</v>
      </c>
      <c r="P74" s="25"/>
    </row>
    <row r="75" spans="1:16" ht="25.5" customHeight="1" x14ac:dyDescent="0.15">
      <c r="A75" s="53">
        <f>A41</f>
        <v>42372</v>
      </c>
      <c r="B75" s="45" t="str">
        <f>LEFT(TEXT(A75,"aaaa"),1)</f>
        <v>日</v>
      </c>
      <c r="C75" s="39" t="str">
        <f t="shared" ref="C75:C100" si="4">IF(C73="","",C73)</f>
        <v/>
      </c>
      <c r="D75" s="14"/>
      <c r="E75" s="14"/>
      <c r="F75" s="14" t="s">
        <v>90</v>
      </c>
      <c r="G75" s="14" t="s">
        <v>90</v>
      </c>
      <c r="H75" s="25"/>
      <c r="I75" s="53">
        <f>I41</f>
        <v>42387</v>
      </c>
      <c r="J75" s="45" t="str">
        <f>LEFT(TEXT(I75,"aaaa"),1)</f>
        <v>月</v>
      </c>
      <c r="K75" s="39" t="str">
        <f t="shared" ref="K75:K100" si="5">IF(K73="","",K73)</f>
        <v/>
      </c>
      <c r="L75" s="14"/>
      <c r="M75" s="14"/>
      <c r="N75" s="14" t="s">
        <v>90</v>
      </c>
      <c r="O75" s="14" t="s">
        <v>90</v>
      </c>
      <c r="P75" s="25"/>
    </row>
    <row r="76" spans="1:16" ht="25.5" customHeight="1" x14ac:dyDescent="0.15">
      <c r="A76" s="53"/>
      <c r="B76" s="45"/>
      <c r="C76" s="39" t="str">
        <f t="shared" si="4"/>
        <v/>
      </c>
      <c r="D76" s="14"/>
      <c r="E76" s="14"/>
      <c r="F76" s="14" t="s">
        <v>90</v>
      </c>
      <c r="G76" s="14" t="s">
        <v>90</v>
      </c>
      <c r="H76" s="25"/>
      <c r="I76" s="53"/>
      <c r="J76" s="45"/>
      <c r="K76" s="39" t="str">
        <f t="shared" si="5"/>
        <v/>
      </c>
      <c r="L76" s="14"/>
      <c r="M76" s="14"/>
      <c r="N76" s="14" t="s">
        <v>90</v>
      </c>
      <c r="O76" s="14" t="s">
        <v>90</v>
      </c>
      <c r="P76" s="25"/>
    </row>
    <row r="77" spans="1:16" ht="25.5" customHeight="1" x14ac:dyDescent="0.15">
      <c r="A77" s="53">
        <f>A43</f>
        <v>42373</v>
      </c>
      <c r="B77" s="45" t="str">
        <f>LEFT(TEXT(A77,"aaaa"),1)</f>
        <v>月</v>
      </c>
      <c r="C77" s="39" t="str">
        <f t="shared" si="4"/>
        <v/>
      </c>
      <c r="D77" s="14"/>
      <c r="E77" s="14"/>
      <c r="F77" s="14" t="s">
        <v>90</v>
      </c>
      <c r="G77" s="14" t="s">
        <v>90</v>
      </c>
      <c r="H77" s="25"/>
      <c r="I77" s="53">
        <f>I43</f>
        <v>42388</v>
      </c>
      <c r="J77" s="45" t="str">
        <f>LEFT(TEXT(I77,"aaaa"),1)</f>
        <v>火</v>
      </c>
      <c r="K77" s="39" t="str">
        <f t="shared" si="5"/>
        <v/>
      </c>
      <c r="L77" s="14"/>
      <c r="M77" s="14"/>
      <c r="N77" s="14" t="s">
        <v>90</v>
      </c>
      <c r="O77" s="14" t="s">
        <v>90</v>
      </c>
      <c r="P77" s="25"/>
    </row>
    <row r="78" spans="1:16" ht="25.5" customHeight="1" x14ac:dyDescent="0.15">
      <c r="A78" s="53"/>
      <c r="B78" s="45"/>
      <c r="C78" s="39" t="str">
        <f t="shared" si="4"/>
        <v/>
      </c>
      <c r="D78" s="14"/>
      <c r="E78" s="14"/>
      <c r="F78" s="14" t="s">
        <v>90</v>
      </c>
      <c r="G78" s="14" t="s">
        <v>90</v>
      </c>
      <c r="H78" s="25"/>
      <c r="I78" s="53"/>
      <c r="J78" s="45"/>
      <c r="K78" s="39" t="str">
        <f t="shared" si="5"/>
        <v/>
      </c>
      <c r="L78" s="14"/>
      <c r="M78" s="14"/>
      <c r="N78" s="14" t="s">
        <v>90</v>
      </c>
      <c r="O78" s="14" t="s">
        <v>90</v>
      </c>
      <c r="P78" s="25"/>
    </row>
    <row r="79" spans="1:16" ht="25.5" customHeight="1" x14ac:dyDescent="0.15">
      <c r="A79" s="53">
        <f>A45</f>
        <v>42374</v>
      </c>
      <c r="B79" s="45" t="str">
        <f>LEFT(TEXT(A79,"aaaa"),1)</f>
        <v>火</v>
      </c>
      <c r="C79" s="39" t="str">
        <f t="shared" si="4"/>
        <v/>
      </c>
      <c r="D79" s="14"/>
      <c r="E79" s="14"/>
      <c r="F79" s="14" t="s">
        <v>90</v>
      </c>
      <c r="G79" s="14" t="s">
        <v>90</v>
      </c>
      <c r="H79" s="25"/>
      <c r="I79" s="53">
        <f>I45</f>
        <v>42389</v>
      </c>
      <c r="J79" s="45" t="str">
        <f>LEFT(TEXT(I79,"aaaa"),1)</f>
        <v>水</v>
      </c>
      <c r="K79" s="39" t="str">
        <f t="shared" si="5"/>
        <v/>
      </c>
      <c r="L79" s="14"/>
      <c r="M79" s="14"/>
      <c r="N79" s="14" t="s">
        <v>90</v>
      </c>
      <c r="O79" s="14" t="s">
        <v>90</v>
      </c>
      <c r="P79" s="25"/>
    </row>
    <row r="80" spans="1:16" ht="25.5" customHeight="1" x14ac:dyDescent="0.15">
      <c r="A80" s="53"/>
      <c r="B80" s="45"/>
      <c r="C80" s="39" t="str">
        <f t="shared" si="4"/>
        <v/>
      </c>
      <c r="D80" s="14"/>
      <c r="E80" s="14"/>
      <c r="F80" s="14" t="s">
        <v>90</v>
      </c>
      <c r="G80" s="14" t="s">
        <v>90</v>
      </c>
      <c r="H80" s="25"/>
      <c r="I80" s="53"/>
      <c r="J80" s="45"/>
      <c r="K80" s="39" t="str">
        <f t="shared" si="5"/>
        <v/>
      </c>
      <c r="L80" s="14"/>
      <c r="M80" s="14"/>
      <c r="N80" s="14" t="s">
        <v>90</v>
      </c>
      <c r="O80" s="14" t="s">
        <v>90</v>
      </c>
      <c r="P80" s="25"/>
    </row>
    <row r="81" spans="1:16" ht="25.5" customHeight="1" x14ac:dyDescent="0.15">
      <c r="A81" s="53">
        <f>A47</f>
        <v>42375</v>
      </c>
      <c r="B81" s="45" t="str">
        <f>LEFT(TEXT(A81,"aaaa"),1)</f>
        <v>水</v>
      </c>
      <c r="C81" s="39" t="str">
        <f t="shared" si="4"/>
        <v/>
      </c>
      <c r="D81" s="14"/>
      <c r="E81" s="14"/>
      <c r="F81" s="14" t="s">
        <v>90</v>
      </c>
      <c r="G81" s="14" t="s">
        <v>90</v>
      </c>
      <c r="H81" s="25"/>
      <c r="I81" s="53">
        <f>I47</f>
        <v>42390</v>
      </c>
      <c r="J81" s="45" t="str">
        <f>LEFT(TEXT(I81,"aaaa"),1)</f>
        <v>木</v>
      </c>
      <c r="K81" s="39" t="str">
        <f t="shared" si="5"/>
        <v/>
      </c>
      <c r="L81" s="14"/>
      <c r="M81" s="14"/>
      <c r="N81" s="14" t="s">
        <v>90</v>
      </c>
      <c r="O81" s="14" t="s">
        <v>90</v>
      </c>
      <c r="P81" s="25"/>
    </row>
    <row r="82" spans="1:16" ht="25.5" customHeight="1" x14ac:dyDescent="0.15">
      <c r="A82" s="53"/>
      <c r="B82" s="45"/>
      <c r="C82" s="39" t="str">
        <f t="shared" si="4"/>
        <v/>
      </c>
      <c r="D82" s="14"/>
      <c r="E82" s="14"/>
      <c r="F82" s="14" t="s">
        <v>90</v>
      </c>
      <c r="G82" s="14" t="s">
        <v>90</v>
      </c>
      <c r="H82" s="25"/>
      <c r="I82" s="53"/>
      <c r="J82" s="45"/>
      <c r="K82" s="39" t="str">
        <f t="shared" si="5"/>
        <v/>
      </c>
      <c r="L82" s="14"/>
      <c r="M82" s="14"/>
      <c r="N82" s="14" t="s">
        <v>90</v>
      </c>
      <c r="O82" s="14" t="s">
        <v>90</v>
      </c>
      <c r="P82" s="25"/>
    </row>
    <row r="83" spans="1:16" ht="25.5" customHeight="1" x14ac:dyDescent="0.15">
      <c r="A83" s="53">
        <f>A49</f>
        <v>42376</v>
      </c>
      <c r="B83" s="45" t="str">
        <f>LEFT(TEXT(A83,"aaaa"),1)</f>
        <v>木</v>
      </c>
      <c r="C83" s="39" t="str">
        <f t="shared" si="4"/>
        <v/>
      </c>
      <c r="D83" s="14"/>
      <c r="E83" s="14"/>
      <c r="F83" s="14" t="s">
        <v>90</v>
      </c>
      <c r="G83" s="14" t="s">
        <v>90</v>
      </c>
      <c r="H83" s="25"/>
      <c r="I83" s="53">
        <f>I49</f>
        <v>42391</v>
      </c>
      <c r="J83" s="45" t="str">
        <f>LEFT(TEXT(I83,"aaaa"),1)</f>
        <v>金</v>
      </c>
      <c r="K83" s="39" t="str">
        <f t="shared" si="5"/>
        <v/>
      </c>
      <c r="L83" s="14"/>
      <c r="M83" s="14"/>
      <c r="N83" s="14" t="s">
        <v>90</v>
      </c>
      <c r="O83" s="14" t="s">
        <v>90</v>
      </c>
      <c r="P83" s="25"/>
    </row>
    <row r="84" spans="1:16" ht="25.5" customHeight="1" x14ac:dyDescent="0.15">
      <c r="A84" s="53"/>
      <c r="B84" s="45"/>
      <c r="C84" s="39" t="str">
        <f t="shared" si="4"/>
        <v/>
      </c>
      <c r="D84" s="14"/>
      <c r="E84" s="14"/>
      <c r="F84" s="14" t="s">
        <v>90</v>
      </c>
      <c r="G84" s="14" t="s">
        <v>90</v>
      </c>
      <c r="H84" s="25"/>
      <c r="I84" s="53"/>
      <c r="J84" s="45"/>
      <c r="K84" s="39" t="str">
        <f t="shared" si="5"/>
        <v/>
      </c>
      <c r="L84" s="14"/>
      <c r="M84" s="14"/>
      <c r="N84" s="14" t="s">
        <v>90</v>
      </c>
      <c r="O84" s="14" t="s">
        <v>90</v>
      </c>
      <c r="P84" s="25"/>
    </row>
    <row r="85" spans="1:16" ht="25.5" customHeight="1" x14ac:dyDescent="0.15">
      <c r="A85" s="53">
        <f>A51</f>
        <v>42377</v>
      </c>
      <c r="B85" s="45" t="str">
        <f>LEFT(TEXT(A85,"aaaa"),1)</f>
        <v>金</v>
      </c>
      <c r="C85" s="39" t="str">
        <f t="shared" si="4"/>
        <v/>
      </c>
      <c r="D85" s="14"/>
      <c r="E85" s="14"/>
      <c r="F85" s="14" t="s">
        <v>90</v>
      </c>
      <c r="G85" s="14" t="s">
        <v>90</v>
      </c>
      <c r="H85" s="25"/>
      <c r="I85" s="53">
        <f>I51</f>
        <v>42392</v>
      </c>
      <c r="J85" s="45" t="str">
        <f>LEFT(TEXT(I85,"aaaa"),1)</f>
        <v>土</v>
      </c>
      <c r="K85" s="39" t="str">
        <f t="shared" si="5"/>
        <v/>
      </c>
      <c r="L85" s="14"/>
      <c r="M85" s="14"/>
      <c r="N85" s="14" t="s">
        <v>90</v>
      </c>
      <c r="O85" s="14" t="s">
        <v>90</v>
      </c>
      <c r="P85" s="25"/>
    </row>
    <row r="86" spans="1:16" ht="25.5" customHeight="1" x14ac:dyDescent="0.15">
      <c r="A86" s="53"/>
      <c r="B86" s="45"/>
      <c r="C86" s="39" t="str">
        <f t="shared" si="4"/>
        <v/>
      </c>
      <c r="D86" s="14"/>
      <c r="E86" s="14"/>
      <c r="F86" s="14" t="s">
        <v>90</v>
      </c>
      <c r="G86" s="14" t="s">
        <v>90</v>
      </c>
      <c r="H86" s="25"/>
      <c r="I86" s="53"/>
      <c r="J86" s="45"/>
      <c r="K86" s="39" t="str">
        <f t="shared" si="5"/>
        <v/>
      </c>
      <c r="L86" s="14"/>
      <c r="M86" s="14"/>
      <c r="N86" s="14" t="s">
        <v>90</v>
      </c>
      <c r="O86" s="14" t="s">
        <v>90</v>
      </c>
      <c r="P86" s="25"/>
    </row>
    <row r="87" spans="1:16" ht="25.5" customHeight="1" x14ac:dyDescent="0.15">
      <c r="A87" s="53">
        <f>A53</f>
        <v>42378</v>
      </c>
      <c r="B87" s="45" t="str">
        <f>LEFT(TEXT(A87,"aaaa"),1)</f>
        <v>土</v>
      </c>
      <c r="C87" s="39" t="str">
        <f t="shared" si="4"/>
        <v/>
      </c>
      <c r="D87" s="14"/>
      <c r="E87" s="14"/>
      <c r="F87" s="14" t="s">
        <v>90</v>
      </c>
      <c r="G87" s="14" t="s">
        <v>90</v>
      </c>
      <c r="H87" s="25"/>
      <c r="I87" s="53">
        <f>I53</f>
        <v>42393</v>
      </c>
      <c r="J87" s="45" t="str">
        <f>LEFT(TEXT(I87,"aaaa"),1)</f>
        <v>日</v>
      </c>
      <c r="K87" s="39" t="str">
        <f t="shared" si="5"/>
        <v/>
      </c>
      <c r="L87" s="14"/>
      <c r="M87" s="14"/>
      <c r="N87" s="14" t="s">
        <v>90</v>
      </c>
      <c r="O87" s="14" t="s">
        <v>90</v>
      </c>
      <c r="P87" s="25"/>
    </row>
    <row r="88" spans="1:16" ht="25.5" customHeight="1" x14ac:dyDescent="0.15">
      <c r="A88" s="53"/>
      <c r="B88" s="45"/>
      <c r="C88" s="39" t="str">
        <f t="shared" si="4"/>
        <v/>
      </c>
      <c r="D88" s="14"/>
      <c r="E88" s="14"/>
      <c r="F88" s="14" t="s">
        <v>90</v>
      </c>
      <c r="G88" s="14" t="s">
        <v>90</v>
      </c>
      <c r="H88" s="25"/>
      <c r="I88" s="53"/>
      <c r="J88" s="45"/>
      <c r="K88" s="39" t="str">
        <f t="shared" si="5"/>
        <v/>
      </c>
      <c r="L88" s="14"/>
      <c r="M88" s="14"/>
      <c r="N88" s="14" t="s">
        <v>90</v>
      </c>
      <c r="O88" s="14" t="s">
        <v>90</v>
      </c>
      <c r="P88" s="25"/>
    </row>
    <row r="89" spans="1:16" ht="25.5" customHeight="1" x14ac:dyDescent="0.15">
      <c r="A89" s="53">
        <f>A55</f>
        <v>42379</v>
      </c>
      <c r="B89" s="45" t="str">
        <f>LEFT(TEXT(A89,"aaaa"),1)</f>
        <v>日</v>
      </c>
      <c r="C89" s="39" t="str">
        <f t="shared" si="4"/>
        <v/>
      </c>
      <c r="D89" s="14"/>
      <c r="E89" s="14"/>
      <c r="F89" s="14" t="s">
        <v>90</v>
      </c>
      <c r="G89" s="14" t="s">
        <v>90</v>
      </c>
      <c r="H89" s="25"/>
      <c r="I89" s="53">
        <f>I55</f>
        <v>42394</v>
      </c>
      <c r="J89" s="45" t="str">
        <f>LEFT(TEXT(I89,"aaaa"),1)</f>
        <v>月</v>
      </c>
      <c r="K89" s="39" t="str">
        <f t="shared" si="5"/>
        <v/>
      </c>
      <c r="L89" s="14"/>
      <c r="M89" s="14"/>
      <c r="N89" s="14" t="s">
        <v>90</v>
      </c>
      <c r="O89" s="14" t="s">
        <v>90</v>
      </c>
      <c r="P89" s="25"/>
    </row>
    <row r="90" spans="1:16" ht="25.5" customHeight="1" x14ac:dyDescent="0.15">
      <c r="A90" s="53"/>
      <c r="B90" s="45"/>
      <c r="C90" s="39" t="str">
        <f t="shared" si="4"/>
        <v/>
      </c>
      <c r="D90" s="14"/>
      <c r="E90" s="14"/>
      <c r="F90" s="14" t="s">
        <v>90</v>
      </c>
      <c r="G90" s="14" t="s">
        <v>90</v>
      </c>
      <c r="H90" s="25"/>
      <c r="I90" s="53"/>
      <c r="J90" s="45"/>
      <c r="K90" s="39" t="str">
        <f t="shared" si="5"/>
        <v/>
      </c>
      <c r="L90" s="14"/>
      <c r="M90" s="14"/>
      <c r="N90" s="14" t="s">
        <v>90</v>
      </c>
      <c r="O90" s="14" t="s">
        <v>90</v>
      </c>
      <c r="P90" s="25"/>
    </row>
    <row r="91" spans="1:16" ht="25.5" customHeight="1" x14ac:dyDescent="0.15">
      <c r="A91" s="53">
        <f>A57</f>
        <v>42380</v>
      </c>
      <c r="B91" s="45" t="str">
        <f>LEFT(TEXT(A91,"aaaa"),1)</f>
        <v>月</v>
      </c>
      <c r="C91" s="39" t="str">
        <f t="shared" si="4"/>
        <v/>
      </c>
      <c r="D91" s="14"/>
      <c r="E91" s="14"/>
      <c r="F91" s="14" t="s">
        <v>90</v>
      </c>
      <c r="G91" s="14" t="s">
        <v>90</v>
      </c>
      <c r="H91" s="25"/>
      <c r="I91" s="53">
        <f>I57</f>
        <v>42395</v>
      </c>
      <c r="J91" s="45" t="str">
        <f>LEFT(TEXT(I91,"aaaa"),1)</f>
        <v>火</v>
      </c>
      <c r="K91" s="39" t="str">
        <f t="shared" si="5"/>
        <v/>
      </c>
      <c r="L91" s="14"/>
      <c r="M91" s="14"/>
      <c r="N91" s="14" t="s">
        <v>90</v>
      </c>
      <c r="O91" s="14" t="s">
        <v>90</v>
      </c>
      <c r="P91" s="25"/>
    </row>
    <row r="92" spans="1:16" ht="25.5" customHeight="1" x14ac:dyDescent="0.15">
      <c r="A92" s="53"/>
      <c r="B92" s="45"/>
      <c r="C92" s="39" t="str">
        <f t="shared" si="4"/>
        <v/>
      </c>
      <c r="D92" s="14"/>
      <c r="E92" s="14"/>
      <c r="F92" s="14" t="s">
        <v>90</v>
      </c>
      <c r="G92" s="14" t="s">
        <v>90</v>
      </c>
      <c r="H92" s="25"/>
      <c r="I92" s="53"/>
      <c r="J92" s="45"/>
      <c r="K92" s="39" t="str">
        <f t="shared" si="5"/>
        <v/>
      </c>
      <c r="L92" s="14"/>
      <c r="M92" s="14"/>
      <c r="N92" s="14" t="s">
        <v>90</v>
      </c>
      <c r="O92" s="14" t="s">
        <v>90</v>
      </c>
      <c r="P92" s="25"/>
    </row>
    <row r="93" spans="1:16" ht="25.5" customHeight="1" x14ac:dyDescent="0.15">
      <c r="A93" s="53">
        <f>A59</f>
        <v>42381</v>
      </c>
      <c r="B93" s="45" t="str">
        <f>LEFT(TEXT(A93,"aaaa"),1)</f>
        <v>火</v>
      </c>
      <c r="C93" s="39" t="str">
        <f t="shared" si="4"/>
        <v/>
      </c>
      <c r="D93" s="14"/>
      <c r="E93" s="14"/>
      <c r="F93" s="14" t="s">
        <v>90</v>
      </c>
      <c r="G93" s="14" t="s">
        <v>90</v>
      </c>
      <c r="H93" s="25"/>
      <c r="I93" s="53">
        <f>I59</f>
        <v>42396</v>
      </c>
      <c r="J93" s="45" t="str">
        <f>LEFT(TEXT(I93,"aaaa"),1)</f>
        <v>水</v>
      </c>
      <c r="K93" s="39" t="str">
        <f t="shared" si="5"/>
        <v/>
      </c>
      <c r="L93" s="14"/>
      <c r="M93" s="14"/>
      <c r="N93" s="14" t="s">
        <v>90</v>
      </c>
      <c r="O93" s="14" t="s">
        <v>90</v>
      </c>
      <c r="P93" s="25"/>
    </row>
    <row r="94" spans="1:16" ht="25.5" customHeight="1" x14ac:dyDescent="0.15">
      <c r="A94" s="53"/>
      <c r="B94" s="45"/>
      <c r="C94" s="39" t="str">
        <f t="shared" si="4"/>
        <v/>
      </c>
      <c r="D94" s="14"/>
      <c r="E94" s="14"/>
      <c r="F94" s="14" t="s">
        <v>90</v>
      </c>
      <c r="G94" s="14" t="s">
        <v>90</v>
      </c>
      <c r="H94" s="25"/>
      <c r="I94" s="53"/>
      <c r="J94" s="45"/>
      <c r="K94" s="39" t="str">
        <f t="shared" si="5"/>
        <v/>
      </c>
      <c r="L94" s="14"/>
      <c r="M94" s="14"/>
      <c r="N94" s="14" t="s">
        <v>90</v>
      </c>
      <c r="O94" s="14" t="s">
        <v>90</v>
      </c>
      <c r="P94" s="25"/>
    </row>
    <row r="95" spans="1:16" ht="25.5" customHeight="1" x14ac:dyDescent="0.15">
      <c r="A95" s="53">
        <f>A61</f>
        <v>42382</v>
      </c>
      <c r="B95" s="45" t="str">
        <f>LEFT(TEXT(A95,"aaaa"),1)</f>
        <v>水</v>
      </c>
      <c r="C95" s="39" t="str">
        <f t="shared" si="4"/>
        <v/>
      </c>
      <c r="D95" s="14"/>
      <c r="E95" s="14"/>
      <c r="F95" s="14" t="s">
        <v>90</v>
      </c>
      <c r="G95" s="14" t="s">
        <v>90</v>
      </c>
      <c r="H95" s="25"/>
      <c r="I95" s="53">
        <f>I61</f>
        <v>42397</v>
      </c>
      <c r="J95" s="45" t="str">
        <f>LEFT(TEXT(I95,"aaaa"),1)</f>
        <v>木</v>
      </c>
      <c r="K95" s="39" t="str">
        <f t="shared" si="5"/>
        <v/>
      </c>
      <c r="L95" s="14"/>
      <c r="M95" s="14"/>
      <c r="N95" s="14" t="s">
        <v>90</v>
      </c>
      <c r="O95" s="14" t="s">
        <v>90</v>
      </c>
      <c r="P95" s="25"/>
    </row>
    <row r="96" spans="1:16" ht="25.5" customHeight="1" x14ac:dyDescent="0.15">
      <c r="A96" s="53"/>
      <c r="B96" s="45"/>
      <c r="C96" s="39" t="str">
        <f t="shared" si="4"/>
        <v/>
      </c>
      <c r="D96" s="14"/>
      <c r="E96" s="14"/>
      <c r="F96" s="14" t="s">
        <v>90</v>
      </c>
      <c r="G96" s="14" t="s">
        <v>90</v>
      </c>
      <c r="H96" s="25"/>
      <c r="I96" s="53"/>
      <c r="J96" s="45"/>
      <c r="K96" s="39" t="str">
        <f t="shared" si="5"/>
        <v/>
      </c>
      <c r="L96" s="14"/>
      <c r="M96" s="14"/>
      <c r="N96" s="14" t="s">
        <v>90</v>
      </c>
      <c r="O96" s="14" t="s">
        <v>90</v>
      </c>
      <c r="P96" s="25"/>
    </row>
    <row r="97" spans="1:16" ht="25.5" customHeight="1" x14ac:dyDescent="0.15">
      <c r="A97" s="53">
        <f>A63</f>
        <v>42383</v>
      </c>
      <c r="B97" s="45" t="str">
        <f>LEFT(TEXT(A97,"aaaa"),1)</f>
        <v>木</v>
      </c>
      <c r="C97" s="39" t="str">
        <f t="shared" si="4"/>
        <v/>
      </c>
      <c r="D97" s="14"/>
      <c r="E97" s="14"/>
      <c r="F97" s="14" t="s">
        <v>90</v>
      </c>
      <c r="G97" s="14" t="s">
        <v>90</v>
      </c>
      <c r="H97" s="25"/>
      <c r="I97" s="53">
        <f>I63</f>
        <v>42398</v>
      </c>
      <c r="J97" s="45" t="str">
        <f>LEFT(TEXT(I97,"aaaa"),1)</f>
        <v>金</v>
      </c>
      <c r="K97" s="39" t="str">
        <f t="shared" si="5"/>
        <v/>
      </c>
      <c r="L97" s="14"/>
      <c r="M97" s="14"/>
      <c r="N97" s="14" t="s">
        <v>90</v>
      </c>
      <c r="O97" s="14" t="s">
        <v>90</v>
      </c>
      <c r="P97" s="25"/>
    </row>
    <row r="98" spans="1:16" ht="25.5" customHeight="1" x14ac:dyDescent="0.15">
      <c r="A98" s="53"/>
      <c r="B98" s="45"/>
      <c r="C98" s="39" t="str">
        <f t="shared" si="4"/>
        <v/>
      </c>
      <c r="D98" s="14"/>
      <c r="E98" s="14"/>
      <c r="F98" s="14" t="s">
        <v>90</v>
      </c>
      <c r="G98" s="14" t="s">
        <v>90</v>
      </c>
      <c r="H98" s="25"/>
      <c r="I98" s="53"/>
      <c r="J98" s="45"/>
      <c r="K98" s="39" t="str">
        <f t="shared" si="5"/>
        <v/>
      </c>
      <c r="L98" s="14"/>
      <c r="M98" s="14"/>
      <c r="N98" s="14" t="s">
        <v>90</v>
      </c>
      <c r="O98" s="14" t="s">
        <v>90</v>
      </c>
      <c r="P98" s="25"/>
    </row>
    <row r="99" spans="1:16" ht="25.5" customHeight="1" x14ac:dyDescent="0.15">
      <c r="A99" s="53">
        <f>A65</f>
        <v>42384</v>
      </c>
      <c r="B99" s="45" t="str">
        <f>LEFT(TEXT(A99,"aaaa"),1)</f>
        <v>金</v>
      </c>
      <c r="C99" s="39" t="str">
        <f t="shared" si="4"/>
        <v/>
      </c>
      <c r="D99" s="14"/>
      <c r="E99" s="14"/>
      <c r="F99" s="14" t="s">
        <v>90</v>
      </c>
      <c r="G99" s="14" t="s">
        <v>90</v>
      </c>
      <c r="H99" s="25"/>
      <c r="I99" s="53">
        <f>I65</f>
        <v>42399</v>
      </c>
      <c r="J99" s="45" t="str">
        <f>LEFT(TEXT(I99,"aaaa"),1)</f>
        <v>土</v>
      </c>
      <c r="K99" s="39" t="str">
        <f t="shared" si="5"/>
        <v/>
      </c>
      <c r="L99" s="14"/>
      <c r="M99" s="14"/>
      <c r="N99" s="14" t="s">
        <v>90</v>
      </c>
      <c r="O99" s="14" t="s">
        <v>90</v>
      </c>
      <c r="P99" s="25"/>
    </row>
    <row r="100" spans="1:16" ht="25.5" customHeight="1" x14ac:dyDescent="0.15">
      <c r="A100" s="53"/>
      <c r="B100" s="45"/>
      <c r="C100" s="39" t="str">
        <f t="shared" si="4"/>
        <v/>
      </c>
      <c r="D100" s="14"/>
      <c r="E100" s="14"/>
      <c r="F100" s="14" t="s">
        <v>90</v>
      </c>
      <c r="G100" s="14" t="s">
        <v>90</v>
      </c>
      <c r="H100" s="25"/>
      <c r="I100" s="53"/>
      <c r="J100" s="45"/>
      <c r="K100" s="39" t="str">
        <f t="shared" si="5"/>
        <v/>
      </c>
      <c r="L100" s="14"/>
      <c r="M100" s="14"/>
      <c r="N100" s="14" t="s">
        <v>90</v>
      </c>
      <c r="O100" s="14" t="s">
        <v>90</v>
      </c>
      <c r="P100" s="25"/>
    </row>
    <row r="101" spans="1:16" ht="25.5" customHeight="1" x14ac:dyDescent="0.15">
      <c r="A101" s="35"/>
      <c r="B101" s="25"/>
      <c r="C101" s="40"/>
      <c r="D101" s="25"/>
      <c r="E101" s="14"/>
      <c r="F101" s="14" t="s">
        <v>90</v>
      </c>
      <c r="G101" s="14" t="s">
        <v>90</v>
      </c>
      <c r="H101" s="25"/>
      <c r="I101" s="53">
        <f>I67</f>
        <v>42400</v>
      </c>
      <c r="J101" s="25"/>
      <c r="K101" s="40"/>
      <c r="L101" s="25"/>
      <c r="M101" s="14"/>
      <c r="N101" s="14" t="s">
        <v>90</v>
      </c>
      <c r="O101" s="14" t="s">
        <v>90</v>
      </c>
      <c r="P101" s="25"/>
    </row>
    <row r="102" spans="1:16" ht="25.5" customHeight="1" x14ac:dyDescent="0.15">
      <c r="A102" s="35"/>
      <c r="B102" s="25"/>
      <c r="C102" s="40"/>
      <c r="D102" s="25"/>
      <c r="E102" s="14"/>
      <c r="F102" s="14" t="s">
        <v>90</v>
      </c>
      <c r="G102" s="14" t="s">
        <v>90</v>
      </c>
      <c r="H102" s="25"/>
      <c r="I102" s="53"/>
      <c r="J102" s="25"/>
      <c r="K102" s="40"/>
      <c r="L102" s="25"/>
      <c r="M102" s="14"/>
      <c r="N102" s="14" t="s">
        <v>90</v>
      </c>
      <c r="O102" s="14" t="s">
        <v>90</v>
      </c>
      <c r="P102" s="25"/>
    </row>
    <row r="103" spans="1:16" ht="18" customHeight="1" x14ac:dyDescent="0.15">
      <c r="A103" s="54" t="s">
        <v>80</v>
      </c>
      <c r="B103" s="54"/>
      <c r="C103" s="54"/>
      <c r="D103" s="54"/>
      <c r="E103" s="54"/>
      <c r="F103" s="54"/>
      <c r="G103" s="54"/>
      <c r="H103" s="54"/>
      <c r="I103" s="54"/>
      <c r="K103" s="32"/>
      <c r="M103" s="31"/>
      <c r="O103" s="55">
        <f>A105</f>
        <v>42370</v>
      </c>
      <c r="P103" s="55"/>
    </row>
    <row r="104" spans="1:16" s="44" customFormat="1" ht="21" customHeight="1" x14ac:dyDescent="0.15">
      <c r="A104" s="56" t="s">
        <v>89</v>
      </c>
      <c r="B104" s="57"/>
      <c r="C104" s="42" t="s">
        <v>87</v>
      </c>
      <c r="D104" s="43" t="s">
        <v>86</v>
      </c>
      <c r="E104" s="42" t="s">
        <v>88</v>
      </c>
      <c r="F104" s="42" t="s">
        <v>83</v>
      </c>
      <c r="G104" s="42" t="s">
        <v>84</v>
      </c>
      <c r="H104" s="42" t="s">
        <v>85</v>
      </c>
      <c r="I104" s="56" t="s">
        <v>89</v>
      </c>
      <c r="J104" s="57"/>
      <c r="K104" s="42" t="s">
        <v>87</v>
      </c>
      <c r="L104" s="43" t="s">
        <v>86</v>
      </c>
      <c r="M104" s="42" t="s">
        <v>88</v>
      </c>
      <c r="N104" s="42" t="s">
        <v>83</v>
      </c>
      <c r="O104" s="42" t="s">
        <v>84</v>
      </c>
      <c r="P104" s="42" t="s">
        <v>85</v>
      </c>
    </row>
    <row r="105" spans="1:16" ht="25.5" customHeight="1" x14ac:dyDescent="0.15">
      <c r="A105" s="53">
        <f>A71</f>
        <v>42370</v>
      </c>
      <c r="B105" s="45" t="str">
        <f>LEFT(TEXT(A105,"aaaa"),1)</f>
        <v>金</v>
      </c>
      <c r="C105" s="39"/>
      <c r="D105" s="14"/>
      <c r="E105" s="14" t="s">
        <v>81</v>
      </c>
      <c r="F105" s="14" t="s">
        <v>90</v>
      </c>
      <c r="G105" s="14" t="s">
        <v>90</v>
      </c>
      <c r="H105" s="25"/>
      <c r="I105" s="53">
        <f>I71</f>
        <v>42385</v>
      </c>
      <c r="J105" s="45" t="str">
        <f>LEFT(TEXT(I105,"aaaa"),1)</f>
        <v>土</v>
      </c>
      <c r="K105" s="34" t="str">
        <f>IF(C105="","",C105)</f>
        <v/>
      </c>
      <c r="L105" s="14"/>
      <c r="M105" s="14" t="s">
        <v>81</v>
      </c>
      <c r="N105" s="14" t="s">
        <v>90</v>
      </c>
      <c r="O105" s="14" t="s">
        <v>90</v>
      </c>
      <c r="P105" s="25"/>
    </row>
    <row r="106" spans="1:16" ht="25.5" customHeight="1" x14ac:dyDescent="0.15">
      <c r="A106" s="53"/>
      <c r="B106" s="45"/>
      <c r="C106" s="33"/>
      <c r="D106" s="14"/>
      <c r="E106" s="14" t="s">
        <v>82</v>
      </c>
      <c r="F106" s="14" t="s">
        <v>90</v>
      </c>
      <c r="G106" s="14" t="s">
        <v>90</v>
      </c>
      <c r="H106" s="25"/>
      <c r="I106" s="53"/>
      <c r="J106" s="45"/>
      <c r="K106" s="34" t="str">
        <f>IF(C106="","",C106)</f>
        <v/>
      </c>
      <c r="L106" s="14"/>
      <c r="M106" s="14" t="s">
        <v>82</v>
      </c>
      <c r="N106" s="14" t="s">
        <v>90</v>
      </c>
      <c r="O106" s="14" t="s">
        <v>90</v>
      </c>
      <c r="P106" s="25"/>
    </row>
    <row r="107" spans="1:16" ht="25.5" customHeight="1" x14ac:dyDescent="0.15">
      <c r="A107" s="53">
        <f>A73</f>
        <v>42371</v>
      </c>
      <c r="B107" s="45" t="str">
        <f>LEFT(TEXT(A107,"aaaa"),1)</f>
        <v>土</v>
      </c>
      <c r="C107" s="39" t="str">
        <f>IF(C105="","",C105)</f>
        <v/>
      </c>
      <c r="D107" s="14"/>
      <c r="E107" s="14"/>
      <c r="F107" s="14" t="s">
        <v>90</v>
      </c>
      <c r="G107" s="14" t="s">
        <v>90</v>
      </c>
      <c r="H107" s="25"/>
      <c r="I107" s="53">
        <f>I73</f>
        <v>42386</v>
      </c>
      <c r="J107" s="45" t="str">
        <f>LEFT(TEXT(I107,"aaaa"),1)</f>
        <v>日</v>
      </c>
      <c r="K107" s="39" t="str">
        <f>IF(K105="","",K105)</f>
        <v/>
      </c>
      <c r="L107" s="14"/>
      <c r="M107" s="14"/>
      <c r="N107" s="14" t="s">
        <v>90</v>
      </c>
      <c r="O107" s="14" t="s">
        <v>90</v>
      </c>
      <c r="P107" s="25"/>
    </row>
    <row r="108" spans="1:16" ht="25.5" customHeight="1" x14ac:dyDescent="0.15">
      <c r="A108" s="53"/>
      <c r="B108" s="45"/>
      <c r="C108" s="39" t="str">
        <f>IF(C106="","",C106)</f>
        <v/>
      </c>
      <c r="D108" s="14"/>
      <c r="E108" s="14"/>
      <c r="F108" s="14" t="s">
        <v>90</v>
      </c>
      <c r="G108" s="14" t="s">
        <v>90</v>
      </c>
      <c r="H108" s="25"/>
      <c r="I108" s="53"/>
      <c r="J108" s="45"/>
      <c r="K108" s="39" t="str">
        <f>IF(K106="","",K106)</f>
        <v/>
      </c>
      <c r="L108" s="14"/>
      <c r="M108" s="14"/>
      <c r="N108" s="14" t="s">
        <v>90</v>
      </c>
      <c r="O108" s="14" t="s">
        <v>90</v>
      </c>
      <c r="P108" s="25"/>
    </row>
    <row r="109" spans="1:16" ht="25.5" customHeight="1" x14ac:dyDescent="0.15">
      <c r="A109" s="53">
        <f>A75</f>
        <v>42372</v>
      </c>
      <c r="B109" s="45" t="str">
        <f>LEFT(TEXT(A109,"aaaa"),1)</f>
        <v>日</v>
      </c>
      <c r="C109" s="39" t="str">
        <f t="shared" ref="C109:C134" si="6">IF(C107="","",C107)</f>
        <v/>
      </c>
      <c r="D109" s="14"/>
      <c r="E109" s="14"/>
      <c r="F109" s="14" t="s">
        <v>90</v>
      </c>
      <c r="G109" s="14" t="s">
        <v>90</v>
      </c>
      <c r="H109" s="25"/>
      <c r="I109" s="53">
        <f>I75</f>
        <v>42387</v>
      </c>
      <c r="J109" s="45" t="str">
        <f>LEFT(TEXT(I109,"aaaa"),1)</f>
        <v>月</v>
      </c>
      <c r="K109" s="39" t="str">
        <f t="shared" ref="K109:K134" si="7">IF(K107="","",K107)</f>
        <v/>
      </c>
      <c r="L109" s="14"/>
      <c r="M109" s="14"/>
      <c r="N109" s="14" t="s">
        <v>90</v>
      </c>
      <c r="O109" s="14" t="s">
        <v>90</v>
      </c>
      <c r="P109" s="25"/>
    </row>
    <row r="110" spans="1:16" ht="25.5" customHeight="1" x14ac:dyDescent="0.15">
      <c r="A110" s="53"/>
      <c r="B110" s="45"/>
      <c r="C110" s="39" t="str">
        <f t="shared" si="6"/>
        <v/>
      </c>
      <c r="D110" s="14"/>
      <c r="E110" s="14"/>
      <c r="F110" s="14" t="s">
        <v>90</v>
      </c>
      <c r="G110" s="14" t="s">
        <v>90</v>
      </c>
      <c r="H110" s="25"/>
      <c r="I110" s="53"/>
      <c r="J110" s="45"/>
      <c r="K110" s="39" t="str">
        <f t="shared" si="7"/>
        <v/>
      </c>
      <c r="L110" s="14"/>
      <c r="M110" s="14"/>
      <c r="N110" s="14" t="s">
        <v>90</v>
      </c>
      <c r="O110" s="14" t="s">
        <v>90</v>
      </c>
      <c r="P110" s="25"/>
    </row>
    <row r="111" spans="1:16" ht="25.5" customHeight="1" x14ac:dyDescent="0.15">
      <c r="A111" s="53">
        <f>A77</f>
        <v>42373</v>
      </c>
      <c r="B111" s="45" t="str">
        <f>LEFT(TEXT(A111,"aaaa"),1)</f>
        <v>月</v>
      </c>
      <c r="C111" s="39" t="str">
        <f t="shared" si="6"/>
        <v/>
      </c>
      <c r="D111" s="14"/>
      <c r="E111" s="14"/>
      <c r="F111" s="14" t="s">
        <v>90</v>
      </c>
      <c r="G111" s="14" t="s">
        <v>90</v>
      </c>
      <c r="H111" s="25"/>
      <c r="I111" s="53">
        <f>I77</f>
        <v>42388</v>
      </c>
      <c r="J111" s="45" t="str">
        <f>LEFT(TEXT(I111,"aaaa"),1)</f>
        <v>火</v>
      </c>
      <c r="K111" s="39" t="str">
        <f t="shared" si="7"/>
        <v/>
      </c>
      <c r="L111" s="14"/>
      <c r="M111" s="14"/>
      <c r="N111" s="14" t="s">
        <v>90</v>
      </c>
      <c r="O111" s="14" t="s">
        <v>90</v>
      </c>
      <c r="P111" s="25"/>
    </row>
    <row r="112" spans="1:16" ht="25.5" customHeight="1" x14ac:dyDescent="0.15">
      <c r="A112" s="53"/>
      <c r="B112" s="45"/>
      <c r="C112" s="39" t="str">
        <f t="shared" si="6"/>
        <v/>
      </c>
      <c r="D112" s="14"/>
      <c r="E112" s="14"/>
      <c r="F112" s="14" t="s">
        <v>90</v>
      </c>
      <c r="G112" s="14" t="s">
        <v>90</v>
      </c>
      <c r="H112" s="25"/>
      <c r="I112" s="53"/>
      <c r="J112" s="45"/>
      <c r="K112" s="39" t="str">
        <f t="shared" si="7"/>
        <v/>
      </c>
      <c r="L112" s="14"/>
      <c r="M112" s="14"/>
      <c r="N112" s="14" t="s">
        <v>90</v>
      </c>
      <c r="O112" s="14" t="s">
        <v>90</v>
      </c>
      <c r="P112" s="25"/>
    </row>
    <row r="113" spans="1:16" ht="25.5" customHeight="1" x14ac:dyDescent="0.15">
      <c r="A113" s="53">
        <f>A79</f>
        <v>42374</v>
      </c>
      <c r="B113" s="45" t="str">
        <f>LEFT(TEXT(A113,"aaaa"),1)</f>
        <v>火</v>
      </c>
      <c r="C113" s="39" t="str">
        <f t="shared" si="6"/>
        <v/>
      </c>
      <c r="D113" s="14"/>
      <c r="E113" s="14"/>
      <c r="F113" s="14" t="s">
        <v>90</v>
      </c>
      <c r="G113" s="14" t="s">
        <v>90</v>
      </c>
      <c r="H113" s="25"/>
      <c r="I113" s="53">
        <f>I79</f>
        <v>42389</v>
      </c>
      <c r="J113" s="45" t="str">
        <f>LEFT(TEXT(I113,"aaaa"),1)</f>
        <v>水</v>
      </c>
      <c r="K113" s="39" t="str">
        <f t="shared" si="7"/>
        <v/>
      </c>
      <c r="L113" s="14"/>
      <c r="M113" s="14"/>
      <c r="N113" s="14" t="s">
        <v>90</v>
      </c>
      <c r="O113" s="14" t="s">
        <v>90</v>
      </c>
      <c r="P113" s="25"/>
    </row>
    <row r="114" spans="1:16" ht="25.5" customHeight="1" x14ac:dyDescent="0.15">
      <c r="A114" s="53"/>
      <c r="B114" s="45"/>
      <c r="C114" s="39" t="str">
        <f t="shared" si="6"/>
        <v/>
      </c>
      <c r="D114" s="14"/>
      <c r="E114" s="14"/>
      <c r="F114" s="14" t="s">
        <v>90</v>
      </c>
      <c r="G114" s="14" t="s">
        <v>90</v>
      </c>
      <c r="H114" s="25"/>
      <c r="I114" s="53"/>
      <c r="J114" s="45"/>
      <c r="K114" s="39" t="str">
        <f t="shared" si="7"/>
        <v/>
      </c>
      <c r="L114" s="14"/>
      <c r="M114" s="14"/>
      <c r="N114" s="14" t="s">
        <v>90</v>
      </c>
      <c r="O114" s="14" t="s">
        <v>90</v>
      </c>
      <c r="P114" s="25"/>
    </row>
    <row r="115" spans="1:16" ht="25.5" customHeight="1" x14ac:dyDescent="0.15">
      <c r="A115" s="53">
        <f>A81</f>
        <v>42375</v>
      </c>
      <c r="B115" s="45" t="str">
        <f>LEFT(TEXT(A115,"aaaa"),1)</f>
        <v>水</v>
      </c>
      <c r="C115" s="39" t="str">
        <f t="shared" si="6"/>
        <v/>
      </c>
      <c r="D115" s="14"/>
      <c r="E115" s="14"/>
      <c r="F115" s="14" t="s">
        <v>90</v>
      </c>
      <c r="G115" s="14" t="s">
        <v>90</v>
      </c>
      <c r="H115" s="25"/>
      <c r="I115" s="53">
        <f>I81</f>
        <v>42390</v>
      </c>
      <c r="J115" s="45" t="str">
        <f>LEFT(TEXT(I115,"aaaa"),1)</f>
        <v>木</v>
      </c>
      <c r="K115" s="39" t="str">
        <f t="shared" si="7"/>
        <v/>
      </c>
      <c r="L115" s="14"/>
      <c r="M115" s="14"/>
      <c r="N115" s="14" t="s">
        <v>90</v>
      </c>
      <c r="O115" s="14" t="s">
        <v>90</v>
      </c>
      <c r="P115" s="25"/>
    </row>
    <row r="116" spans="1:16" ht="25.5" customHeight="1" x14ac:dyDescent="0.15">
      <c r="A116" s="53"/>
      <c r="B116" s="45"/>
      <c r="C116" s="39" t="str">
        <f t="shared" si="6"/>
        <v/>
      </c>
      <c r="D116" s="14"/>
      <c r="E116" s="14"/>
      <c r="F116" s="14" t="s">
        <v>90</v>
      </c>
      <c r="G116" s="14" t="s">
        <v>90</v>
      </c>
      <c r="H116" s="25"/>
      <c r="I116" s="53"/>
      <c r="J116" s="45"/>
      <c r="K116" s="39" t="str">
        <f t="shared" si="7"/>
        <v/>
      </c>
      <c r="L116" s="14"/>
      <c r="M116" s="14"/>
      <c r="N116" s="14" t="s">
        <v>90</v>
      </c>
      <c r="O116" s="14" t="s">
        <v>90</v>
      </c>
      <c r="P116" s="25"/>
    </row>
    <row r="117" spans="1:16" ht="25.5" customHeight="1" x14ac:dyDescent="0.15">
      <c r="A117" s="53">
        <f>A83</f>
        <v>42376</v>
      </c>
      <c r="B117" s="45" t="str">
        <f>LEFT(TEXT(A117,"aaaa"),1)</f>
        <v>木</v>
      </c>
      <c r="C117" s="39" t="str">
        <f t="shared" si="6"/>
        <v/>
      </c>
      <c r="D117" s="14"/>
      <c r="E117" s="14"/>
      <c r="F117" s="14" t="s">
        <v>90</v>
      </c>
      <c r="G117" s="14" t="s">
        <v>90</v>
      </c>
      <c r="H117" s="25"/>
      <c r="I117" s="53">
        <f>I83</f>
        <v>42391</v>
      </c>
      <c r="J117" s="45" t="str">
        <f>LEFT(TEXT(I117,"aaaa"),1)</f>
        <v>金</v>
      </c>
      <c r="K117" s="39" t="str">
        <f t="shared" si="7"/>
        <v/>
      </c>
      <c r="L117" s="14"/>
      <c r="M117" s="14"/>
      <c r="N117" s="14" t="s">
        <v>90</v>
      </c>
      <c r="O117" s="14" t="s">
        <v>90</v>
      </c>
      <c r="P117" s="25"/>
    </row>
    <row r="118" spans="1:16" ht="25.5" customHeight="1" x14ac:dyDescent="0.15">
      <c r="A118" s="53"/>
      <c r="B118" s="45"/>
      <c r="C118" s="39" t="str">
        <f t="shared" si="6"/>
        <v/>
      </c>
      <c r="D118" s="14"/>
      <c r="E118" s="14"/>
      <c r="F118" s="14" t="s">
        <v>90</v>
      </c>
      <c r="G118" s="14" t="s">
        <v>90</v>
      </c>
      <c r="H118" s="25"/>
      <c r="I118" s="53"/>
      <c r="J118" s="45"/>
      <c r="K118" s="39" t="str">
        <f t="shared" si="7"/>
        <v/>
      </c>
      <c r="L118" s="14"/>
      <c r="M118" s="14"/>
      <c r="N118" s="14" t="s">
        <v>90</v>
      </c>
      <c r="O118" s="14" t="s">
        <v>90</v>
      </c>
      <c r="P118" s="25"/>
    </row>
    <row r="119" spans="1:16" ht="25.5" customHeight="1" x14ac:dyDescent="0.15">
      <c r="A119" s="53">
        <f>A85</f>
        <v>42377</v>
      </c>
      <c r="B119" s="45" t="str">
        <f>LEFT(TEXT(A119,"aaaa"),1)</f>
        <v>金</v>
      </c>
      <c r="C119" s="39" t="str">
        <f t="shared" si="6"/>
        <v/>
      </c>
      <c r="D119" s="14"/>
      <c r="E119" s="14"/>
      <c r="F119" s="14" t="s">
        <v>90</v>
      </c>
      <c r="G119" s="14" t="s">
        <v>90</v>
      </c>
      <c r="H119" s="25"/>
      <c r="I119" s="53">
        <f>I85</f>
        <v>42392</v>
      </c>
      <c r="J119" s="45" t="str">
        <f>LEFT(TEXT(I119,"aaaa"),1)</f>
        <v>土</v>
      </c>
      <c r="K119" s="39" t="str">
        <f t="shared" si="7"/>
        <v/>
      </c>
      <c r="L119" s="14"/>
      <c r="M119" s="14"/>
      <c r="N119" s="14" t="s">
        <v>90</v>
      </c>
      <c r="O119" s="14" t="s">
        <v>90</v>
      </c>
      <c r="P119" s="25"/>
    </row>
    <row r="120" spans="1:16" ht="25.5" customHeight="1" x14ac:dyDescent="0.15">
      <c r="A120" s="53"/>
      <c r="B120" s="45"/>
      <c r="C120" s="39" t="str">
        <f t="shared" si="6"/>
        <v/>
      </c>
      <c r="D120" s="14"/>
      <c r="E120" s="14"/>
      <c r="F120" s="14" t="s">
        <v>90</v>
      </c>
      <c r="G120" s="14" t="s">
        <v>90</v>
      </c>
      <c r="H120" s="25"/>
      <c r="I120" s="53"/>
      <c r="J120" s="45"/>
      <c r="K120" s="39" t="str">
        <f t="shared" si="7"/>
        <v/>
      </c>
      <c r="L120" s="14"/>
      <c r="M120" s="14"/>
      <c r="N120" s="14" t="s">
        <v>90</v>
      </c>
      <c r="O120" s="14" t="s">
        <v>90</v>
      </c>
      <c r="P120" s="25"/>
    </row>
    <row r="121" spans="1:16" ht="25.5" customHeight="1" x14ac:dyDescent="0.15">
      <c r="A121" s="53">
        <f>A87</f>
        <v>42378</v>
      </c>
      <c r="B121" s="45" t="str">
        <f>LEFT(TEXT(A121,"aaaa"),1)</f>
        <v>土</v>
      </c>
      <c r="C121" s="39" t="str">
        <f t="shared" si="6"/>
        <v/>
      </c>
      <c r="D121" s="14"/>
      <c r="E121" s="14"/>
      <c r="F121" s="14" t="s">
        <v>90</v>
      </c>
      <c r="G121" s="14" t="s">
        <v>90</v>
      </c>
      <c r="H121" s="25"/>
      <c r="I121" s="53">
        <f>I87</f>
        <v>42393</v>
      </c>
      <c r="J121" s="45" t="str">
        <f>LEFT(TEXT(I121,"aaaa"),1)</f>
        <v>日</v>
      </c>
      <c r="K121" s="39" t="str">
        <f t="shared" si="7"/>
        <v/>
      </c>
      <c r="L121" s="14"/>
      <c r="M121" s="14"/>
      <c r="N121" s="14" t="s">
        <v>90</v>
      </c>
      <c r="O121" s="14" t="s">
        <v>90</v>
      </c>
      <c r="P121" s="25"/>
    </row>
    <row r="122" spans="1:16" ht="25.5" customHeight="1" x14ac:dyDescent="0.15">
      <c r="A122" s="53"/>
      <c r="B122" s="45"/>
      <c r="C122" s="39" t="str">
        <f t="shared" si="6"/>
        <v/>
      </c>
      <c r="D122" s="14"/>
      <c r="E122" s="14"/>
      <c r="F122" s="14" t="s">
        <v>90</v>
      </c>
      <c r="G122" s="14" t="s">
        <v>90</v>
      </c>
      <c r="H122" s="25"/>
      <c r="I122" s="53"/>
      <c r="J122" s="45"/>
      <c r="K122" s="39" t="str">
        <f t="shared" si="7"/>
        <v/>
      </c>
      <c r="L122" s="14"/>
      <c r="M122" s="14"/>
      <c r="N122" s="14" t="s">
        <v>90</v>
      </c>
      <c r="O122" s="14" t="s">
        <v>90</v>
      </c>
      <c r="P122" s="25"/>
    </row>
    <row r="123" spans="1:16" ht="25.5" customHeight="1" x14ac:dyDescent="0.15">
      <c r="A123" s="53">
        <f>A89</f>
        <v>42379</v>
      </c>
      <c r="B123" s="45" t="str">
        <f>LEFT(TEXT(A123,"aaaa"),1)</f>
        <v>日</v>
      </c>
      <c r="C123" s="39" t="str">
        <f t="shared" si="6"/>
        <v/>
      </c>
      <c r="D123" s="14"/>
      <c r="E123" s="14"/>
      <c r="F123" s="14" t="s">
        <v>90</v>
      </c>
      <c r="G123" s="14" t="s">
        <v>90</v>
      </c>
      <c r="H123" s="25"/>
      <c r="I123" s="53">
        <f>I89</f>
        <v>42394</v>
      </c>
      <c r="J123" s="45" t="str">
        <f>LEFT(TEXT(I123,"aaaa"),1)</f>
        <v>月</v>
      </c>
      <c r="K123" s="39" t="str">
        <f t="shared" si="7"/>
        <v/>
      </c>
      <c r="L123" s="14"/>
      <c r="M123" s="14"/>
      <c r="N123" s="14" t="s">
        <v>90</v>
      </c>
      <c r="O123" s="14" t="s">
        <v>90</v>
      </c>
      <c r="P123" s="25"/>
    </row>
    <row r="124" spans="1:16" ht="25.5" customHeight="1" x14ac:dyDescent="0.15">
      <c r="A124" s="53"/>
      <c r="B124" s="45"/>
      <c r="C124" s="39" t="str">
        <f t="shared" si="6"/>
        <v/>
      </c>
      <c r="D124" s="14"/>
      <c r="E124" s="14"/>
      <c r="F124" s="14" t="s">
        <v>90</v>
      </c>
      <c r="G124" s="14" t="s">
        <v>90</v>
      </c>
      <c r="H124" s="25"/>
      <c r="I124" s="53"/>
      <c r="J124" s="45"/>
      <c r="K124" s="39" t="str">
        <f t="shared" si="7"/>
        <v/>
      </c>
      <c r="L124" s="14"/>
      <c r="M124" s="14"/>
      <c r="N124" s="14" t="s">
        <v>90</v>
      </c>
      <c r="O124" s="14" t="s">
        <v>90</v>
      </c>
      <c r="P124" s="25"/>
    </row>
    <row r="125" spans="1:16" ht="25.5" customHeight="1" x14ac:dyDescent="0.15">
      <c r="A125" s="53">
        <f>A91</f>
        <v>42380</v>
      </c>
      <c r="B125" s="45" t="str">
        <f>LEFT(TEXT(A125,"aaaa"),1)</f>
        <v>月</v>
      </c>
      <c r="C125" s="39" t="str">
        <f t="shared" si="6"/>
        <v/>
      </c>
      <c r="D125" s="14"/>
      <c r="E125" s="14"/>
      <c r="F125" s="14" t="s">
        <v>90</v>
      </c>
      <c r="G125" s="14" t="s">
        <v>90</v>
      </c>
      <c r="H125" s="25"/>
      <c r="I125" s="53">
        <f>I91</f>
        <v>42395</v>
      </c>
      <c r="J125" s="45" t="str">
        <f>LEFT(TEXT(I125,"aaaa"),1)</f>
        <v>火</v>
      </c>
      <c r="K125" s="39" t="str">
        <f t="shared" si="7"/>
        <v/>
      </c>
      <c r="L125" s="14"/>
      <c r="M125" s="14"/>
      <c r="N125" s="14" t="s">
        <v>90</v>
      </c>
      <c r="O125" s="14" t="s">
        <v>90</v>
      </c>
      <c r="P125" s="25"/>
    </row>
    <row r="126" spans="1:16" ht="25.5" customHeight="1" x14ac:dyDescent="0.15">
      <c r="A126" s="53"/>
      <c r="B126" s="45"/>
      <c r="C126" s="39" t="str">
        <f t="shared" si="6"/>
        <v/>
      </c>
      <c r="D126" s="14"/>
      <c r="E126" s="14"/>
      <c r="F126" s="14" t="s">
        <v>90</v>
      </c>
      <c r="G126" s="14" t="s">
        <v>90</v>
      </c>
      <c r="H126" s="25"/>
      <c r="I126" s="53"/>
      <c r="J126" s="45"/>
      <c r="K126" s="39" t="str">
        <f t="shared" si="7"/>
        <v/>
      </c>
      <c r="L126" s="14"/>
      <c r="M126" s="14"/>
      <c r="N126" s="14" t="s">
        <v>90</v>
      </c>
      <c r="O126" s="14" t="s">
        <v>90</v>
      </c>
      <c r="P126" s="25"/>
    </row>
    <row r="127" spans="1:16" ht="25.5" customHeight="1" x14ac:dyDescent="0.15">
      <c r="A127" s="53">
        <f>A93</f>
        <v>42381</v>
      </c>
      <c r="B127" s="45" t="str">
        <f>LEFT(TEXT(A127,"aaaa"),1)</f>
        <v>火</v>
      </c>
      <c r="C127" s="39" t="str">
        <f t="shared" si="6"/>
        <v/>
      </c>
      <c r="D127" s="14"/>
      <c r="E127" s="14"/>
      <c r="F127" s="14" t="s">
        <v>90</v>
      </c>
      <c r="G127" s="14" t="s">
        <v>90</v>
      </c>
      <c r="H127" s="25"/>
      <c r="I127" s="53">
        <f>I93</f>
        <v>42396</v>
      </c>
      <c r="J127" s="45" t="str">
        <f>LEFT(TEXT(I127,"aaaa"),1)</f>
        <v>水</v>
      </c>
      <c r="K127" s="39" t="str">
        <f t="shared" si="7"/>
        <v/>
      </c>
      <c r="L127" s="14"/>
      <c r="M127" s="14"/>
      <c r="N127" s="14" t="s">
        <v>90</v>
      </c>
      <c r="O127" s="14" t="s">
        <v>90</v>
      </c>
      <c r="P127" s="25"/>
    </row>
    <row r="128" spans="1:16" ht="25.5" customHeight="1" x14ac:dyDescent="0.15">
      <c r="A128" s="53"/>
      <c r="B128" s="45"/>
      <c r="C128" s="39" t="str">
        <f t="shared" si="6"/>
        <v/>
      </c>
      <c r="D128" s="14"/>
      <c r="E128" s="14"/>
      <c r="F128" s="14" t="s">
        <v>90</v>
      </c>
      <c r="G128" s="14" t="s">
        <v>90</v>
      </c>
      <c r="H128" s="25"/>
      <c r="I128" s="53"/>
      <c r="J128" s="45"/>
      <c r="K128" s="39" t="str">
        <f t="shared" si="7"/>
        <v/>
      </c>
      <c r="L128" s="14"/>
      <c r="M128" s="14"/>
      <c r="N128" s="14" t="s">
        <v>90</v>
      </c>
      <c r="O128" s="14" t="s">
        <v>90</v>
      </c>
      <c r="P128" s="25"/>
    </row>
    <row r="129" spans="1:16" ht="25.5" customHeight="1" x14ac:dyDescent="0.15">
      <c r="A129" s="53">
        <f>A95</f>
        <v>42382</v>
      </c>
      <c r="B129" s="45" t="str">
        <f>LEFT(TEXT(A129,"aaaa"),1)</f>
        <v>水</v>
      </c>
      <c r="C129" s="39" t="str">
        <f t="shared" si="6"/>
        <v/>
      </c>
      <c r="D129" s="14"/>
      <c r="E129" s="14"/>
      <c r="F129" s="14" t="s">
        <v>90</v>
      </c>
      <c r="G129" s="14" t="s">
        <v>90</v>
      </c>
      <c r="H129" s="25"/>
      <c r="I129" s="53">
        <f>I95</f>
        <v>42397</v>
      </c>
      <c r="J129" s="45" t="str">
        <f>LEFT(TEXT(I129,"aaaa"),1)</f>
        <v>木</v>
      </c>
      <c r="K129" s="39" t="str">
        <f t="shared" si="7"/>
        <v/>
      </c>
      <c r="L129" s="14"/>
      <c r="M129" s="14"/>
      <c r="N129" s="14" t="s">
        <v>90</v>
      </c>
      <c r="O129" s="14" t="s">
        <v>90</v>
      </c>
      <c r="P129" s="25"/>
    </row>
    <row r="130" spans="1:16" ht="25.5" customHeight="1" x14ac:dyDescent="0.15">
      <c r="A130" s="53"/>
      <c r="B130" s="45"/>
      <c r="C130" s="39" t="str">
        <f t="shared" si="6"/>
        <v/>
      </c>
      <c r="D130" s="14"/>
      <c r="E130" s="14"/>
      <c r="F130" s="14" t="s">
        <v>90</v>
      </c>
      <c r="G130" s="14" t="s">
        <v>90</v>
      </c>
      <c r="H130" s="25"/>
      <c r="I130" s="53"/>
      <c r="J130" s="45"/>
      <c r="K130" s="39" t="str">
        <f t="shared" si="7"/>
        <v/>
      </c>
      <c r="L130" s="14"/>
      <c r="M130" s="14"/>
      <c r="N130" s="14" t="s">
        <v>90</v>
      </c>
      <c r="O130" s="14" t="s">
        <v>90</v>
      </c>
      <c r="P130" s="25"/>
    </row>
    <row r="131" spans="1:16" ht="25.5" customHeight="1" x14ac:dyDescent="0.15">
      <c r="A131" s="53">
        <f>A97</f>
        <v>42383</v>
      </c>
      <c r="B131" s="45" t="str">
        <f>LEFT(TEXT(A131,"aaaa"),1)</f>
        <v>木</v>
      </c>
      <c r="C131" s="39" t="str">
        <f t="shared" si="6"/>
        <v/>
      </c>
      <c r="D131" s="14"/>
      <c r="E131" s="14"/>
      <c r="F131" s="14" t="s">
        <v>90</v>
      </c>
      <c r="G131" s="14" t="s">
        <v>90</v>
      </c>
      <c r="H131" s="25"/>
      <c r="I131" s="53">
        <f>I97</f>
        <v>42398</v>
      </c>
      <c r="J131" s="45" t="str">
        <f>LEFT(TEXT(I131,"aaaa"),1)</f>
        <v>金</v>
      </c>
      <c r="K131" s="39" t="str">
        <f t="shared" si="7"/>
        <v/>
      </c>
      <c r="L131" s="14"/>
      <c r="M131" s="14"/>
      <c r="N131" s="14" t="s">
        <v>90</v>
      </c>
      <c r="O131" s="14" t="s">
        <v>90</v>
      </c>
      <c r="P131" s="25"/>
    </row>
    <row r="132" spans="1:16" ht="25.5" customHeight="1" x14ac:dyDescent="0.15">
      <c r="A132" s="53"/>
      <c r="B132" s="45"/>
      <c r="C132" s="39" t="str">
        <f t="shared" si="6"/>
        <v/>
      </c>
      <c r="D132" s="14"/>
      <c r="E132" s="14"/>
      <c r="F132" s="14" t="s">
        <v>90</v>
      </c>
      <c r="G132" s="14" t="s">
        <v>90</v>
      </c>
      <c r="H132" s="25"/>
      <c r="I132" s="53"/>
      <c r="J132" s="45"/>
      <c r="K132" s="39" t="str">
        <f t="shared" si="7"/>
        <v/>
      </c>
      <c r="L132" s="14"/>
      <c r="M132" s="14"/>
      <c r="N132" s="14" t="s">
        <v>90</v>
      </c>
      <c r="O132" s="14" t="s">
        <v>90</v>
      </c>
      <c r="P132" s="25"/>
    </row>
    <row r="133" spans="1:16" ht="25.5" customHeight="1" x14ac:dyDescent="0.15">
      <c r="A133" s="53">
        <f>A99</f>
        <v>42384</v>
      </c>
      <c r="B133" s="45" t="str">
        <f>LEFT(TEXT(A133,"aaaa"),1)</f>
        <v>金</v>
      </c>
      <c r="C133" s="39" t="str">
        <f t="shared" si="6"/>
        <v/>
      </c>
      <c r="D133" s="14"/>
      <c r="E133" s="14"/>
      <c r="F133" s="14" t="s">
        <v>90</v>
      </c>
      <c r="G133" s="14" t="s">
        <v>90</v>
      </c>
      <c r="H133" s="25"/>
      <c r="I133" s="53">
        <f>I99</f>
        <v>42399</v>
      </c>
      <c r="J133" s="45" t="str">
        <f>LEFT(TEXT(I133,"aaaa"),1)</f>
        <v>土</v>
      </c>
      <c r="K133" s="39" t="str">
        <f t="shared" si="7"/>
        <v/>
      </c>
      <c r="L133" s="14"/>
      <c r="M133" s="14"/>
      <c r="N133" s="14" t="s">
        <v>90</v>
      </c>
      <c r="O133" s="14" t="s">
        <v>90</v>
      </c>
      <c r="P133" s="25"/>
    </row>
    <row r="134" spans="1:16" ht="25.5" customHeight="1" x14ac:dyDescent="0.15">
      <c r="A134" s="53"/>
      <c r="B134" s="45"/>
      <c r="C134" s="39" t="str">
        <f t="shared" si="6"/>
        <v/>
      </c>
      <c r="D134" s="14"/>
      <c r="E134" s="14"/>
      <c r="F134" s="14" t="s">
        <v>90</v>
      </c>
      <c r="G134" s="14" t="s">
        <v>90</v>
      </c>
      <c r="H134" s="25"/>
      <c r="I134" s="53"/>
      <c r="J134" s="45"/>
      <c r="K134" s="39" t="str">
        <f t="shared" si="7"/>
        <v/>
      </c>
      <c r="L134" s="14"/>
      <c r="M134" s="14"/>
      <c r="N134" s="14" t="s">
        <v>90</v>
      </c>
      <c r="O134" s="14" t="s">
        <v>90</v>
      </c>
      <c r="P134" s="25"/>
    </row>
    <row r="135" spans="1:16" ht="25.5" customHeight="1" x14ac:dyDescent="0.15">
      <c r="A135" s="35"/>
      <c r="B135" s="25"/>
      <c r="C135" s="40"/>
      <c r="D135" s="25"/>
      <c r="E135" s="14"/>
      <c r="F135" s="14" t="s">
        <v>90</v>
      </c>
      <c r="G135" s="14" t="s">
        <v>90</v>
      </c>
      <c r="H135" s="25"/>
      <c r="I135" s="53">
        <f>I101</f>
        <v>42400</v>
      </c>
      <c r="J135" s="25"/>
      <c r="K135" s="40"/>
      <c r="L135" s="25"/>
      <c r="M135" s="14"/>
      <c r="N135" s="14" t="s">
        <v>90</v>
      </c>
      <c r="O135" s="14" t="s">
        <v>90</v>
      </c>
      <c r="P135" s="25"/>
    </row>
    <row r="136" spans="1:16" ht="25.5" customHeight="1" x14ac:dyDescent="0.15">
      <c r="A136" s="35"/>
      <c r="B136" s="25"/>
      <c r="C136" s="40"/>
      <c r="D136" s="25"/>
      <c r="E136" s="14"/>
      <c r="F136" s="14" t="s">
        <v>90</v>
      </c>
      <c r="G136" s="14" t="s">
        <v>90</v>
      </c>
      <c r="H136" s="25"/>
      <c r="I136" s="53"/>
      <c r="J136" s="25"/>
      <c r="K136" s="40"/>
      <c r="L136" s="25"/>
      <c r="M136" s="14"/>
      <c r="N136" s="14" t="s">
        <v>90</v>
      </c>
      <c r="O136" s="14" t="s">
        <v>90</v>
      </c>
      <c r="P136" s="25"/>
    </row>
    <row r="137" spans="1:16" ht="18" customHeight="1" x14ac:dyDescent="0.15">
      <c r="A137" s="54" t="s">
        <v>80</v>
      </c>
      <c r="B137" s="54"/>
      <c r="C137" s="54"/>
      <c r="D137" s="54"/>
      <c r="E137" s="54"/>
      <c r="F137" s="54"/>
      <c r="G137" s="54"/>
      <c r="H137" s="54"/>
      <c r="I137" s="54"/>
      <c r="K137" s="32"/>
      <c r="M137" s="31"/>
      <c r="O137" s="55">
        <f>A139</f>
        <v>42370</v>
      </c>
      <c r="P137" s="55"/>
    </row>
    <row r="138" spans="1:16" s="44" customFormat="1" ht="21" customHeight="1" x14ac:dyDescent="0.15">
      <c r="A138" s="56" t="s">
        <v>89</v>
      </c>
      <c r="B138" s="57"/>
      <c r="C138" s="42" t="s">
        <v>87</v>
      </c>
      <c r="D138" s="43" t="s">
        <v>86</v>
      </c>
      <c r="E138" s="42" t="s">
        <v>88</v>
      </c>
      <c r="F138" s="42" t="s">
        <v>83</v>
      </c>
      <c r="G138" s="42" t="s">
        <v>84</v>
      </c>
      <c r="H138" s="42" t="s">
        <v>85</v>
      </c>
      <c r="I138" s="56" t="s">
        <v>89</v>
      </c>
      <c r="J138" s="57"/>
      <c r="K138" s="42" t="s">
        <v>87</v>
      </c>
      <c r="L138" s="43" t="s">
        <v>86</v>
      </c>
      <c r="M138" s="42" t="s">
        <v>88</v>
      </c>
      <c r="N138" s="42" t="s">
        <v>83</v>
      </c>
      <c r="O138" s="42" t="s">
        <v>84</v>
      </c>
      <c r="P138" s="42" t="s">
        <v>85</v>
      </c>
    </row>
    <row r="139" spans="1:16" ht="25.5" customHeight="1" x14ac:dyDescent="0.15">
      <c r="A139" s="53">
        <f>A105</f>
        <v>42370</v>
      </c>
      <c r="B139" s="45" t="str">
        <f>LEFT(TEXT(A139,"aaaa"),1)</f>
        <v>金</v>
      </c>
      <c r="C139" s="39"/>
      <c r="D139" s="14"/>
      <c r="E139" s="14" t="s">
        <v>81</v>
      </c>
      <c r="F139" s="14" t="s">
        <v>90</v>
      </c>
      <c r="G139" s="14" t="s">
        <v>90</v>
      </c>
      <c r="H139" s="25"/>
      <c r="I139" s="53">
        <f>I105</f>
        <v>42385</v>
      </c>
      <c r="J139" s="45" t="str">
        <f>LEFT(TEXT(I139,"aaaa"),1)</f>
        <v>土</v>
      </c>
      <c r="K139" s="34" t="str">
        <f>IF(C139="","",C139)</f>
        <v/>
      </c>
      <c r="L139" s="14"/>
      <c r="M139" s="14" t="s">
        <v>81</v>
      </c>
      <c r="N139" s="14" t="s">
        <v>90</v>
      </c>
      <c r="O139" s="14" t="s">
        <v>90</v>
      </c>
      <c r="P139" s="25"/>
    </row>
    <row r="140" spans="1:16" ht="25.5" customHeight="1" x14ac:dyDescent="0.15">
      <c r="A140" s="53"/>
      <c r="B140" s="45"/>
      <c r="C140" s="33"/>
      <c r="D140" s="14"/>
      <c r="E140" s="14" t="s">
        <v>82</v>
      </c>
      <c r="F140" s="14" t="s">
        <v>90</v>
      </c>
      <c r="G140" s="14" t="s">
        <v>90</v>
      </c>
      <c r="H140" s="25"/>
      <c r="I140" s="53"/>
      <c r="J140" s="45"/>
      <c r="K140" s="34" t="str">
        <f>IF(C140="","",C140)</f>
        <v/>
      </c>
      <c r="L140" s="14"/>
      <c r="M140" s="14" t="s">
        <v>82</v>
      </c>
      <c r="N140" s="14" t="s">
        <v>90</v>
      </c>
      <c r="O140" s="14" t="s">
        <v>90</v>
      </c>
      <c r="P140" s="25"/>
    </row>
    <row r="141" spans="1:16" ht="25.5" customHeight="1" x14ac:dyDescent="0.15">
      <c r="A141" s="53">
        <f>A107</f>
        <v>42371</v>
      </c>
      <c r="B141" s="45" t="str">
        <f>LEFT(TEXT(A141,"aaaa"),1)</f>
        <v>土</v>
      </c>
      <c r="C141" s="39" t="str">
        <f>IF(C139="","",C139)</f>
        <v/>
      </c>
      <c r="D141" s="14"/>
      <c r="E141" s="14"/>
      <c r="F141" s="14" t="s">
        <v>90</v>
      </c>
      <c r="G141" s="14" t="s">
        <v>90</v>
      </c>
      <c r="H141" s="25"/>
      <c r="I141" s="53">
        <f>I107</f>
        <v>42386</v>
      </c>
      <c r="J141" s="45" t="str">
        <f>LEFT(TEXT(I141,"aaaa"),1)</f>
        <v>日</v>
      </c>
      <c r="K141" s="39" t="str">
        <f>IF(K139="","",K139)</f>
        <v/>
      </c>
      <c r="L141" s="14"/>
      <c r="M141" s="14"/>
      <c r="N141" s="14" t="s">
        <v>90</v>
      </c>
      <c r="O141" s="14" t="s">
        <v>90</v>
      </c>
      <c r="P141" s="25"/>
    </row>
    <row r="142" spans="1:16" ht="25.5" customHeight="1" x14ac:dyDescent="0.15">
      <c r="A142" s="53"/>
      <c r="B142" s="45"/>
      <c r="C142" s="39" t="str">
        <f>IF(C140="","",C140)</f>
        <v/>
      </c>
      <c r="D142" s="14"/>
      <c r="E142" s="14"/>
      <c r="F142" s="14" t="s">
        <v>90</v>
      </c>
      <c r="G142" s="14" t="s">
        <v>90</v>
      </c>
      <c r="H142" s="25"/>
      <c r="I142" s="53"/>
      <c r="J142" s="45"/>
      <c r="K142" s="39" t="str">
        <f>IF(K140="","",K140)</f>
        <v/>
      </c>
      <c r="L142" s="14"/>
      <c r="M142" s="14"/>
      <c r="N142" s="14" t="s">
        <v>90</v>
      </c>
      <c r="O142" s="14" t="s">
        <v>90</v>
      </c>
      <c r="P142" s="25"/>
    </row>
    <row r="143" spans="1:16" ht="25.5" customHeight="1" x14ac:dyDescent="0.15">
      <c r="A143" s="53">
        <f>A109</f>
        <v>42372</v>
      </c>
      <c r="B143" s="45" t="str">
        <f>LEFT(TEXT(A143,"aaaa"),1)</f>
        <v>日</v>
      </c>
      <c r="C143" s="39" t="str">
        <f t="shared" ref="C143:C168" si="8">IF(C141="","",C141)</f>
        <v/>
      </c>
      <c r="D143" s="14"/>
      <c r="E143" s="14"/>
      <c r="F143" s="14" t="s">
        <v>90</v>
      </c>
      <c r="G143" s="14" t="s">
        <v>90</v>
      </c>
      <c r="H143" s="25"/>
      <c r="I143" s="53">
        <f>I109</f>
        <v>42387</v>
      </c>
      <c r="J143" s="45" t="str">
        <f>LEFT(TEXT(I143,"aaaa"),1)</f>
        <v>月</v>
      </c>
      <c r="K143" s="39" t="str">
        <f t="shared" ref="K143:K168" si="9">IF(K141="","",K141)</f>
        <v/>
      </c>
      <c r="L143" s="14"/>
      <c r="M143" s="14"/>
      <c r="N143" s="14" t="s">
        <v>90</v>
      </c>
      <c r="O143" s="14" t="s">
        <v>90</v>
      </c>
      <c r="P143" s="25"/>
    </row>
    <row r="144" spans="1:16" ht="25.5" customHeight="1" x14ac:dyDescent="0.15">
      <c r="A144" s="53"/>
      <c r="B144" s="45"/>
      <c r="C144" s="39" t="str">
        <f t="shared" si="8"/>
        <v/>
      </c>
      <c r="D144" s="14"/>
      <c r="E144" s="14"/>
      <c r="F144" s="14" t="s">
        <v>90</v>
      </c>
      <c r="G144" s="14" t="s">
        <v>90</v>
      </c>
      <c r="H144" s="25"/>
      <c r="I144" s="53"/>
      <c r="J144" s="45"/>
      <c r="K144" s="39" t="str">
        <f t="shared" si="9"/>
        <v/>
      </c>
      <c r="L144" s="14"/>
      <c r="M144" s="14"/>
      <c r="N144" s="14" t="s">
        <v>90</v>
      </c>
      <c r="O144" s="14" t="s">
        <v>90</v>
      </c>
      <c r="P144" s="25"/>
    </row>
    <row r="145" spans="1:16" ht="25.5" customHeight="1" x14ac:dyDescent="0.15">
      <c r="A145" s="53">
        <f>A111</f>
        <v>42373</v>
      </c>
      <c r="B145" s="45" t="str">
        <f>LEFT(TEXT(A145,"aaaa"),1)</f>
        <v>月</v>
      </c>
      <c r="C145" s="39" t="str">
        <f t="shared" si="8"/>
        <v/>
      </c>
      <c r="D145" s="14"/>
      <c r="E145" s="14"/>
      <c r="F145" s="14" t="s">
        <v>90</v>
      </c>
      <c r="G145" s="14" t="s">
        <v>90</v>
      </c>
      <c r="H145" s="25"/>
      <c r="I145" s="53">
        <f>I111</f>
        <v>42388</v>
      </c>
      <c r="J145" s="45" t="str">
        <f>LEFT(TEXT(I145,"aaaa"),1)</f>
        <v>火</v>
      </c>
      <c r="K145" s="39" t="str">
        <f t="shared" si="9"/>
        <v/>
      </c>
      <c r="L145" s="14"/>
      <c r="M145" s="14"/>
      <c r="N145" s="14" t="s">
        <v>90</v>
      </c>
      <c r="O145" s="14" t="s">
        <v>90</v>
      </c>
      <c r="P145" s="25"/>
    </row>
    <row r="146" spans="1:16" ht="25.5" customHeight="1" x14ac:dyDescent="0.15">
      <c r="A146" s="53"/>
      <c r="B146" s="45"/>
      <c r="C146" s="39" t="str">
        <f t="shared" si="8"/>
        <v/>
      </c>
      <c r="D146" s="14"/>
      <c r="E146" s="14"/>
      <c r="F146" s="14" t="s">
        <v>90</v>
      </c>
      <c r="G146" s="14" t="s">
        <v>90</v>
      </c>
      <c r="H146" s="25"/>
      <c r="I146" s="53"/>
      <c r="J146" s="45"/>
      <c r="K146" s="39" t="str">
        <f t="shared" si="9"/>
        <v/>
      </c>
      <c r="L146" s="14"/>
      <c r="M146" s="14"/>
      <c r="N146" s="14" t="s">
        <v>90</v>
      </c>
      <c r="O146" s="14" t="s">
        <v>90</v>
      </c>
      <c r="P146" s="25"/>
    </row>
    <row r="147" spans="1:16" ht="25.5" customHeight="1" x14ac:dyDescent="0.15">
      <c r="A147" s="53">
        <f>A113</f>
        <v>42374</v>
      </c>
      <c r="B147" s="45" t="str">
        <f>LEFT(TEXT(A147,"aaaa"),1)</f>
        <v>火</v>
      </c>
      <c r="C147" s="39" t="str">
        <f t="shared" si="8"/>
        <v/>
      </c>
      <c r="D147" s="14"/>
      <c r="E147" s="14"/>
      <c r="F147" s="14" t="s">
        <v>90</v>
      </c>
      <c r="G147" s="14" t="s">
        <v>90</v>
      </c>
      <c r="H147" s="25"/>
      <c r="I147" s="53">
        <f>I113</f>
        <v>42389</v>
      </c>
      <c r="J147" s="45" t="str">
        <f>LEFT(TEXT(I147,"aaaa"),1)</f>
        <v>水</v>
      </c>
      <c r="K147" s="39" t="str">
        <f t="shared" si="9"/>
        <v/>
      </c>
      <c r="L147" s="14"/>
      <c r="M147" s="14"/>
      <c r="N147" s="14" t="s">
        <v>90</v>
      </c>
      <c r="O147" s="14" t="s">
        <v>90</v>
      </c>
      <c r="P147" s="25"/>
    </row>
    <row r="148" spans="1:16" ht="25.5" customHeight="1" x14ac:dyDescent="0.15">
      <c r="A148" s="53"/>
      <c r="B148" s="45"/>
      <c r="C148" s="39" t="str">
        <f t="shared" si="8"/>
        <v/>
      </c>
      <c r="D148" s="14"/>
      <c r="E148" s="14"/>
      <c r="F148" s="14" t="s">
        <v>90</v>
      </c>
      <c r="G148" s="14" t="s">
        <v>90</v>
      </c>
      <c r="H148" s="25"/>
      <c r="I148" s="53"/>
      <c r="J148" s="45"/>
      <c r="K148" s="39" t="str">
        <f t="shared" si="9"/>
        <v/>
      </c>
      <c r="L148" s="14"/>
      <c r="M148" s="14"/>
      <c r="N148" s="14" t="s">
        <v>90</v>
      </c>
      <c r="O148" s="14" t="s">
        <v>90</v>
      </c>
      <c r="P148" s="25"/>
    </row>
    <row r="149" spans="1:16" ht="25.5" customHeight="1" x14ac:dyDescent="0.15">
      <c r="A149" s="53">
        <f>A115</f>
        <v>42375</v>
      </c>
      <c r="B149" s="45" t="str">
        <f>LEFT(TEXT(A149,"aaaa"),1)</f>
        <v>水</v>
      </c>
      <c r="C149" s="39" t="str">
        <f t="shared" si="8"/>
        <v/>
      </c>
      <c r="D149" s="14"/>
      <c r="E149" s="14"/>
      <c r="F149" s="14" t="s">
        <v>90</v>
      </c>
      <c r="G149" s="14" t="s">
        <v>90</v>
      </c>
      <c r="H149" s="25"/>
      <c r="I149" s="53">
        <f>I115</f>
        <v>42390</v>
      </c>
      <c r="J149" s="45" t="str">
        <f>LEFT(TEXT(I149,"aaaa"),1)</f>
        <v>木</v>
      </c>
      <c r="K149" s="39" t="str">
        <f t="shared" si="9"/>
        <v/>
      </c>
      <c r="L149" s="14"/>
      <c r="M149" s="14"/>
      <c r="N149" s="14" t="s">
        <v>90</v>
      </c>
      <c r="O149" s="14" t="s">
        <v>90</v>
      </c>
      <c r="P149" s="25"/>
    </row>
    <row r="150" spans="1:16" ht="25.5" customHeight="1" x14ac:dyDescent="0.15">
      <c r="A150" s="53"/>
      <c r="B150" s="45"/>
      <c r="C150" s="39" t="str">
        <f t="shared" si="8"/>
        <v/>
      </c>
      <c r="D150" s="14"/>
      <c r="E150" s="14"/>
      <c r="F150" s="14" t="s">
        <v>90</v>
      </c>
      <c r="G150" s="14" t="s">
        <v>90</v>
      </c>
      <c r="H150" s="25"/>
      <c r="I150" s="53"/>
      <c r="J150" s="45"/>
      <c r="K150" s="39" t="str">
        <f t="shared" si="9"/>
        <v/>
      </c>
      <c r="L150" s="14"/>
      <c r="M150" s="14"/>
      <c r="N150" s="14" t="s">
        <v>90</v>
      </c>
      <c r="O150" s="14" t="s">
        <v>90</v>
      </c>
      <c r="P150" s="25"/>
    </row>
    <row r="151" spans="1:16" ht="25.5" customHeight="1" x14ac:dyDescent="0.15">
      <c r="A151" s="53">
        <f>A117</f>
        <v>42376</v>
      </c>
      <c r="B151" s="45" t="str">
        <f>LEFT(TEXT(A151,"aaaa"),1)</f>
        <v>木</v>
      </c>
      <c r="C151" s="39" t="str">
        <f t="shared" si="8"/>
        <v/>
      </c>
      <c r="D151" s="14"/>
      <c r="E151" s="14"/>
      <c r="F151" s="14" t="s">
        <v>90</v>
      </c>
      <c r="G151" s="14" t="s">
        <v>90</v>
      </c>
      <c r="H151" s="25"/>
      <c r="I151" s="53">
        <f>I117</f>
        <v>42391</v>
      </c>
      <c r="J151" s="45" t="str">
        <f>LEFT(TEXT(I151,"aaaa"),1)</f>
        <v>金</v>
      </c>
      <c r="K151" s="39" t="str">
        <f t="shared" si="9"/>
        <v/>
      </c>
      <c r="L151" s="14"/>
      <c r="M151" s="14"/>
      <c r="N151" s="14" t="s">
        <v>90</v>
      </c>
      <c r="O151" s="14" t="s">
        <v>90</v>
      </c>
      <c r="P151" s="25"/>
    </row>
    <row r="152" spans="1:16" ht="25.5" customHeight="1" x14ac:dyDescent="0.15">
      <c r="A152" s="53"/>
      <c r="B152" s="45"/>
      <c r="C152" s="39" t="str">
        <f t="shared" si="8"/>
        <v/>
      </c>
      <c r="D152" s="14"/>
      <c r="E152" s="14"/>
      <c r="F152" s="14" t="s">
        <v>90</v>
      </c>
      <c r="G152" s="14" t="s">
        <v>90</v>
      </c>
      <c r="H152" s="25"/>
      <c r="I152" s="53"/>
      <c r="J152" s="45"/>
      <c r="K152" s="39" t="str">
        <f t="shared" si="9"/>
        <v/>
      </c>
      <c r="L152" s="14"/>
      <c r="M152" s="14"/>
      <c r="N152" s="14" t="s">
        <v>90</v>
      </c>
      <c r="O152" s="14" t="s">
        <v>90</v>
      </c>
      <c r="P152" s="25"/>
    </row>
    <row r="153" spans="1:16" ht="25.5" customHeight="1" x14ac:dyDescent="0.15">
      <c r="A153" s="53">
        <f>A119</f>
        <v>42377</v>
      </c>
      <c r="B153" s="45" t="str">
        <f>LEFT(TEXT(A153,"aaaa"),1)</f>
        <v>金</v>
      </c>
      <c r="C153" s="39" t="str">
        <f t="shared" si="8"/>
        <v/>
      </c>
      <c r="D153" s="14"/>
      <c r="E153" s="14"/>
      <c r="F153" s="14" t="s">
        <v>90</v>
      </c>
      <c r="G153" s="14" t="s">
        <v>90</v>
      </c>
      <c r="H153" s="25"/>
      <c r="I153" s="53">
        <f>I119</f>
        <v>42392</v>
      </c>
      <c r="J153" s="45" t="str">
        <f>LEFT(TEXT(I153,"aaaa"),1)</f>
        <v>土</v>
      </c>
      <c r="K153" s="39" t="str">
        <f t="shared" si="9"/>
        <v/>
      </c>
      <c r="L153" s="14"/>
      <c r="M153" s="14"/>
      <c r="N153" s="14" t="s">
        <v>90</v>
      </c>
      <c r="O153" s="14" t="s">
        <v>90</v>
      </c>
      <c r="P153" s="25"/>
    </row>
    <row r="154" spans="1:16" ht="25.5" customHeight="1" x14ac:dyDescent="0.15">
      <c r="A154" s="53"/>
      <c r="B154" s="45"/>
      <c r="C154" s="39" t="str">
        <f t="shared" si="8"/>
        <v/>
      </c>
      <c r="D154" s="14"/>
      <c r="E154" s="14"/>
      <c r="F154" s="14" t="s">
        <v>90</v>
      </c>
      <c r="G154" s="14" t="s">
        <v>90</v>
      </c>
      <c r="H154" s="25"/>
      <c r="I154" s="53"/>
      <c r="J154" s="45"/>
      <c r="K154" s="39" t="str">
        <f t="shared" si="9"/>
        <v/>
      </c>
      <c r="L154" s="14"/>
      <c r="M154" s="14"/>
      <c r="N154" s="14" t="s">
        <v>90</v>
      </c>
      <c r="O154" s="14" t="s">
        <v>90</v>
      </c>
      <c r="P154" s="25"/>
    </row>
    <row r="155" spans="1:16" ht="25.5" customHeight="1" x14ac:dyDescent="0.15">
      <c r="A155" s="53">
        <f>A121</f>
        <v>42378</v>
      </c>
      <c r="B155" s="45" t="str">
        <f>LEFT(TEXT(A155,"aaaa"),1)</f>
        <v>土</v>
      </c>
      <c r="C155" s="39" t="str">
        <f t="shared" si="8"/>
        <v/>
      </c>
      <c r="D155" s="14"/>
      <c r="E155" s="14"/>
      <c r="F155" s="14" t="s">
        <v>90</v>
      </c>
      <c r="G155" s="14" t="s">
        <v>90</v>
      </c>
      <c r="H155" s="25"/>
      <c r="I155" s="53">
        <f>I121</f>
        <v>42393</v>
      </c>
      <c r="J155" s="45" t="str">
        <f>LEFT(TEXT(I155,"aaaa"),1)</f>
        <v>日</v>
      </c>
      <c r="K155" s="39" t="str">
        <f t="shared" si="9"/>
        <v/>
      </c>
      <c r="L155" s="14"/>
      <c r="M155" s="14"/>
      <c r="N155" s="14" t="s">
        <v>90</v>
      </c>
      <c r="O155" s="14" t="s">
        <v>90</v>
      </c>
      <c r="P155" s="25"/>
    </row>
    <row r="156" spans="1:16" ht="25.5" customHeight="1" x14ac:dyDescent="0.15">
      <c r="A156" s="53"/>
      <c r="B156" s="45"/>
      <c r="C156" s="39" t="str">
        <f t="shared" si="8"/>
        <v/>
      </c>
      <c r="D156" s="14"/>
      <c r="E156" s="14"/>
      <c r="F156" s="14" t="s">
        <v>90</v>
      </c>
      <c r="G156" s="14" t="s">
        <v>90</v>
      </c>
      <c r="H156" s="25"/>
      <c r="I156" s="53"/>
      <c r="J156" s="45"/>
      <c r="K156" s="39" t="str">
        <f t="shared" si="9"/>
        <v/>
      </c>
      <c r="L156" s="14"/>
      <c r="M156" s="14"/>
      <c r="N156" s="14" t="s">
        <v>90</v>
      </c>
      <c r="O156" s="14" t="s">
        <v>90</v>
      </c>
      <c r="P156" s="25"/>
    </row>
    <row r="157" spans="1:16" ht="25.5" customHeight="1" x14ac:dyDescent="0.15">
      <c r="A157" s="53">
        <f>A123</f>
        <v>42379</v>
      </c>
      <c r="B157" s="45" t="str">
        <f>LEFT(TEXT(A157,"aaaa"),1)</f>
        <v>日</v>
      </c>
      <c r="C157" s="39" t="str">
        <f t="shared" si="8"/>
        <v/>
      </c>
      <c r="D157" s="14"/>
      <c r="E157" s="14"/>
      <c r="F157" s="14" t="s">
        <v>90</v>
      </c>
      <c r="G157" s="14" t="s">
        <v>90</v>
      </c>
      <c r="H157" s="25"/>
      <c r="I157" s="53">
        <f>I123</f>
        <v>42394</v>
      </c>
      <c r="J157" s="45" t="str">
        <f>LEFT(TEXT(I157,"aaaa"),1)</f>
        <v>月</v>
      </c>
      <c r="K157" s="39" t="str">
        <f t="shared" si="9"/>
        <v/>
      </c>
      <c r="L157" s="14"/>
      <c r="M157" s="14"/>
      <c r="N157" s="14" t="s">
        <v>90</v>
      </c>
      <c r="O157" s="14" t="s">
        <v>90</v>
      </c>
      <c r="P157" s="25"/>
    </row>
    <row r="158" spans="1:16" ht="25.5" customHeight="1" x14ac:dyDescent="0.15">
      <c r="A158" s="53"/>
      <c r="B158" s="45"/>
      <c r="C158" s="39" t="str">
        <f t="shared" si="8"/>
        <v/>
      </c>
      <c r="D158" s="14"/>
      <c r="E158" s="14"/>
      <c r="F158" s="14" t="s">
        <v>90</v>
      </c>
      <c r="G158" s="14" t="s">
        <v>90</v>
      </c>
      <c r="H158" s="25"/>
      <c r="I158" s="53"/>
      <c r="J158" s="45"/>
      <c r="K158" s="39" t="str">
        <f t="shared" si="9"/>
        <v/>
      </c>
      <c r="L158" s="14"/>
      <c r="M158" s="14"/>
      <c r="N158" s="14" t="s">
        <v>90</v>
      </c>
      <c r="O158" s="14" t="s">
        <v>90</v>
      </c>
      <c r="P158" s="25"/>
    </row>
    <row r="159" spans="1:16" ht="25.5" customHeight="1" x14ac:dyDescent="0.15">
      <c r="A159" s="53">
        <f>A125</f>
        <v>42380</v>
      </c>
      <c r="B159" s="45" t="str">
        <f>LEFT(TEXT(A159,"aaaa"),1)</f>
        <v>月</v>
      </c>
      <c r="C159" s="39" t="str">
        <f t="shared" si="8"/>
        <v/>
      </c>
      <c r="D159" s="14"/>
      <c r="E159" s="14"/>
      <c r="F159" s="14" t="s">
        <v>90</v>
      </c>
      <c r="G159" s="14" t="s">
        <v>90</v>
      </c>
      <c r="H159" s="25"/>
      <c r="I159" s="53">
        <f>I125</f>
        <v>42395</v>
      </c>
      <c r="J159" s="45" t="str">
        <f>LEFT(TEXT(I159,"aaaa"),1)</f>
        <v>火</v>
      </c>
      <c r="K159" s="39" t="str">
        <f t="shared" si="9"/>
        <v/>
      </c>
      <c r="L159" s="14"/>
      <c r="M159" s="14"/>
      <c r="N159" s="14" t="s">
        <v>90</v>
      </c>
      <c r="O159" s="14" t="s">
        <v>90</v>
      </c>
      <c r="P159" s="25"/>
    </row>
    <row r="160" spans="1:16" ht="25.5" customHeight="1" x14ac:dyDescent="0.15">
      <c r="A160" s="53"/>
      <c r="B160" s="45"/>
      <c r="C160" s="39" t="str">
        <f t="shared" si="8"/>
        <v/>
      </c>
      <c r="D160" s="14"/>
      <c r="E160" s="14"/>
      <c r="F160" s="14" t="s">
        <v>90</v>
      </c>
      <c r="G160" s="14" t="s">
        <v>90</v>
      </c>
      <c r="H160" s="25"/>
      <c r="I160" s="53"/>
      <c r="J160" s="45"/>
      <c r="K160" s="39" t="str">
        <f t="shared" si="9"/>
        <v/>
      </c>
      <c r="L160" s="14"/>
      <c r="M160" s="14"/>
      <c r="N160" s="14" t="s">
        <v>90</v>
      </c>
      <c r="O160" s="14" t="s">
        <v>90</v>
      </c>
      <c r="P160" s="25"/>
    </row>
    <row r="161" spans="1:16" ht="25.5" customHeight="1" x14ac:dyDescent="0.15">
      <c r="A161" s="53">
        <f>A127</f>
        <v>42381</v>
      </c>
      <c r="B161" s="45" t="str">
        <f>LEFT(TEXT(A161,"aaaa"),1)</f>
        <v>火</v>
      </c>
      <c r="C161" s="39" t="str">
        <f t="shared" si="8"/>
        <v/>
      </c>
      <c r="D161" s="14"/>
      <c r="E161" s="14"/>
      <c r="F161" s="14" t="s">
        <v>90</v>
      </c>
      <c r="G161" s="14" t="s">
        <v>90</v>
      </c>
      <c r="H161" s="25"/>
      <c r="I161" s="53">
        <f>I127</f>
        <v>42396</v>
      </c>
      <c r="J161" s="45" t="str">
        <f>LEFT(TEXT(I161,"aaaa"),1)</f>
        <v>水</v>
      </c>
      <c r="K161" s="39" t="str">
        <f t="shared" si="9"/>
        <v/>
      </c>
      <c r="L161" s="14"/>
      <c r="M161" s="14"/>
      <c r="N161" s="14" t="s">
        <v>90</v>
      </c>
      <c r="O161" s="14" t="s">
        <v>90</v>
      </c>
      <c r="P161" s="25"/>
    </row>
    <row r="162" spans="1:16" ht="25.5" customHeight="1" x14ac:dyDescent="0.15">
      <c r="A162" s="53"/>
      <c r="B162" s="45"/>
      <c r="C162" s="39" t="str">
        <f t="shared" si="8"/>
        <v/>
      </c>
      <c r="D162" s="14"/>
      <c r="E162" s="14"/>
      <c r="F162" s="14" t="s">
        <v>90</v>
      </c>
      <c r="G162" s="14" t="s">
        <v>90</v>
      </c>
      <c r="H162" s="25"/>
      <c r="I162" s="53"/>
      <c r="J162" s="45"/>
      <c r="K162" s="39" t="str">
        <f t="shared" si="9"/>
        <v/>
      </c>
      <c r="L162" s="14"/>
      <c r="M162" s="14"/>
      <c r="N162" s="14" t="s">
        <v>90</v>
      </c>
      <c r="O162" s="14" t="s">
        <v>90</v>
      </c>
      <c r="P162" s="25"/>
    </row>
    <row r="163" spans="1:16" ht="25.5" customHeight="1" x14ac:dyDescent="0.15">
      <c r="A163" s="53">
        <f>A129</f>
        <v>42382</v>
      </c>
      <c r="B163" s="45" t="str">
        <f>LEFT(TEXT(A163,"aaaa"),1)</f>
        <v>水</v>
      </c>
      <c r="C163" s="39" t="str">
        <f t="shared" si="8"/>
        <v/>
      </c>
      <c r="D163" s="14"/>
      <c r="E163" s="14"/>
      <c r="F163" s="14" t="s">
        <v>90</v>
      </c>
      <c r="G163" s="14" t="s">
        <v>90</v>
      </c>
      <c r="H163" s="25"/>
      <c r="I163" s="53">
        <f>I129</f>
        <v>42397</v>
      </c>
      <c r="J163" s="45" t="str">
        <f>LEFT(TEXT(I163,"aaaa"),1)</f>
        <v>木</v>
      </c>
      <c r="K163" s="39" t="str">
        <f t="shared" si="9"/>
        <v/>
      </c>
      <c r="L163" s="14"/>
      <c r="M163" s="14"/>
      <c r="N163" s="14" t="s">
        <v>90</v>
      </c>
      <c r="O163" s="14" t="s">
        <v>90</v>
      </c>
      <c r="P163" s="25"/>
    </row>
    <row r="164" spans="1:16" ht="25.5" customHeight="1" x14ac:dyDescent="0.15">
      <c r="A164" s="53"/>
      <c r="B164" s="45"/>
      <c r="C164" s="39" t="str">
        <f t="shared" si="8"/>
        <v/>
      </c>
      <c r="D164" s="14"/>
      <c r="E164" s="14"/>
      <c r="F164" s="14" t="s">
        <v>90</v>
      </c>
      <c r="G164" s="14" t="s">
        <v>90</v>
      </c>
      <c r="H164" s="25"/>
      <c r="I164" s="53"/>
      <c r="J164" s="45"/>
      <c r="K164" s="39" t="str">
        <f t="shared" si="9"/>
        <v/>
      </c>
      <c r="L164" s="14"/>
      <c r="M164" s="14"/>
      <c r="N164" s="14" t="s">
        <v>90</v>
      </c>
      <c r="O164" s="14" t="s">
        <v>90</v>
      </c>
      <c r="P164" s="25"/>
    </row>
    <row r="165" spans="1:16" ht="25.5" customHeight="1" x14ac:dyDescent="0.15">
      <c r="A165" s="53">
        <f>A131</f>
        <v>42383</v>
      </c>
      <c r="B165" s="45" t="str">
        <f>LEFT(TEXT(A165,"aaaa"),1)</f>
        <v>木</v>
      </c>
      <c r="C165" s="39" t="str">
        <f t="shared" si="8"/>
        <v/>
      </c>
      <c r="D165" s="14"/>
      <c r="E165" s="14"/>
      <c r="F165" s="14" t="s">
        <v>90</v>
      </c>
      <c r="G165" s="14" t="s">
        <v>90</v>
      </c>
      <c r="H165" s="25"/>
      <c r="I165" s="53">
        <f>I131</f>
        <v>42398</v>
      </c>
      <c r="J165" s="45" t="str">
        <f>LEFT(TEXT(I165,"aaaa"),1)</f>
        <v>金</v>
      </c>
      <c r="K165" s="39" t="str">
        <f t="shared" si="9"/>
        <v/>
      </c>
      <c r="L165" s="14"/>
      <c r="M165" s="14"/>
      <c r="N165" s="14" t="s">
        <v>90</v>
      </c>
      <c r="O165" s="14" t="s">
        <v>90</v>
      </c>
      <c r="P165" s="25"/>
    </row>
    <row r="166" spans="1:16" ht="25.5" customHeight="1" x14ac:dyDescent="0.15">
      <c r="A166" s="53"/>
      <c r="B166" s="45"/>
      <c r="C166" s="39" t="str">
        <f t="shared" si="8"/>
        <v/>
      </c>
      <c r="D166" s="14"/>
      <c r="E166" s="14"/>
      <c r="F166" s="14" t="s">
        <v>90</v>
      </c>
      <c r="G166" s="14" t="s">
        <v>90</v>
      </c>
      <c r="H166" s="25"/>
      <c r="I166" s="53"/>
      <c r="J166" s="45"/>
      <c r="K166" s="39" t="str">
        <f t="shared" si="9"/>
        <v/>
      </c>
      <c r="L166" s="14"/>
      <c r="M166" s="14"/>
      <c r="N166" s="14" t="s">
        <v>90</v>
      </c>
      <c r="O166" s="14" t="s">
        <v>90</v>
      </c>
      <c r="P166" s="25"/>
    </row>
    <row r="167" spans="1:16" ht="25.5" customHeight="1" x14ac:dyDescent="0.15">
      <c r="A167" s="53">
        <f>A133</f>
        <v>42384</v>
      </c>
      <c r="B167" s="45" t="str">
        <f>LEFT(TEXT(A167,"aaaa"),1)</f>
        <v>金</v>
      </c>
      <c r="C167" s="39" t="str">
        <f t="shared" si="8"/>
        <v/>
      </c>
      <c r="D167" s="14"/>
      <c r="E167" s="14"/>
      <c r="F167" s="14" t="s">
        <v>90</v>
      </c>
      <c r="G167" s="14" t="s">
        <v>90</v>
      </c>
      <c r="H167" s="25"/>
      <c r="I167" s="53">
        <f>I133</f>
        <v>42399</v>
      </c>
      <c r="J167" s="45" t="str">
        <f>LEFT(TEXT(I167,"aaaa"),1)</f>
        <v>土</v>
      </c>
      <c r="K167" s="39" t="str">
        <f t="shared" si="9"/>
        <v/>
      </c>
      <c r="L167" s="14"/>
      <c r="M167" s="14"/>
      <c r="N167" s="14" t="s">
        <v>90</v>
      </c>
      <c r="O167" s="14" t="s">
        <v>90</v>
      </c>
      <c r="P167" s="25"/>
    </row>
    <row r="168" spans="1:16" ht="25.5" customHeight="1" x14ac:dyDescent="0.15">
      <c r="A168" s="53"/>
      <c r="B168" s="45"/>
      <c r="C168" s="39" t="str">
        <f t="shared" si="8"/>
        <v/>
      </c>
      <c r="D168" s="14"/>
      <c r="E168" s="14"/>
      <c r="F168" s="14" t="s">
        <v>90</v>
      </c>
      <c r="G168" s="14" t="s">
        <v>90</v>
      </c>
      <c r="H168" s="25"/>
      <c r="I168" s="53"/>
      <c r="J168" s="45"/>
      <c r="K168" s="39" t="str">
        <f t="shared" si="9"/>
        <v/>
      </c>
      <c r="L168" s="14"/>
      <c r="M168" s="14"/>
      <c r="N168" s="14" t="s">
        <v>90</v>
      </c>
      <c r="O168" s="14" t="s">
        <v>90</v>
      </c>
      <c r="P168" s="25"/>
    </row>
    <row r="169" spans="1:16" ht="25.5" customHeight="1" x14ac:dyDescent="0.15">
      <c r="A169" s="35"/>
      <c r="B169" s="25"/>
      <c r="C169" s="40"/>
      <c r="D169" s="25"/>
      <c r="E169" s="14"/>
      <c r="F169" s="14" t="s">
        <v>90</v>
      </c>
      <c r="G169" s="14" t="s">
        <v>90</v>
      </c>
      <c r="H169" s="25"/>
      <c r="I169" s="53">
        <f>I135</f>
        <v>42400</v>
      </c>
      <c r="J169" s="25"/>
      <c r="K169" s="40"/>
      <c r="L169" s="25"/>
      <c r="M169" s="14"/>
      <c r="N169" s="14" t="s">
        <v>90</v>
      </c>
      <c r="O169" s="14" t="s">
        <v>90</v>
      </c>
      <c r="P169" s="25"/>
    </row>
    <row r="170" spans="1:16" ht="25.5" customHeight="1" x14ac:dyDescent="0.15">
      <c r="A170" s="35"/>
      <c r="B170" s="25"/>
      <c r="C170" s="40"/>
      <c r="D170" s="25"/>
      <c r="E170" s="14"/>
      <c r="F170" s="14" t="s">
        <v>90</v>
      </c>
      <c r="G170" s="14" t="s">
        <v>90</v>
      </c>
      <c r="H170" s="25"/>
      <c r="I170" s="53"/>
      <c r="J170" s="25"/>
      <c r="K170" s="40"/>
      <c r="L170" s="25"/>
      <c r="M170" s="14"/>
      <c r="N170" s="14" t="s">
        <v>90</v>
      </c>
      <c r="O170" s="14" t="s">
        <v>90</v>
      </c>
      <c r="P170" s="25"/>
    </row>
  </sheetData>
  <mergeCells count="325">
    <mergeCell ref="A11:A12"/>
    <mergeCell ref="B11:B12"/>
    <mergeCell ref="A13:A14"/>
    <mergeCell ref="B13:B14"/>
    <mergeCell ref="A3:A4"/>
    <mergeCell ref="B3:B4"/>
    <mergeCell ref="A5:A6"/>
    <mergeCell ref="B5:B6"/>
    <mergeCell ref="A7:A8"/>
    <mergeCell ref="B7:B8"/>
    <mergeCell ref="I3:I4"/>
    <mergeCell ref="J3:J4"/>
    <mergeCell ref="I5:I6"/>
    <mergeCell ref="J5:J6"/>
    <mergeCell ref="A27:A28"/>
    <mergeCell ref="B27:B28"/>
    <mergeCell ref="A29:A30"/>
    <mergeCell ref="B29:B30"/>
    <mergeCell ref="A31:A32"/>
    <mergeCell ref="B31:B32"/>
    <mergeCell ref="A21:A22"/>
    <mergeCell ref="B21:B22"/>
    <mergeCell ref="A23:A24"/>
    <mergeCell ref="B23:B24"/>
    <mergeCell ref="A25:A26"/>
    <mergeCell ref="B25:B26"/>
    <mergeCell ref="A15:A16"/>
    <mergeCell ref="B15:B16"/>
    <mergeCell ref="A17:A18"/>
    <mergeCell ref="B17:B18"/>
    <mergeCell ref="A19:A20"/>
    <mergeCell ref="B19:B20"/>
    <mergeCell ref="A9:A10"/>
    <mergeCell ref="B9:B10"/>
    <mergeCell ref="I13:I14"/>
    <mergeCell ref="J13:J14"/>
    <mergeCell ref="I15:I16"/>
    <mergeCell ref="J15:J16"/>
    <mergeCell ref="I17:I18"/>
    <mergeCell ref="J17:J18"/>
    <mergeCell ref="I7:I8"/>
    <mergeCell ref="J7:J8"/>
    <mergeCell ref="I9:I10"/>
    <mergeCell ref="J9:J10"/>
    <mergeCell ref="I11:I12"/>
    <mergeCell ref="J11:J12"/>
    <mergeCell ref="J25:J26"/>
    <mergeCell ref="I27:I28"/>
    <mergeCell ref="J27:J28"/>
    <mergeCell ref="I29:I30"/>
    <mergeCell ref="J29:J30"/>
    <mergeCell ref="I19:I20"/>
    <mergeCell ref="J19:J20"/>
    <mergeCell ref="I21:I22"/>
    <mergeCell ref="J21:J22"/>
    <mergeCell ref="I23:I24"/>
    <mergeCell ref="J23:J24"/>
    <mergeCell ref="A39:A40"/>
    <mergeCell ref="B39:B40"/>
    <mergeCell ref="I39:I40"/>
    <mergeCell ref="J39:J40"/>
    <mergeCell ref="A41:A42"/>
    <mergeCell ref="B41:B42"/>
    <mergeCell ref="I41:I42"/>
    <mergeCell ref="J41:J42"/>
    <mergeCell ref="O1:P1"/>
    <mergeCell ref="A35:I35"/>
    <mergeCell ref="O35:P35"/>
    <mergeCell ref="A36:B36"/>
    <mergeCell ref="I36:J36"/>
    <mergeCell ref="A37:A38"/>
    <mergeCell ref="B37:B38"/>
    <mergeCell ref="I37:I38"/>
    <mergeCell ref="J37:J38"/>
    <mergeCell ref="I31:I32"/>
    <mergeCell ref="J31:J32"/>
    <mergeCell ref="I33:I34"/>
    <mergeCell ref="A1:I1"/>
    <mergeCell ref="A2:B2"/>
    <mergeCell ref="I2:J2"/>
    <mergeCell ref="I25:I26"/>
    <mergeCell ref="A47:A48"/>
    <mergeCell ref="B47:B48"/>
    <mergeCell ref="I47:I48"/>
    <mergeCell ref="J47:J48"/>
    <mergeCell ref="A49:A50"/>
    <mergeCell ref="B49:B50"/>
    <mergeCell ref="I49:I50"/>
    <mergeCell ref="J49:J50"/>
    <mergeCell ref="A43:A44"/>
    <mergeCell ref="B43:B44"/>
    <mergeCell ref="I43:I44"/>
    <mergeCell ref="J43:J44"/>
    <mergeCell ref="A45:A46"/>
    <mergeCell ref="B45:B46"/>
    <mergeCell ref="I45:I46"/>
    <mergeCell ref="J45:J46"/>
    <mergeCell ref="A55:A56"/>
    <mergeCell ref="B55:B56"/>
    <mergeCell ref="I55:I56"/>
    <mergeCell ref="J55:J56"/>
    <mergeCell ref="A57:A58"/>
    <mergeCell ref="B57:B58"/>
    <mergeCell ref="I57:I58"/>
    <mergeCell ref="J57:J58"/>
    <mergeCell ref="A51:A52"/>
    <mergeCell ref="B51:B52"/>
    <mergeCell ref="I51:I52"/>
    <mergeCell ref="J51:J52"/>
    <mergeCell ref="A53:A54"/>
    <mergeCell ref="B53:B54"/>
    <mergeCell ref="I53:I54"/>
    <mergeCell ref="J53:J54"/>
    <mergeCell ref="A63:A64"/>
    <mergeCell ref="B63:B64"/>
    <mergeCell ref="I63:I64"/>
    <mergeCell ref="J63:J64"/>
    <mergeCell ref="A65:A66"/>
    <mergeCell ref="B65:B66"/>
    <mergeCell ref="I65:I66"/>
    <mergeCell ref="J65:J66"/>
    <mergeCell ref="A59:A60"/>
    <mergeCell ref="B59:B60"/>
    <mergeCell ref="I59:I60"/>
    <mergeCell ref="J59:J60"/>
    <mergeCell ref="A61:A62"/>
    <mergeCell ref="B61:B62"/>
    <mergeCell ref="I61:I62"/>
    <mergeCell ref="J61:J62"/>
    <mergeCell ref="I67:I68"/>
    <mergeCell ref="A69:I69"/>
    <mergeCell ref="O69:P69"/>
    <mergeCell ref="A70:B70"/>
    <mergeCell ref="I70:J70"/>
    <mergeCell ref="A71:A72"/>
    <mergeCell ref="B71:B72"/>
    <mergeCell ref="I71:I72"/>
    <mergeCell ref="J71:J72"/>
    <mergeCell ref="A77:A78"/>
    <mergeCell ref="B77:B78"/>
    <mergeCell ref="I77:I78"/>
    <mergeCell ref="J77:J78"/>
    <mergeCell ref="A79:A80"/>
    <mergeCell ref="B79:B80"/>
    <mergeCell ref="I79:I80"/>
    <mergeCell ref="J79:J80"/>
    <mergeCell ref="A73:A74"/>
    <mergeCell ref="B73:B74"/>
    <mergeCell ref="I73:I74"/>
    <mergeCell ref="J73:J74"/>
    <mergeCell ref="A75:A76"/>
    <mergeCell ref="B75:B76"/>
    <mergeCell ref="I75:I76"/>
    <mergeCell ref="J75:J76"/>
    <mergeCell ref="A85:A86"/>
    <mergeCell ref="B85:B86"/>
    <mergeCell ref="I85:I86"/>
    <mergeCell ref="J85:J86"/>
    <mergeCell ref="A87:A88"/>
    <mergeCell ref="B87:B88"/>
    <mergeCell ref="I87:I88"/>
    <mergeCell ref="J87:J88"/>
    <mergeCell ref="A81:A82"/>
    <mergeCell ref="B81:B82"/>
    <mergeCell ref="I81:I82"/>
    <mergeCell ref="J81:J82"/>
    <mergeCell ref="A83:A84"/>
    <mergeCell ref="B83:B84"/>
    <mergeCell ref="I83:I84"/>
    <mergeCell ref="J83:J84"/>
    <mergeCell ref="A93:A94"/>
    <mergeCell ref="B93:B94"/>
    <mergeCell ref="I93:I94"/>
    <mergeCell ref="J93:J94"/>
    <mergeCell ref="A95:A96"/>
    <mergeCell ref="B95:B96"/>
    <mergeCell ref="I95:I96"/>
    <mergeCell ref="J95:J96"/>
    <mergeCell ref="A89:A90"/>
    <mergeCell ref="B89:B90"/>
    <mergeCell ref="I89:I90"/>
    <mergeCell ref="J89:J90"/>
    <mergeCell ref="A91:A92"/>
    <mergeCell ref="B91:B92"/>
    <mergeCell ref="I91:I92"/>
    <mergeCell ref="J91:J92"/>
    <mergeCell ref="O103:P103"/>
    <mergeCell ref="A104:B104"/>
    <mergeCell ref="I104:J104"/>
    <mergeCell ref="A105:A106"/>
    <mergeCell ref="B105:B106"/>
    <mergeCell ref="I105:I106"/>
    <mergeCell ref="J105:J106"/>
    <mergeCell ref="A97:A98"/>
    <mergeCell ref="B97:B98"/>
    <mergeCell ref="I97:I98"/>
    <mergeCell ref="J97:J98"/>
    <mergeCell ref="A99:A100"/>
    <mergeCell ref="B99:B100"/>
    <mergeCell ref="I99:I100"/>
    <mergeCell ref="J99:J100"/>
    <mergeCell ref="A107:A108"/>
    <mergeCell ref="B107:B108"/>
    <mergeCell ref="I107:I108"/>
    <mergeCell ref="J107:J108"/>
    <mergeCell ref="A109:A110"/>
    <mergeCell ref="B109:B110"/>
    <mergeCell ref="I109:I110"/>
    <mergeCell ref="J109:J110"/>
    <mergeCell ref="I101:I102"/>
    <mergeCell ref="A103:I103"/>
    <mergeCell ref="A115:A116"/>
    <mergeCell ref="B115:B116"/>
    <mergeCell ref="I115:I116"/>
    <mergeCell ref="J115:J116"/>
    <mergeCell ref="A117:A118"/>
    <mergeCell ref="B117:B118"/>
    <mergeCell ref="I117:I118"/>
    <mergeCell ref="J117:J118"/>
    <mergeCell ref="A111:A112"/>
    <mergeCell ref="B111:B112"/>
    <mergeCell ref="I111:I112"/>
    <mergeCell ref="J111:J112"/>
    <mergeCell ref="A113:A114"/>
    <mergeCell ref="B113:B114"/>
    <mergeCell ref="I113:I114"/>
    <mergeCell ref="J113:J114"/>
    <mergeCell ref="A123:A124"/>
    <mergeCell ref="B123:B124"/>
    <mergeCell ref="I123:I124"/>
    <mergeCell ref="J123:J124"/>
    <mergeCell ref="A125:A126"/>
    <mergeCell ref="B125:B126"/>
    <mergeCell ref="I125:I126"/>
    <mergeCell ref="J125:J126"/>
    <mergeCell ref="A119:A120"/>
    <mergeCell ref="B119:B120"/>
    <mergeCell ref="I119:I120"/>
    <mergeCell ref="J119:J120"/>
    <mergeCell ref="A121:A122"/>
    <mergeCell ref="B121:B122"/>
    <mergeCell ref="I121:I122"/>
    <mergeCell ref="J121:J122"/>
    <mergeCell ref="A131:A132"/>
    <mergeCell ref="B131:B132"/>
    <mergeCell ref="I131:I132"/>
    <mergeCell ref="J131:J132"/>
    <mergeCell ref="A133:A134"/>
    <mergeCell ref="B133:B134"/>
    <mergeCell ref="I133:I134"/>
    <mergeCell ref="J133:J134"/>
    <mergeCell ref="A127:A128"/>
    <mergeCell ref="B127:B128"/>
    <mergeCell ref="I127:I128"/>
    <mergeCell ref="J127:J128"/>
    <mergeCell ref="A129:A130"/>
    <mergeCell ref="B129:B130"/>
    <mergeCell ref="I129:I130"/>
    <mergeCell ref="J129:J130"/>
    <mergeCell ref="I135:I136"/>
    <mergeCell ref="A137:I137"/>
    <mergeCell ref="O137:P137"/>
    <mergeCell ref="A138:B138"/>
    <mergeCell ref="I138:J138"/>
    <mergeCell ref="A139:A140"/>
    <mergeCell ref="B139:B140"/>
    <mergeCell ref="I139:I140"/>
    <mergeCell ref="J139:J140"/>
    <mergeCell ref="A145:A146"/>
    <mergeCell ref="B145:B146"/>
    <mergeCell ref="I145:I146"/>
    <mergeCell ref="J145:J146"/>
    <mergeCell ref="A147:A148"/>
    <mergeCell ref="B147:B148"/>
    <mergeCell ref="I147:I148"/>
    <mergeCell ref="J147:J148"/>
    <mergeCell ref="A141:A142"/>
    <mergeCell ref="B141:B142"/>
    <mergeCell ref="I141:I142"/>
    <mergeCell ref="J141:J142"/>
    <mergeCell ref="A143:A144"/>
    <mergeCell ref="B143:B144"/>
    <mergeCell ref="I143:I144"/>
    <mergeCell ref="J143:J144"/>
    <mergeCell ref="A153:A154"/>
    <mergeCell ref="B153:B154"/>
    <mergeCell ref="I153:I154"/>
    <mergeCell ref="J153:J154"/>
    <mergeCell ref="A155:A156"/>
    <mergeCell ref="B155:B156"/>
    <mergeCell ref="I155:I156"/>
    <mergeCell ref="J155:J156"/>
    <mergeCell ref="A149:A150"/>
    <mergeCell ref="B149:B150"/>
    <mergeCell ref="I149:I150"/>
    <mergeCell ref="J149:J150"/>
    <mergeCell ref="A151:A152"/>
    <mergeCell ref="B151:B152"/>
    <mergeCell ref="I151:I152"/>
    <mergeCell ref="J151:J152"/>
    <mergeCell ref="A161:A162"/>
    <mergeCell ref="B161:B162"/>
    <mergeCell ref="I161:I162"/>
    <mergeCell ref="J161:J162"/>
    <mergeCell ref="A163:A164"/>
    <mergeCell ref="B163:B164"/>
    <mergeCell ref="I163:I164"/>
    <mergeCell ref="J163:J164"/>
    <mergeCell ref="A157:A158"/>
    <mergeCell ref="B157:B158"/>
    <mergeCell ref="I157:I158"/>
    <mergeCell ref="J157:J158"/>
    <mergeCell ref="A159:A160"/>
    <mergeCell ref="B159:B160"/>
    <mergeCell ref="I159:I160"/>
    <mergeCell ref="J159:J160"/>
    <mergeCell ref="I169:I170"/>
    <mergeCell ref="A165:A166"/>
    <mergeCell ref="B165:B166"/>
    <mergeCell ref="I165:I166"/>
    <mergeCell ref="J165:J166"/>
    <mergeCell ref="A167:A168"/>
    <mergeCell ref="B167:B168"/>
    <mergeCell ref="I167:I168"/>
    <mergeCell ref="J167:J168"/>
  </mergeCells>
  <phoneticPr fontId="2"/>
  <pageMargins left="0.23622047244094491" right="0.23622047244094491" top="0.43307086614173229" bottom="0.3937007874015748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Sheet1</vt:lpstr>
      <vt:lpstr>退会</vt:lpstr>
      <vt:lpstr>Sheet1 (2)</vt:lpstr>
      <vt:lpstr>H28.1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2018-04-06T11:29:50Z</cp:lastPrinted>
  <dcterms:created xsi:type="dcterms:W3CDTF">2018-04-03T09:18:03Z</dcterms:created>
  <dcterms:modified xsi:type="dcterms:W3CDTF">2018-04-06T11:50:45Z</dcterms:modified>
</cp:coreProperties>
</file>