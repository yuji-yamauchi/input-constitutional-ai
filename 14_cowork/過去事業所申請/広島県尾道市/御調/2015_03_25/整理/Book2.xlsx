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4250"/>
  </bookViews>
  <sheets>
    <sheet name="番田" sheetId="1" r:id="rId1"/>
    <sheet name="川上" sheetId="2" r:id="rId2"/>
    <sheet name="木原" sheetId="3" r:id="rId3"/>
    <sheet name="上原正和" sheetId="4" r:id="rId4"/>
    <sheet name="上原浩二" sheetId="5" r:id="rId5"/>
    <sheet name="山内龍一" sheetId="6" r:id="rId6"/>
    <sheet name="山下" sheetId="7" r:id="rId7"/>
    <sheet name="Sheet8" sheetId="8" r:id="rId8"/>
    <sheet name="Sheet9" sheetId="9" r:id="rId9"/>
  </sheets>
  <externalReferences>
    <externalReference r:id="rId10"/>
  </externalReferences>
  <definedNames>
    <definedName name="休日">[1]マスタ!$A$3:$A$16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8" l="1"/>
  <c r="L3" i="8"/>
  <c r="J3" i="8"/>
  <c r="B1" i="8"/>
  <c r="A1" i="8"/>
  <c r="J4" i="7"/>
  <c r="L3" i="7"/>
  <c r="J3" i="7"/>
  <c r="B1" i="7"/>
  <c r="A1" i="7"/>
  <c r="J4" i="6"/>
  <c r="L3" i="6"/>
  <c r="J3" i="6"/>
  <c r="B1" i="6"/>
  <c r="A1" i="6"/>
  <c r="J4" i="5"/>
  <c r="L3" i="5"/>
  <c r="J3" i="5"/>
  <c r="B1" i="5"/>
  <c r="A1" i="5"/>
  <c r="J4" i="4"/>
  <c r="L3" i="4"/>
  <c r="J3" i="4"/>
  <c r="B1" i="4"/>
  <c r="A1" i="4"/>
  <c r="J4" i="3"/>
  <c r="L3" i="3"/>
  <c r="J3" i="3"/>
  <c r="B1" i="3"/>
  <c r="A1" i="3"/>
  <c r="J4" i="2"/>
  <c r="L3" i="2"/>
  <c r="J3" i="2"/>
  <c r="B1" i="2"/>
  <c r="A1" i="2"/>
  <c r="J4" i="1"/>
  <c r="L3" i="1"/>
  <c r="J3" i="1"/>
  <c r="B1" i="1"/>
  <c r="A1" i="1"/>
</calcChain>
</file>

<file path=xl/sharedStrings.xml><?xml version="1.0" encoding="utf-8"?>
<sst xmlns="http://schemas.openxmlformats.org/spreadsheetml/2006/main" count="1343" uniqueCount="35">
  <si>
    <t>アルバイト勤務時間計算表</t>
    <rPh sb="5" eb="7">
      <t>キンム</t>
    </rPh>
    <rPh sb="7" eb="9">
      <t>ジカン</t>
    </rPh>
    <rPh sb="9" eb="11">
      <t>ケイサン</t>
    </rPh>
    <rPh sb="11" eb="12">
      <t>ヒョウ</t>
    </rPh>
    <phoneticPr fontId="4"/>
  </si>
  <si>
    <t>氏　名</t>
    <rPh sb="0" eb="1">
      <t>シ</t>
    </rPh>
    <rPh sb="2" eb="3">
      <t>メイ</t>
    </rPh>
    <phoneticPr fontId="4"/>
  </si>
  <si>
    <t>番田豊人</t>
  </si>
  <si>
    <t>基本
就業時間</t>
    <rPh sb="0" eb="2">
      <t>キホン</t>
    </rPh>
    <rPh sb="3" eb="5">
      <t>シュウギョウ</t>
    </rPh>
    <rPh sb="5" eb="7">
      <t>ジカン</t>
    </rPh>
    <phoneticPr fontId="4"/>
  </si>
  <si>
    <t>始業時刻</t>
    <rPh sb="0" eb="2">
      <t>シギョウ</t>
    </rPh>
    <rPh sb="2" eb="4">
      <t>ジコク</t>
    </rPh>
    <phoneticPr fontId="4"/>
  </si>
  <si>
    <t>出 勤 日 数</t>
    <rPh sb="0" eb="1">
      <t>デ</t>
    </rPh>
    <rPh sb="2" eb="3">
      <t>ツトム</t>
    </rPh>
    <rPh sb="4" eb="5">
      <t>ニチ</t>
    </rPh>
    <rPh sb="6" eb="7">
      <t>スウ</t>
    </rPh>
    <phoneticPr fontId="4"/>
  </si>
  <si>
    <t>支給金額</t>
    <rPh sb="0" eb="2">
      <t>シキュウ</t>
    </rPh>
    <rPh sb="2" eb="4">
      <t>キンガク</t>
    </rPh>
    <phoneticPr fontId="4"/>
  </si>
  <si>
    <t>終業時刻</t>
    <rPh sb="0" eb="2">
      <t>シュウギョウ</t>
    </rPh>
    <rPh sb="2" eb="4">
      <t>ジコク</t>
    </rPh>
    <phoneticPr fontId="4"/>
  </si>
  <si>
    <t>総労働時間</t>
    <rPh sb="0" eb="1">
      <t>ソウ</t>
    </rPh>
    <rPh sb="1" eb="3">
      <t>ロウドウ</t>
    </rPh>
    <rPh sb="3" eb="5">
      <t>ジカン</t>
    </rPh>
    <phoneticPr fontId="4"/>
  </si>
  <si>
    <t>日</t>
    <rPh sb="0" eb="1">
      <t>ニチ</t>
    </rPh>
    <phoneticPr fontId="4"/>
  </si>
  <si>
    <t>タイムカード打刻時刻</t>
    <rPh sb="6" eb="8">
      <t>ダコク</t>
    </rPh>
    <rPh sb="8" eb="10">
      <t>ジコク</t>
    </rPh>
    <phoneticPr fontId="4"/>
  </si>
  <si>
    <t>労 働 時 刻</t>
    <rPh sb="0" eb="1">
      <t>ロウ</t>
    </rPh>
    <rPh sb="2" eb="3">
      <t>ハタラ</t>
    </rPh>
    <rPh sb="4" eb="5">
      <t>ジ</t>
    </rPh>
    <rPh sb="6" eb="7">
      <t>コク</t>
    </rPh>
    <phoneticPr fontId="4"/>
  </si>
  <si>
    <t>実時間</t>
    <rPh sb="0" eb="1">
      <t>ジツ</t>
    </rPh>
    <rPh sb="1" eb="3">
      <t>ジカン</t>
    </rPh>
    <phoneticPr fontId="4"/>
  </si>
  <si>
    <t>休憩時間</t>
    <rPh sb="0" eb="2">
      <t>キュウケイ</t>
    </rPh>
    <rPh sb="2" eb="4">
      <t>ジカン</t>
    </rPh>
    <phoneticPr fontId="4"/>
  </si>
  <si>
    <t>実労働時間</t>
    <rPh sb="0" eb="1">
      <t>ジツ</t>
    </rPh>
    <rPh sb="1" eb="3">
      <t>ロウドウ</t>
    </rPh>
    <rPh sb="3" eb="5">
      <t>ジカン</t>
    </rPh>
    <phoneticPr fontId="4"/>
  </si>
  <si>
    <t>金額</t>
    <rPh sb="0" eb="2">
      <t>キンガク</t>
    </rPh>
    <phoneticPr fontId="4"/>
  </si>
  <si>
    <t>出社時刻</t>
    <rPh sb="0" eb="2">
      <t>シュッシャ</t>
    </rPh>
    <rPh sb="2" eb="4">
      <t>ジコク</t>
    </rPh>
    <phoneticPr fontId="4"/>
  </si>
  <si>
    <t>休憩開始</t>
    <rPh sb="0" eb="2">
      <t>キュウケイ</t>
    </rPh>
    <rPh sb="2" eb="4">
      <t>カイシ</t>
    </rPh>
    <phoneticPr fontId="4"/>
  </si>
  <si>
    <t>休憩終了</t>
    <rPh sb="0" eb="2">
      <t>キュウケイ</t>
    </rPh>
    <rPh sb="2" eb="4">
      <t>シュウリョウ</t>
    </rPh>
    <phoneticPr fontId="4"/>
  </si>
  <si>
    <t>退社時刻</t>
    <rPh sb="0" eb="2">
      <t>タイシャ</t>
    </rPh>
    <rPh sb="2" eb="4">
      <t>ジコク</t>
    </rPh>
    <phoneticPr fontId="4"/>
  </si>
  <si>
    <t>始業時刻</t>
    <rPh sb="0" eb="2">
      <t>シギョウ</t>
    </rPh>
    <rPh sb="2" eb="3">
      <t>ジ</t>
    </rPh>
    <rPh sb="3" eb="4">
      <t>コク</t>
    </rPh>
    <phoneticPr fontId="4"/>
  </si>
  <si>
    <t>終業時間</t>
    <rPh sb="0" eb="2">
      <t>シュウギョウ</t>
    </rPh>
    <rPh sb="2" eb="4">
      <t>ジカン</t>
    </rPh>
    <phoneticPr fontId="4"/>
  </si>
  <si>
    <t/>
  </si>
  <si>
    <t>交通費</t>
    <rPh sb="0" eb="3">
      <t>コウツウヒ</t>
    </rPh>
    <phoneticPr fontId="4"/>
  </si>
  <si>
    <t>30Km</t>
    <phoneticPr fontId="4"/>
  </si>
  <si>
    <t>日給</t>
    <rPh sb="0" eb="2">
      <t>ニッキュウ</t>
    </rPh>
    <phoneticPr fontId="4"/>
  </si>
  <si>
    <t>1000円</t>
    <rPh sb="4" eb="5">
      <t>エン</t>
    </rPh>
    <phoneticPr fontId="3"/>
  </si>
  <si>
    <t>川上智樹</t>
  </si>
  <si>
    <t>木原和樹</t>
  </si>
  <si>
    <t>山内龍一</t>
  </si>
  <si>
    <t>山下恵美子</t>
  </si>
  <si>
    <t>老齢手当</t>
    <rPh sb="0" eb="2">
      <t>ロウレイ</t>
    </rPh>
    <rPh sb="2" eb="4">
      <t>テア</t>
    </rPh>
    <phoneticPr fontId="3"/>
  </si>
  <si>
    <t>舛田千代子</t>
  </si>
  <si>
    <t>上松浩二</t>
    <rPh sb="1" eb="2">
      <t>マツ</t>
    </rPh>
    <phoneticPr fontId="3"/>
  </si>
  <si>
    <t>上松正和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</si>
</sst>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6" formatCode="&quot;¥&quot;#,##0;[Red]&quot;¥&quot;\-#,##0"/>
    <numFmt numFmtId="176" formatCode="0\ &quot;年&quot;"/>
    <numFmt numFmtId="177" formatCode="00&quot;月&quot;"/>
    <numFmt numFmtId="178" formatCode="0\ &quot;月&quot;"/>
    <numFmt numFmtId="179" formatCode="hh:mm"/>
    <numFmt numFmtId="180" formatCode="0&quot;日&quot;"/>
    <numFmt numFmtId="181" formatCode="0&quot;円&quot;"/>
    <numFmt numFmtId="182" formatCode="#,##0&quot;円&quot;"/>
    <numFmt numFmtId="183" formatCode="#,##0.00_);[Red]\(#,##0.00\)"/>
    <numFmt numFmtId="184" formatCode="0_);[Red]\(0\)"/>
    <numFmt numFmtId="185" formatCode="0.000000_);[Red]\(0.000000\)"/>
    <numFmt numFmtId="186" formatCode="mm&quot;月&quot;dd&quot;日&quot;\(aaa\);@"/>
    <numFmt numFmtId="187" formatCode="#,##0_);[Red]\(#,##0\)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6"/>
      <name val="HG丸ｺﾞｼｯｸM-PRO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HG丸ｺﾞｼｯｸM-PRO"/>
      <family val="3"/>
      <charset val="128"/>
    </font>
    <font>
      <sz val="16"/>
      <name val="HG丸ｺﾞｼｯｸM-PRO"/>
      <family val="3"/>
      <charset val="128"/>
    </font>
    <font>
      <b/>
      <sz val="10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0"/>
      <name val="ＭＳ ゴシック"/>
      <family val="3"/>
      <charset val="128"/>
    </font>
    <font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color indexed="22"/>
      <name val="HG丸ｺﾞｼｯｸM-PR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178" fontId="2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/>
    <xf numFmtId="0" fontId="6" fillId="0" borderId="0" xfId="0" applyFont="1" applyAlignment="1">
      <alignment vertical="top"/>
    </xf>
    <xf numFmtId="0" fontId="7" fillId="2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79" fontId="9" fillId="4" borderId="6" xfId="0" applyNumberFormat="1" applyFont="1" applyFill="1" applyBorder="1" applyAlignment="1" applyProtection="1">
      <alignment horizontal="center" vertical="center"/>
      <protection locked="0"/>
    </xf>
    <xf numFmtId="179" fontId="9" fillId="0" borderId="7" xfId="0" applyNumberFormat="1" applyFont="1" applyFill="1" applyBorder="1" applyAlignment="1">
      <alignment vertical="center"/>
    </xf>
    <xf numFmtId="20" fontId="8" fillId="2" borderId="8" xfId="0" applyNumberFormat="1" applyFont="1" applyFill="1" applyBorder="1" applyAlignment="1">
      <alignment horizontal="center" vertical="center"/>
    </xf>
    <xf numFmtId="180" fontId="9" fillId="0" borderId="6" xfId="0" applyNumberFormat="1" applyFont="1" applyFill="1" applyBorder="1" applyAlignment="1">
      <alignment vertical="center"/>
    </xf>
    <xf numFmtId="20" fontId="7" fillId="2" borderId="1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3" borderId="15" xfId="0" applyFont="1" applyFill="1" applyBorder="1" applyAlignment="1">
      <alignment horizontal="center" vertical="center"/>
    </xf>
    <xf numFmtId="179" fontId="9" fillId="4" borderId="16" xfId="0" applyNumberFormat="1" applyFont="1" applyFill="1" applyBorder="1" applyAlignment="1" applyProtection="1">
      <alignment horizontal="center" vertical="center"/>
      <protection locked="0"/>
    </xf>
    <xf numFmtId="20" fontId="8" fillId="2" borderId="17" xfId="0" applyNumberFormat="1" applyFont="1" applyFill="1" applyBorder="1" applyAlignment="1">
      <alignment horizontal="center" vertical="center"/>
    </xf>
    <xf numFmtId="183" fontId="9" fillId="0" borderId="16" xfId="0" applyNumberFormat="1" applyFont="1" applyFill="1" applyBorder="1" applyAlignment="1">
      <alignment vertical="center"/>
    </xf>
    <xf numFmtId="184" fontId="5" fillId="0" borderId="0" xfId="0" applyNumberFormat="1" applyFont="1" applyAlignment="1">
      <alignment horizontal="center"/>
    </xf>
    <xf numFmtId="184" fontId="5" fillId="0" borderId="20" xfId="0" applyNumberFormat="1" applyFont="1" applyBorder="1" applyAlignment="1">
      <alignment horizontal="center"/>
    </xf>
    <xf numFmtId="185" fontId="5" fillId="0" borderId="0" xfId="0" applyNumberFormat="1" applyFont="1" applyAlignment="1"/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186" fontId="9" fillId="0" borderId="32" xfId="0" applyNumberFormat="1" applyFont="1" applyFill="1" applyBorder="1" applyAlignment="1" applyProtection="1">
      <alignment horizontal="center" vertical="center"/>
      <protection hidden="1"/>
    </xf>
    <xf numFmtId="179" fontId="9" fillId="4" borderId="33" xfId="0" applyNumberFormat="1" applyFont="1" applyFill="1" applyBorder="1" applyAlignment="1" applyProtection="1">
      <alignment horizontal="center" vertical="center"/>
      <protection locked="0"/>
    </xf>
    <xf numFmtId="179" fontId="9" fillId="4" borderId="34" xfId="0" applyNumberFormat="1" applyFont="1" applyFill="1" applyBorder="1" applyAlignment="1" applyProtection="1">
      <alignment horizontal="center" vertical="center"/>
      <protection locked="0"/>
    </xf>
    <xf numFmtId="179" fontId="9" fillId="0" borderId="32" xfId="0" applyNumberFormat="1" applyFont="1" applyFill="1" applyBorder="1" applyAlignment="1" applyProtection="1">
      <alignment horizontal="center" vertical="center"/>
      <protection hidden="1"/>
    </xf>
    <xf numFmtId="179" fontId="9" fillId="0" borderId="29" xfId="0" applyNumberFormat="1" applyFont="1" applyFill="1" applyBorder="1" applyAlignment="1" applyProtection="1">
      <alignment horizontal="center" vertical="center"/>
      <protection hidden="1"/>
    </xf>
    <xf numFmtId="179" fontId="9" fillId="0" borderId="33" xfId="0" applyNumberFormat="1" applyFont="1" applyFill="1" applyBorder="1" applyAlignment="1" applyProtection="1">
      <alignment horizontal="center" vertical="center"/>
      <protection hidden="1"/>
    </xf>
    <xf numFmtId="183" fontId="9" fillId="0" borderId="28" xfId="0" applyNumberFormat="1" applyFont="1" applyFill="1" applyBorder="1" applyAlignment="1" applyProtection="1">
      <alignment vertical="center"/>
      <protection hidden="1"/>
    </xf>
    <xf numFmtId="187" fontId="12" fillId="0" borderId="30" xfId="0" applyNumberFormat="1" applyFont="1" applyFill="1" applyBorder="1" applyAlignment="1" applyProtection="1">
      <alignment vertical="center"/>
      <protection hidden="1"/>
    </xf>
    <xf numFmtId="184" fontId="9" fillId="0" borderId="35" xfId="0" applyNumberFormat="1" applyFont="1" applyFill="1" applyBorder="1" applyAlignment="1" applyProtection="1">
      <alignment horizontal="center"/>
      <protection locked="0"/>
    </xf>
    <xf numFmtId="184" fontId="9" fillId="0" borderId="28" xfId="0" applyNumberFormat="1" applyFont="1" applyFill="1" applyBorder="1" applyAlignment="1" applyProtection="1">
      <alignment horizontal="center"/>
      <protection locked="0"/>
    </xf>
    <xf numFmtId="0" fontId="8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79" fontId="9" fillId="4" borderId="26" xfId="0" applyNumberFormat="1" applyFont="1" applyFill="1" applyBorder="1" applyAlignment="1" applyProtection="1">
      <alignment horizontal="center" vertical="center"/>
      <protection locked="0"/>
    </xf>
    <xf numFmtId="179" fontId="9" fillId="4" borderId="27" xfId="0" applyNumberFormat="1" applyFont="1" applyFill="1" applyBorder="1" applyAlignment="1" applyProtection="1">
      <alignment horizontal="center" vertical="center"/>
      <protection locked="0"/>
    </xf>
    <xf numFmtId="179" fontId="9" fillId="0" borderId="25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quotePrefix="1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86" fontId="9" fillId="0" borderId="14" xfId="0" applyNumberFormat="1" applyFont="1" applyFill="1" applyBorder="1" applyAlignment="1" applyProtection="1">
      <alignment horizontal="center" vertical="center"/>
      <protection hidden="1"/>
    </xf>
    <xf numFmtId="179" fontId="9" fillId="4" borderId="15" xfId="0" applyNumberFormat="1" applyFont="1" applyFill="1" applyBorder="1" applyAlignment="1" applyProtection="1">
      <alignment horizontal="center" vertical="center"/>
      <protection locked="0"/>
    </xf>
    <xf numFmtId="179" fontId="9" fillId="0" borderId="14" xfId="0" applyNumberFormat="1" applyFont="1" applyFill="1" applyBorder="1" applyAlignment="1" applyProtection="1">
      <alignment horizontal="center" vertical="center"/>
      <protection hidden="1"/>
    </xf>
    <xf numFmtId="179" fontId="9" fillId="0" borderId="36" xfId="0" applyNumberFormat="1" applyFont="1" applyFill="1" applyBorder="1" applyAlignment="1" applyProtection="1">
      <alignment horizontal="center" vertical="center"/>
      <protection hidden="1"/>
    </xf>
    <xf numFmtId="179" fontId="9" fillId="0" borderId="17" xfId="0" applyNumberFormat="1" applyFont="1" applyFill="1" applyBorder="1" applyAlignment="1" applyProtection="1">
      <alignment horizontal="center" vertical="center"/>
      <protection hidden="1"/>
    </xf>
    <xf numFmtId="179" fontId="9" fillId="0" borderId="15" xfId="0" applyNumberFormat="1" applyFont="1" applyFill="1" applyBorder="1" applyAlignment="1" applyProtection="1">
      <alignment horizontal="center" vertical="center"/>
      <protection hidden="1"/>
    </xf>
    <xf numFmtId="183" fontId="9" fillId="0" borderId="37" xfId="0" applyNumberFormat="1" applyFont="1" applyFill="1" applyBorder="1" applyAlignment="1" applyProtection="1">
      <alignment vertical="center"/>
      <protection hidden="1"/>
    </xf>
    <xf numFmtId="187" fontId="12" fillId="0" borderId="38" xfId="0" applyNumberFormat="1" applyFont="1" applyFill="1" applyBorder="1" applyAlignment="1" applyProtection="1">
      <alignment vertical="center"/>
      <protection hidden="1"/>
    </xf>
    <xf numFmtId="184" fontId="9" fillId="0" borderId="39" xfId="0" applyNumberFormat="1" applyFont="1" applyFill="1" applyBorder="1" applyAlignment="1" applyProtection="1">
      <alignment horizontal="center"/>
      <protection locked="0"/>
    </xf>
    <xf numFmtId="184" fontId="9" fillId="0" borderId="37" xfId="0" applyNumberFormat="1" applyFont="1" applyFill="1" applyBorder="1" applyAlignment="1" applyProtection="1">
      <alignment horizontal="center"/>
      <protection locked="0"/>
    </xf>
    <xf numFmtId="187" fontId="5" fillId="0" borderId="0" xfId="0" applyNumberFormat="1" applyFont="1" applyAlignment="1">
      <alignment vertical="center"/>
    </xf>
    <xf numFmtId="184" fontId="7" fillId="2" borderId="22" xfId="0" applyNumberFormat="1" applyFont="1" applyFill="1" applyBorder="1" applyAlignment="1">
      <alignment horizontal="center" vertical="center"/>
    </xf>
    <xf numFmtId="184" fontId="7" fillId="2" borderId="29" xfId="0" applyNumberFormat="1" applyFont="1" applyFill="1" applyBorder="1" applyAlignment="1">
      <alignment horizontal="center" vertical="center"/>
    </xf>
    <xf numFmtId="6" fontId="10" fillId="0" borderId="9" xfId="1" applyNumberFormat="1" applyFont="1" applyFill="1" applyBorder="1" applyAlignment="1">
      <alignment vertical="center"/>
    </xf>
    <xf numFmtId="6" fontId="10" fillId="0" borderId="10" xfId="1" applyNumberFormat="1" applyFont="1" applyFill="1" applyBorder="1" applyAlignment="1">
      <alignment vertical="center"/>
    </xf>
    <xf numFmtId="6" fontId="10" fillId="0" borderId="18" xfId="1" applyNumberFormat="1" applyFont="1" applyFill="1" applyBorder="1" applyAlignment="1">
      <alignment vertical="center"/>
    </xf>
    <xf numFmtId="6" fontId="10" fillId="0" borderId="19" xfId="1" applyNumberFormat="1" applyFont="1" applyFill="1" applyBorder="1" applyAlignment="1">
      <alignment vertical="center"/>
    </xf>
    <xf numFmtId="38" fontId="11" fillId="4" borderId="12" xfId="1" applyFont="1" applyFill="1" applyBorder="1" applyAlignment="1" applyProtection="1">
      <alignment horizontal="right" vertical="center"/>
      <protection locked="0"/>
    </xf>
    <xf numFmtId="38" fontId="11" fillId="4" borderId="13" xfId="1" applyFont="1" applyFill="1" applyBorder="1" applyAlignment="1" applyProtection="1">
      <alignment horizontal="right" vertical="center"/>
      <protection locked="0"/>
    </xf>
    <xf numFmtId="0" fontId="7" fillId="2" borderId="8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184" fontId="7" fillId="2" borderId="23" xfId="0" applyNumberFormat="1" applyFont="1" applyFill="1" applyBorder="1" applyAlignment="1">
      <alignment horizontal="center" vertical="center"/>
    </xf>
    <xf numFmtId="184" fontId="7" fillId="2" borderId="30" xfId="0" applyNumberFormat="1" applyFont="1" applyFill="1" applyBorder="1" applyAlignment="1">
      <alignment horizontal="center" vertical="center"/>
    </xf>
    <xf numFmtId="184" fontId="7" fillId="2" borderId="24" xfId="0" applyNumberFormat="1" applyFont="1" applyFill="1" applyBorder="1" applyAlignment="1">
      <alignment horizontal="center" vertical="center"/>
    </xf>
    <xf numFmtId="184" fontId="7" fillId="2" borderId="31" xfId="0" applyNumberFormat="1" applyFont="1" applyFill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77" fontId="2" fillId="0" borderId="0" xfId="0" applyNumberFormat="1" applyFont="1" applyBorder="1" applyAlignment="1">
      <alignment horizontal="center" vertical="top"/>
    </xf>
    <xf numFmtId="177" fontId="6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0" fontId="5" fillId="0" borderId="2" xfId="0" applyFont="1" applyFill="1" applyBorder="1" applyAlignment="1" applyProtection="1">
      <alignment horizontal="center" vertical="center"/>
      <protection hidden="1"/>
    </xf>
    <xf numFmtId="0" fontId="0" fillId="0" borderId="3" xfId="0" applyFill="1" applyBorder="1" applyAlignment="1" applyProtection="1">
      <alignment horizontal="center"/>
      <protection hidden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181" fontId="8" fillId="2" borderId="4" xfId="0" applyNumberFormat="1" applyFont="1" applyFill="1" applyBorder="1" applyAlignment="1">
      <alignment horizontal="center" vertical="center"/>
    </xf>
    <xf numFmtId="181" fontId="8" fillId="2" borderId="14" xfId="0" applyNumberFormat="1" applyFont="1" applyFill="1" applyBorder="1" applyAlignment="1">
      <alignment horizontal="center" vertical="center"/>
    </xf>
    <xf numFmtId="182" fontId="11" fillId="4" borderId="12" xfId="0" applyNumberFormat="1" applyFont="1" applyFill="1" applyBorder="1" applyAlignment="1" applyProtection="1">
      <alignment vertical="center"/>
      <protection locked="0"/>
    </xf>
    <xf numFmtId="182" fontId="11" fillId="4" borderId="13" xfId="0" applyNumberFormat="1" applyFont="1" applyFill="1" applyBorder="1" applyAlignment="1" applyProtection="1">
      <alignment vertical="center"/>
      <protection locked="0"/>
    </xf>
  </cellXfs>
  <cellStyles count="2">
    <cellStyle name="桁区切り" xfId="1" builtinId="6"/>
    <cellStyle name="標準" xfId="0" builtinId="0"/>
  </cellStyles>
  <dxfs count="121"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ill>
        <patternFill patternType="lightUp">
          <fgColor theme="8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1.&#36939;&#21942;&#31649;&#29702;/04.&#21172;&#21209;&#31649;&#29702;/&#32102;&#19982;&#26126;&#32048;/&#32102;&#19982;&#35336;&#31639;(2014&#24180;10&#26376;)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"/>
      <sheetName val="表紙"/>
      <sheetName val="岡崎峻喬"/>
      <sheetName val="山内ノリ子"/>
      <sheetName val="木原真知子"/>
      <sheetName val="大元"/>
      <sheetName val="山内龍一"/>
      <sheetName val="山下恵美子"/>
      <sheetName val="舛田千代子"/>
      <sheetName val="山内雄司"/>
      <sheetName val="番田豊人"/>
      <sheetName val="川上智樹"/>
      <sheetName val="木原和樹"/>
      <sheetName val="上原正和"/>
      <sheetName val="川北典子"/>
      <sheetName val="春名小百合"/>
      <sheetName val="松井和子"/>
      <sheetName val="池田清美"/>
      <sheetName val="上原浩二"/>
      <sheetName val="矢野功 (3)"/>
      <sheetName val="Sheet1"/>
      <sheetName val="Sheet2"/>
    </sheetNames>
    <sheetDataSet>
      <sheetData sheetId="0">
        <row r="3">
          <cell r="A3">
            <v>41652</v>
          </cell>
        </row>
        <row r="4">
          <cell r="A4">
            <v>41681</v>
          </cell>
        </row>
        <row r="5">
          <cell r="A5">
            <v>41719</v>
          </cell>
        </row>
        <row r="6">
          <cell r="A6">
            <v>41758</v>
          </cell>
        </row>
        <row r="7">
          <cell r="A7">
            <v>41762</v>
          </cell>
        </row>
        <row r="8">
          <cell r="A8">
            <v>41763</v>
          </cell>
        </row>
        <row r="9">
          <cell r="A9">
            <v>41764</v>
          </cell>
        </row>
        <row r="10">
          <cell r="A10">
            <v>41841</v>
          </cell>
        </row>
        <row r="11">
          <cell r="A11">
            <v>41897</v>
          </cell>
        </row>
        <row r="12">
          <cell r="A12">
            <v>41905</v>
          </cell>
        </row>
        <row r="13">
          <cell r="A13">
            <v>41925</v>
          </cell>
        </row>
        <row r="14">
          <cell r="A14">
            <v>41946</v>
          </cell>
        </row>
        <row r="15">
          <cell r="A15">
            <v>41966</v>
          </cell>
        </row>
        <row r="16">
          <cell r="A16">
            <v>41996</v>
          </cell>
        </row>
      </sheetData>
      <sheetData sheetId="1">
        <row r="1">
          <cell r="A1">
            <v>2014</v>
          </cell>
          <cell r="B1">
            <v>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G27" sqref="G27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8.2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2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5</v>
      </c>
      <c r="K3" s="82" t="s">
        <v>6</v>
      </c>
      <c r="L3" s="55">
        <f>SUM($K$8:$K$38)</f>
        <v>5000</v>
      </c>
      <c r="M3" s="56"/>
    </row>
    <row r="4" spans="1:19" ht="14.25" thickBot="1" x14ac:dyDescent="0.2">
      <c r="A4" s="12" t="s">
        <v>25</v>
      </c>
      <c r="B4" s="59" t="s">
        <v>26</v>
      </c>
      <c r="C4" s="60"/>
      <c r="E4" s="81"/>
      <c r="F4" s="14" t="s">
        <v>7</v>
      </c>
      <c r="G4" s="15">
        <v>0.875</v>
      </c>
      <c r="H4" s="9"/>
      <c r="I4" s="16" t="s">
        <v>8</v>
      </c>
      <c r="J4" s="17">
        <f>SUM($J$8:$J$38)</f>
        <v>26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 t="s">
        <v>22</v>
      </c>
      <c r="G8" s="29" t="s">
        <v>22</v>
      </c>
      <c r="H8" s="28" t="s">
        <v>22</v>
      </c>
      <c r="I8" s="30" t="s">
        <v>22</v>
      </c>
      <c r="J8" s="31" t="s">
        <v>22</v>
      </c>
      <c r="K8" s="32" t="s">
        <v>22</v>
      </c>
      <c r="L8" s="33"/>
      <c r="M8" s="34"/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26"/>
      <c r="D9" s="26"/>
      <c r="E9" s="38"/>
      <c r="F9" s="28" t="s">
        <v>22</v>
      </c>
      <c r="G9" s="29" t="s">
        <v>22</v>
      </c>
      <c r="H9" s="39" t="s">
        <v>22</v>
      </c>
      <c r="I9" s="30" t="s">
        <v>22</v>
      </c>
      <c r="J9" s="31" t="s">
        <v>22</v>
      </c>
      <c r="K9" s="32" t="s">
        <v>22</v>
      </c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37"/>
      <c r="D10" s="37"/>
      <c r="E10" s="38"/>
      <c r="F10" s="28" t="s">
        <v>22</v>
      </c>
      <c r="G10" s="29" t="s">
        <v>22</v>
      </c>
      <c r="H10" s="39" t="s">
        <v>22</v>
      </c>
      <c r="I10" s="30" t="s">
        <v>22</v>
      </c>
      <c r="J10" s="31" t="s">
        <v>22</v>
      </c>
      <c r="K10" s="32" t="s">
        <v>22</v>
      </c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37"/>
      <c r="D11" s="37"/>
      <c r="E11" s="38"/>
      <c r="F11" s="28" t="s">
        <v>22</v>
      </c>
      <c r="G11" s="29" t="s">
        <v>22</v>
      </c>
      <c r="H11" s="39" t="s">
        <v>22</v>
      </c>
      <c r="I11" s="30" t="s">
        <v>22</v>
      </c>
      <c r="J11" s="31" t="s">
        <v>22</v>
      </c>
      <c r="K11" s="32" t="s">
        <v>22</v>
      </c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 t="s">
        <v>22</v>
      </c>
      <c r="G12" s="29" t="s">
        <v>22</v>
      </c>
      <c r="H12" s="39" t="s">
        <v>22</v>
      </c>
      <c r="I12" s="30" t="s">
        <v>22</v>
      </c>
      <c r="J12" s="31" t="s">
        <v>22</v>
      </c>
      <c r="K12" s="32" t="s">
        <v>22</v>
      </c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 t="s">
        <v>22</v>
      </c>
      <c r="G13" s="29" t="s">
        <v>22</v>
      </c>
      <c r="H13" s="39" t="s">
        <v>22</v>
      </c>
      <c r="I13" s="30" t="s">
        <v>22</v>
      </c>
      <c r="J13" s="31" t="s">
        <v>22</v>
      </c>
      <c r="K13" s="32" t="s">
        <v>22</v>
      </c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26"/>
      <c r="D14" s="26"/>
      <c r="E14" s="38"/>
      <c r="F14" s="28" t="s">
        <v>22</v>
      </c>
      <c r="G14" s="29" t="s">
        <v>22</v>
      </c>
      <c r="H14" s="39" t="s">
        <v>22</v>
      </c>
      <c r="I14" s="30" t="s">
        <v>22</v>
      </c>
      <c r="J14" s="31" t="s">
        <v>22</v>
      </c>
      <c r="K14" s="32" t="s">
        <v>22</v>
      </c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26"/>
      <c r="D15" s="26"/>
      <c r="E15" s="38"/>
      <c r="F15" s="28" t="s">
        <v>22</v>
      </c>
      <c r="G15" s="29" t="s">
        <v>22</v>
      </c>
      <c r="H15" s="39" t="s">
        <v>22</v>
      </c>
      <c r="I15" s="30" t="s">
        <v>22</v>
      </c>
      <c r="J15" s="31" t="s">
        <v>22</v>
      </c>
      <c r="K15" s="32" t="s">
        <v>22</v>
      </c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26"/>
      <c r="D16" s="26"/>
      <c r="E16" s="38"/>
      <c r="F16" s="28" t="s">
        <v>22</v>
      </c>
      <c r="G16" s="29" t="s">
        <v>22</v>
      </c>
      <c r="H16" s="39" t="s">
        <v>22</v>
      </c>
      <c r="I16" s="30" t="s">
        <v>22</v>
      </c>
      <c r="J16" s="31" t="s">
        <v>22</v>
      </c>
      <c r="K16" s="32" t="s">
        <v>22</v>
      </c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/>
      <c r="C17" s="37"/>
      <c r="D17" s="37"/>
      <c r="E17" s="38"/>
      <c r="F17" s="28" t="s">
        <v>22</v>
      </c>
      <c r="G17" s="29" t="s">
        <v>22</v>
      </c>
      <c r="H17" s="39" t="s">
        <v>22</v>
      </c>
      <c r="I17" s="30" t="s">
        <v>22</v>
      </c>
      <c r="J17" s="31" t="s">
        <v>22</v>
      </c>
      <c r="K17" s="32" t="s">
        <v>22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/>
      <c r="C18" s="37"/>
      <c r="D18" s="37"/>
      <c r="E18" s="38"/>
      <c r="F18" s="28" t="s">
        <v>22</v>
      </c>
      <c r="G18" s="29" t="s">
        <v>22</v>
      </c>
      <c r="H18" s="39" t="s">
        <v>22</v>
      </c>
      <c r="I18" s="30" t="s">
        <v>22</v>
      </c>
      <c r="J18" s="31" t="s">
        <v>22</v>
      </c>
      <c r="K18" s="32" t="s">
        <v>22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/>
      <c r="C19" s="26"/>
      <c r="D19" s="26"/>
      <c r="E19" s="38"/>
      <c r="F19" s="28" t="s">
        <v>22</v>
      </c>
      <c r="G19" s="29" t="s">
        <v>22</v>
      </c>
      <c r="H19" s="39" t="s">
        <v>22</v>
      </c>
      <c r="I19" s="30" t="s">
        <v>22</v>
      </c>
      <c r="J19" s="31" t="s">
        <v>22</v>
      </c>
      <c r="K19" s="32" t="s">
        <v>22</v>
      </c>
      <c r="L19" s="33"/>
      <c r="M19" s="34"/>
    </row>
    <row r="20" spans="1:19" x14ac:dyDescent="0.15">
      <c r="A20" s="25">
        <v>41956</v>
      </c>
      <c r="B20" s="37"/>
      <c r="C20" s="26"/>
      <c r="D20" s="26"/>
      <c r="E20" s="38"/>
      <c r="F20" s="28" t="s">
        <v>22</v>
      </c>
      <c r="G20" s="29" t="s">
        <v>22</v>
      </c>
      <c r="H20" s="39" t="s">
        <v>22</v>
      </c>
      <c r="I20" s="30" t="s">
        <v>22</v>
      </c>
      <c r="J20" s="31" t="s">
        <v>22</v>
      </c>
      <c r="K20" s="32" t="s">
        <v>22</v>
      </c>
      <c r="L20" s="33"/>
      <c r="M20" s="34"/>
    </row>
    <row r="21" spans="1:19" x14ac:dyDescent="0.15">
      <c r="A21" s="25">
        <v>41957</v>
      </c>
      <c r="B21" s="37"/>
      <c r="C21" s="26"/>
      <c r="D21" s="26"/>
      <c r="E21" s="38"/>
      <c r="F21" s="28" t="s">
        <v>22</v>
      </c>
      <c r="G21" s="29" t="s">
        <v>22</v>
      </c>
      <c r="H21" s="39" t="s">
        <v>22</v>
      </c>
      <c r="I21" s="30" t="s">
        <v>22</v>
      </c>
      <c r="J21" s="31" t="s">
        <v>22</v>
      </c>
      <c r="K21" s="32" t="s">
        <v>22</v>
      </c>
      <c r="L21" s="33"/>
      <c r="M21" s="34"/>
    </row>
    <row r="22" spans="1:19" x14ac:dyDescent="0.15">
      <c r="A22" s="25">
        <v>41958</v>
      </c>
      <c r="B22" s="37"/>
      <c r="C22" s="26"/>
      <c r="D22" s="26"/>
      <c r="E22" s="38"/>
      <c r="F22" s="28" t="s">
        <v>22</v>
      </c>
      <c r="G22" s="29" t="s">
        <v>22</v>
      </c>
      <c r="H22" s="39" t="s">
        <v>22</v>
      </c>
      <c r="I22" s="30" t="s">
        <v>22</v>
      </c>
      <c r="J22" s="31" t="s">
        <v>22</v>
      </c>
      <c r="K22" s="32" t="s">
        <v>22</v>
      </c>
      <c r="L22" s="33"/>
      <c r="M22" s="34"/>
    </row>
    <row r="23" spans="1:19" x14ac:dyDescent="0.15">
      <c r="A23" s="25">
        <v>41959</v>
      </c>
      <c r="B23" s="37"/>
      <c r="C23" s="26"/>
      <c r="D23" s="26"/>
      <c r="E23" s="38"/>
      <c r="F23" s="28" t="s">
        <v>22</v>
      </c>
      <c r="G23" s="29" t="s">
        <v>22</v>
      </c>
      <c r="H23" s="39" t="s">
        <v>22</v>
      </c>
      <c r="I23" s="30" t="s">
        <v>22</v>
      </c>
      <c r="J23" s="31" t="s">
        <v>22</v>
      </c>
      <c r="K23" s="32" t="s">
        <v>22</v>
      </c>
      <c r="L23" s="33"/>
      <c r="M23" s="34"/>
    </row>
    <row r="24" spans="1:19" x14ac:dyDescent="0.15">
      <c r="A24" s="25">
        <v>41960</v>
      </c>
      <c r="B24" s="37">
        <v>0.39166666666666666</v>
      </c>
      <c r="C24" s="37"/>
      <c r="D24" s="37"/>
      <c r="E24" s="38">
        <v>0.66597222222222219</v>
      </c>
      <c r="F24" s="28">
        <v>0.39583333333333331</v>
      </c>
      <c r="G24" s="29">
        <v>0.65625</v>
      </c>
      <c r="H24" s="39">
        <v>0.26041666666666669</v>
      </c>
      <c r="I24" s="30" t="s">
        <v>22</v>
      </c>
      <c r="J24" s="31">
        <v>6.25</v>
      </c>
      <c r="K24" s="32">
        <v>1000</v>
      </c>
      <c r="L24" s="33"/>
      <c r="M24" s="34"/>
    </row>
    <row r="25" spans="1:19" x14ac:dyDescent="0.15">
      <c r="A25" s="25">
        <v>41961</v>
      </c>
      <c r="B25" s="37"/>
      <c r="C25" s="37"/>
      <c r="D25" s="37"/>
      <c r="E25" s="38"/>
      <c r="F25" s="28" t="s">
        <v>22</v>
      </c>
      <c r="G25" s="29" t="s">
        <v>22</v>
      </c>
      <c r="H25" s="39" t="s">
        <v>22</v>
      </c>
      <c r="I25" s="30" t="s">
        <v>22</v>
      </c>
      <c r="J25" s="31" t="s">
        <v>22</v>
      </c>
      <c r="K25" s="32" t="s">
        <v>22</v>
      </c>
      <c r="L25" s="33"/>
      <c r="M25" s="34"/>
    </row>
    <row r="26" spans="1:19" x14ac:dyDescent="0.15">
      <c r="A26" s="25">
        <v>41962</v>
      </c>
      <c r="B26" s="37">
        <v>0.36527777777777781</v>
      </c>
      <c r="C26" s="37"/>
      <c r="D26" s="37"/>
      <c r="E26" s="38">
        <v>0.62847222222222221</v>
      </c>
      <c r="F26" s="28">
        <v>0.375</v>
      </c>
      <c r="G26" s="29">
        <v>0.625</v>
      </c>
      <c r="H26" s="39">
        <v>0.25</v>
      </c>
      <c r="I26" s="30" t="s">
        <v>22</v>
      </c>
      <c r="J26" s="31">
        <v>6</v>
      </c>
      <c r="K26" s="32">
        <v>1000</v>
      </c>
      <c r="L26" s="33"/>
      <c r="M26" s="34"/>
    </row>
    <row r="27" spans="1:19" x14ac:dyDescent="0.15">
      <c r="A27" s="25">
        <v>41963</v>
      </c>
      <c r="B27" s="37">
        <v>0.44097222222222227</v>
      </c>
      <c r="C27" s="26"/>
      <c r="D27" s="26"/>
      <c r="E27" s="38">
        <v>0.62777777777777777</v>
      </c>
      <c r="F27" s="28">
        <v>0.44791666666666663</v>
      </c>
      <c r="G27" s="29">
        <v>0.625</v>
      </c>
      <c r="H27" s="39">
        <v>0.17708333333333337</v>
      </c>
      <c r="I27" s="30" t="s">
        <v>22</v>
      </c>
      <c r="J27" s="31">
        <v>4.2500000000000009</v>
      </c>
      <c r="K27" s="32">
        <v>1000</v>
      </c>
      <c r="L27" s="33"/>
      <c r="M27" s="34"/>
    </row>
    <row r="28" spans="1:19" x14ac:dyDescent="0.15">
      <c r="A28" s="25">
        <v>41964</v>
      </c>
      <c r="B28" s="37"/>
      <c r="C28" s="26"/>
      <c r="D28" s="26"/>
      <c r="E28" s="38"/>
      <c r="F28" s="28" t="s">
        <v>22</v>
      </c>
      <c r="G28" s="29" t="s">
        <v>22</v>
      </c>
      <c r="H28" s="39" t="s">
        <v>22</v>
      </c>
      <c r="I28" s="30" t="s">
        <v>22</v>
      </c>
      <c r="J28" s="31" t="s">
        <v>22</v>
      </c>
      <c r="K28" s="32" t="s">
        <v>22</v>
      </c>
      <c r="L28" s="33"/>
      <c r="M28" s="34"/>
    </row>
    <row r="29" spans="1:19" x14ac:dyDescent="0.15">
      <c r="A29" s="25">
        <v>41965</v>
      </c>
      <c r="B29" s="37"/>
      <c r="C29" s="37"/>
      <c r="D29" s="37"/>
      <c r="E29" s="38"/>
      <c r="F29" s="28" t="s">
        <v>22</v>
      </c>
      <c r="G29" s="29" t="s">
        <v>22</v>
      </c>
      <c r="H29" s="39" t="s">
        <v>22</v>
      </c>
      <c r="I29" s="30" t="s">
        <v>22</v>
      </c>
      <c r="J29" s="31" t="s">
        <v>22</v>
      </c>
      <c r="K29" s="32" t="s">
        <v>22</v>
      </c>
      <c r="L29" s="33"/>
      <c r="M29" s="34"/>
    </row>
    <row r="30" spans="1:19" x14ac:dyDescent="0.15">
      <c r="A30" s="25">
        <v>41966</v>
      </c>
      <c r="B30" s="37"/>
      <c r="C30" s="26"/>
      <c r="D30" s="26"/>
      <c r="E30" s="38"/>
      <c r="F30" s="28" t="s">
        <v>22</v>
      </c>
      <c r="G30" s="29" t="s">
        <v>22</v>
      </c>
      <c r="H30" s="39" t="s">
        <v>22</v>
      </c>
      <c r="I30" s="30" t="s">
        <v>22</v>
      </c>
      <c r="J30" s="31" t="s">
        <v>22</v>
      </c>
      <c r="K30" s="32" t="s">
        <v>22</v>
      </c>
      <c r="L30" s="33"/>
      <c r="M30" s="34"/>
    </row>
    <row r="31" spans="1:19" x14ac:dyDescent="0.15">
      <c r="A31" s="25">
        <v>41967</v>
      </c>
      <c r="B31" s="37"/>
      <c r="C31" s="37"/>
      <c r="D31" s="37"/>
      <c r="E31" s="38"/>
      <c r="F31" s="28" t="s">
        <v>22</v>
      </c>
      <c r="G31" s="29" t="s">
        <v>22</v>
      </c>
      <c r="H31" s="39" t="s">
        <v>22</v>
      </c>
      <c r="I31" s="30" t="s">
        <v>22</v>
      </c>
      <c r="J31" s="31" t="s">
        <v>22</v>
      </c>
      <c r="K31" s="32" t="s">
        <v>22</v>
      </c>
      <c r="L31" s="33"/>
      <c r="M31" s="34"/>
    </row>
    <row r="32" spans="1:19" x14ac:dyDescent="0.15">
      <c r="A32" s="25">
        <v>41968</v>
      </c>
      <c r="B32" s="37">
        <v>0.46666666666666662</v>
      </c>
      <c r="C32" s="37"/>
      <c r="D32" s="37"/>
      <c r="E32" s="38">
        <v>0.63680555555555551</v>
      </c>
      <c r="F32" s="28">
        <v>0.46875</v>
      </c>
      <c r="G32" s="29">
        <v>0.63541666666666663</v>
      </c>
      <c r="H32" s="39">
        <v>0.16666666666666663</v>
      </c>
      <c r="I32" s="30" t="s">
        <v>22</v>
      </c>
      <c r="J32" s="31">
        <v>3.9999999999999991</v>
      </c>
      <c r="K32" s="32">
        <v>1000</v>
      </c>
      <c r="L32" s="33"/>
      <c r="M32" s="34"/>
    </row>
    <row r="33" spans="1:13" x14ac:dyDescent="0.15">
      <c r="A33" s="25">
        <v>41969</v>
      </c>
      <c r="B33" s="37">
        <v>0.38680555555555557</v>
      </c>
      <c r="C33" s="26"/>
      <c r="D33" s="26"/>
      <c r="E33" s="38">
        <v>0.63055555555555554</v>
      </c>
      <c r="F33" s="28">
        <v>0.39583333333333331</v>
      </c>
      <c r="G33" s="29">
        <v>0.625</v>
      </c>
      <c r="H33" s="39">
        <v>0.22916666666666669</v>
      </c>
      <c r="I33" s="30" t="s">
        <v>22</v>
      </c>
      <c r="J33" s="31">
        <v>5.5</v>
      </c>
      <c r="K33" s="32">
        <v>1000</v>
      </c>
      <c r="L33" s="33"/>
      <c r="M33" s="34"/>
    </row>
    <row r="34" spans="1:13" x14ac:dyDescent="0.15">
      <c r="A34" s="25">
        <v>41970</v>
      </c>
      <c r="B34" s="37"/>
      <c r="C34" s="26"/>
      <c r="D34" s="26"/>
      <c r="E34" s="38"/>
      <c r="F34" s="28" t="s">
        <v>22</v>
      </c>
      <c r="G34" s="29" t="s">
        <v>22</v>
      </c>
      <c r="H34" s="39" t="s">
        <v>22</v>
      </c>
      <c r="I34" s="30" t="s">
        <v>22</v>
      </c>
      <c r="J34" s="31" t="s">
        <v>22</v>
      </c>
      <c r="K34" s="32" t="s">
        <v>22</v>
      </c>
      <c r="L34" s="33"/>
      <c r="M34" s="34"/>
    </row>
    <row r="35" spans="1:13" x14ac:dyDescent="0.15">
      <c r="A35" s="25">
        <v>41971</v>
      </c>
      <c r="B35" s="37"/>
      <c r="C35" s="26"/>
      <c r="D35" s="26"/>
      <c r="E35" s="38"/>
      <c r="F35" s="28" t="s">
        <v>22</v>
      </c>
      <c r="G35" s="29" t="s">
        <v>22</v>
      </c>
      <c r="H35" s="39" t="s">
        <v>22</v>
      </c>
      <c r="I35" s="30" t="s">
        <v>22</v>
      </c>
      <c r="J35" s="31" t="s">
        <v>22</v>
      </c>
      <c r="K35" s="32" t="s">
        <v>22</v>
      </c>
      <c r="L35" s="33"/>
      <c r="M35" s="34"/>
    </row>
    <row r="36" spans="1:13" x14ac:dyDescent="0.15">
      <c r="A36" s="25">
        <v>41972</v>
      </c>
      <c r="B36" s="37"/>
      <c r="C36" s="26"/>
      <c r="D36" s="26"/>
      <c r="E36" s="38"/>
      <c r="F36" s="28" t="s">
        <v>22</v>
      </c>
      <c r="G36" s="29" t="s">
        <v>22</v>
      </c>
      <c r="H36" s="39" t="s">
        <v>22</v>
      </c>
      <c r="I36" s="30" t="s">
        <v>22</v>
      </c>
      <c r="J36" s="31" t="s">
        <v>22</v>
      </c>
      <c r="K36" s="32" t="s">
        <v>22</v>
      </c>
      <c r="L36" s="33"/>
      <c r="M36" s="34"/>
    </row>
    <row r="37" spans="1:13" x14ac:dyDescent="0.15">
      <c r="A37" s="25">
        <v>41973</v>
      </c>
      <c r="B37" s="37"/>
      <c r="C37" s="26"/>
      <c r="D37" s="26"/>
      <c r="E37" s="38"/>
      <c r="F37" s="28" t="s">
        <v>22</v>
      </c>
      <c r="G37" s="29" t="s">
        <v>22</v>
      </c>
      <c r="H37" s="39" t="s">
        <v>22</v>
      </c>
      <c r="I37" s="30" t="s">
        <v>22</v>
      </c>
      <c r="J37" s="31" t="s">
        <v>22</v>
      </c>
      <c r="K37" s="32" t="s">
        <v>22</v>
      </c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 t="s">
        <v>22</v>
      </c>
      <c r="G38" s="45" t="s">
        <v>22</v>
      </c>
      <c r="H38" s="46" t="s">
        <v>22</v>
      </c>
      <c r="I38" s="47" t="s">
        <v>22</v>
      </c>
      <c r="J38" s="48" t="s">
        <v>22</v>
      </c>
      <c r="K38" s="49" t="s">
        <v>22</v>
      </c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8:M38">
    <cfRule type="expression" dxfId="120" priority="7" stopIfTrue="1">
      <formula>MATCH($A8,休日,0)&gt;0</formula>
    </cfRule>
    <cfRule type="expression" dxfId="119" priority="8" stopIfTrue="1">
      <formula>WEEKDAY($A8)=1</formula>
    </cfRule>
    <cfRule type="expression" dxfId="118" priority="9" stopIfTrue="1">
      <formula>WEEKDAY($A8)=7</formula>
    </cfRule>
  </conditionalFormatting>
  <conditionalFormatting sqref="E8:E38">
    <cfRule type="cellIs" dxfId="117" priority="11" stopIfTrue="1" operator="greaterThan">
      <formula>0.916666666666667</formula>
    </cfRule>
  </conditionalFormatting>
  <conditionalFormatting sqref="J8:J38">
    <cfRule type="expression" dxfId="116" priority="10" stopIfTrue="1">
      <formula>$B8=""</formula>
    </cfRule>
    <cfRule type="expression" dxfId="115" priority="12" stopIfTrue="1">
      <formula>$J8&gt;8</formula>
    </cfRule>
  </conditionalFormatting>
  <conditionalFormatting sqref="I8:I38">
    <cfRule type="expression" dxfId="114" priority="4" stopIfTrue="1">
      <formula>MATCH($A8,休日,0)&gt;0</formula>
    </cfRule>
    <cfRule type="expression" dxfId="113" priority="5" stopIfTrue="1">
      <formula>WEEKDAY($A8)=1</formula>
    </cfRule>
    <cfRule type="expression" dxfId="112" priority="6" stopIfTrue="1">
      <formula>WEEKDAY($A8)=7</formula>
    </cfRule>
  </conditionalFormatting>
  <conditionalFormatting sqref="I8:I38">
    <cfRule type="expression" dxfId="111" priority="1" stopIfTrue="1">
      <formula>MATCH($A8,休日,0)&gt;0</formula>
    </cfRule>
    <cfRule type="expression" dxfId="110" priority="2" stopIfTrue="1">
      <formula>WEEKDAY($A8)=1</formula>
    </cfRule>
    <cfRule type="expression" dxfId="109" priority="3" stopIfTrue="1">
      <formula>WEEKDAY($A8)=7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A5" sqref="A5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8.7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27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18</v>
      </c>
      <c r="K3" s="82" t="s">
        <v>6</v>
      </c>
      <c r="L3" s="55">
        <f>SUM($K$8:$K$38)</f>
        <v>27000</v>
      </c>
      <c r="M3" s="56"/>
    </row>
    <row r="4" spans="1:19" ht="14.25" thickBot="1" x14ac:dyDescent="0.2">
      <c r="A4" s="12" t="s">
        <v>25</v>
      </c>
      <c r="B4" s="84">
        <v>1500</v>
      </c>
      <c r="C4" s="85"/>
      <c r="E4" s="81"/>
      <c r="F4" s="14" t="s">
        <v>7</v>
      </c>
      <c r="G4" s="15">
        <v>0.875</v>
      </c>
      <c r="H4" s="9"/>
      <c r="I4" s="16" t="s">
        <v>8</v>
      </c>
      <c r="J4" s="17">
        <f>SUM($J$8:$J$38)</f>
        <v>0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/>
      <c r="G8" s="29"/>
      <c r="H8" s="28"/>
      <c r="I8" s="30"/>
      <c r="J8" s="31"/>
      <c r="K8" s="32"/>
      <c r="L8" s="33"/>
      <c r="M8" s="34"/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26"/>
      <c r="D9" s="26"/>
      <c r="E9" s="38"/>
      <c r="F9" s="28"/>
      <c r="G9" s="29"/>
      <c r="H9" s="39"/>
      <c r="I9" s="30"/>
      <c r="J9" s="31"/>
      <c r="K9" s="32"/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37"/>
      <c r="D10" s="37"/>
      <c r="E10" s="38"/>
      <c r="F10" s="28"/>
      <c r="G10" s="29"/>
      <c r="H10" s="39"/>
      <c r="I10" s="30"/>
      <c r="J10" s="31"/>
      <c r="K10" s="32"/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37"/>
      <c r="D11" s="37"/>
      <c r="E11" s="38"/>
      <c r="F11" s="28"/>
      <c r="G11" s="29"/>
      <c r="H11" s="39"/>
      <c r="I11" s="30"/>
      <c r="J11" s="31"/>
      <c r="K11" s="32"/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/>
      <c r="G12" s="29"/>
      <c r="H12" s="39"/>
      <c r="I12" s="30"/>
      <c r="J12" s="31"/>
      <c r="K12" s="32"/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/>
      <c r="G13" s="29"/>
      <c r="H13" s="39"/>
      <c r="I13" s="30"/>
      <c r="J13" s="31"/>
      <c r="K13" s="32"/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26"/>
      <c r="D14" s="26"/>
      <c r="E14" s="38"/>
      <c r="F14" s="28"/>
      <c r="G14" s="29"/>
      <c r="H14" s="39"/>
      <c r="I14" s="30"/>
      <c r="J14" s="31"/>
      <c r="K14" s="32"/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26"/>
      <c r="D15" s="26"/>
      <c r="E15" s="38"/>
      <c r="F15" s="28"/>
      <c r="G15" s="29"/>
      <c r="H15" s="39"/>
      <c r="I15" s="30"/>
      <c r="J15" s="31"/>
      <c r="K15" s="32"/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26"/>
      <c r="D16" s="26"/>
      <c r="E16" s="38"/>
      <c r="F16" s="28"/>
      <c r="G16" s="29"/>
      <c r="H16" s="39"/>
      <c r="I16" s="30"/>
      <c r="J16" s="31"/>
      <c r="K16" s="32"/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>
        <v>0.38541666666666669</v>
      </c>
      <c r="C17" s="37">
        <v>0.5</v>
      </c>
      <c r="D17" s="37">
        <v>0.54166666666666663</v>
      </c>
      <c r="E17" s="38">
        <v>0.69791666666666663</v>
      </c>
      <c r="F17" s="28"/>
      <c r="G17" s="29"/>
      <c r="H17" s="39"/>
      <c r="I17" s="30"/>
      <c r="J17" s="31"/>
      <c r="K17" s="32">
        <v>1500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>
        <v>0.38541666666666669</v>
      </c>
      <c r="C18" s="37">
        <v>0.5</v>
      </c>
      <c r="D18" s="37">
        <v>0.54166666666666663</v>
      </c>
      <c r="E18" s="38">
        <v>0.69791666666666663</v>
      </c>
      <c r="F18" s="28"/>
      <c r="G18" s="29"/>
      <c r="H18" s="39"/>
      <c r="I18" s="30"/>
      <c r="J18" s="31"/>
      <c r="K18" s="32">
        <v>1500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>
        <v>0.38541666666666669</v>
      </c>
      <c r="C19" s="37">
        <v>0.5</v>
      </c>
      <c r="D19" s="37">
        <v>0.54166666666666663</v>
      </c>
      <c r="E19" s="38">
        <v>0.69791666666666663</v>
      </c>
      <c r="F19" s="28"/>
      <c r="G19" s="29"/>
      <c r="H19" s="39"/>
      <c r="I19" s="30"/>
      <c r="J19" s="31"/>
      <c r="K19" s="32">
        <v>1500</v>
      </c>
      <c r="L19" s="33"/>
      <c r="M19" s="34"/>
    </row>
    <row r="20" spans="1:19" x14ac:dyDescent="0.15">
      <c r="A20" s="25">
        <v>41956</v>
      </c>
      <c r="B20" s="37">
        <v>0.38541666666666669</v>
      </c>
      <c r="C20" s="37">
        <v>0.5</v>
      </c>
      <c r="D20" s="37">
        <v>0.54166666666666663</v>
      </c>
      <c r="E20" s="38">
        <v>0.69791666666666663</v>
      </c>
      <c r="F20" s="28"/>
      <c r="G20" s="29"/>
      <c r="H20" s="39"/>
      <c r="I20" s="30"/>
      <c r="J20" s="31"/>
      <c r="K20" s="32">
        <v>1500</v>
      </c>
      <c r="L20" s="33"/>
      <c r="M20" s="34"/>
    </row>
    <row r="21" spans="1:19" x14ac:dyDescent="0.15">
      <c r="A21" s="25">
        <v>41957</v>
      </c>
      <c r="B21" s="37">
        <v>0.38541666666666669</v>
      </c>
      <c r="C21" s="37">
        <v>0.5</v>
      </c>
      <c r="D21" s="37">
        <v>0.54166666666666663</v>
      </c>
      <c r="E21" s="38">
        <v>0.69791666666666663</v>
      </c>
      <c r="F21" s="28"/>
      <c r="G21" s="29"/>
      <c r="H21" s="39"/>
      <c r="I21" s="30"/>
      <c r="J21" s="31"/>
      <c r="K21" s="32">
        <v>1500</v>
      </c>
      <c r="L21" s="33"/>
      <c r="M21" s="34"/>
    </row>
    <row r="22" spans="1:19" x14ac:dyDescent="0.15">
      <c r="A22" s="25">
        <v>41958</v>
      </c>
      <c r="B22" s="37"/>
      <c r="C22" s="26"/>
      <c r="D22" s="26"/>
      <c r="E22" s="38"/>
      <c r="F22" s="28"/>
      <c r="G22" s="29"/>
      <c r="H22" s="39"/>
      <c r="I22" s="30"/>
      <c r="J22" s="31"/>
      <c r="K22" s="32"/>
      <c r="L22" s="33"/>
      <c r="M22" s="34"/>
    </row>
    <row r="23" spans="1:19" x14ac:dyDescent="0.15">
      <c r="A23" s="25">
        <v>41959</v>
      </c>
      <c r="B23" s="37">
        <v>0.39444444444444443</v>
      </c>
      <c r="C23" s="26">
        <v>0.5</v>
      </c>
      <c r="D23" s="26">
        <v>0.54166666666666663</v>
      </c>
      <c r="E23" s="38">
        <v>0.64583333333333337</v>
      </c>
      <c r="F23" s="28"/>
      <c r="G23" s="29"/>
      <c r="H23" s="39"/>
      <c r="I23" s="30"/>
      <c r="J23" s="31"/>
      <c r="K23" s="32">
        <v>1500</v>
      </c>
      <c r="L23" s="33"/>
      <c r="M23" s="34"/>
    </row>
    <row r="24" spans="1:19" x14ac:dyDescent="0.15">
      <c r="A24" s="25">
        <v>41960</v>
      </c>
      <c r="B24" s="37">
        <v>0.39444444444444443</v>
      </c>
      <c r="C24" s="37">
        <v>0.5</v>
      </c>
      <c r="D24" s="37">
        <v>0.54166666666666663</v>
      </c>
      <c r="E24" s="38">
        <v>0.64583333333333337</v>
      </c>
      <c r="F24" s="28"/>
      <c r="G24" s="29"/>
      <c r="H24" s="39"/>
      <c r="I24" s="30"/>
      <c r="J24" s="31"/>
      <c r="K24" s="32">
        <v>1500</v>
      </c>
      <c r="L24" s="33"/>
      <c r="M24" s="34"/>
    </row>
    <row r="25" spans="1:19" x14ac:dyDescent="0.15">
      <c r="A25" s="25">
        <v>41961</v>
      </c>
      <c r="B25" s="37">
        <v>0.39583333333333331</v>
      </c>
      <c r="C25" s="26">
        <v>0.5</v>
      </c>
      <c r="D25" s="26">
        <v>0.54166666666666663</v>
      </c>
      <c r="E25" s="38">
        <v>0.64652777777777781</v>
      </c>
      <c r="F25" s="28"/>
      <c r="G25" s="29"/>
      <c r="H25" s="39"/>
      <c r="I25" s="30"/>
      <c r="J25" s="31"/>
      <c r="K25" s="32">
        <v>1500</v>
      </c>
      <c r="L25" s="33"/>
      <c r="M25" s="34"/>
    </row>
    <row r="26" spans="1:19" x14ac:dyDescent="0.15">
      <c r="A26" s="25">
        <v>41962</v>
      </c>
      <c r="B26" s="37">
        <v>0.39583333333333331</v>
      </c>
      <c r="C26" s="26">
        <v>0.5</v>
      </c>
      <c r="D26" s="26">
        <v>0.54166666666666663</v>
      </c>
      <c r="E26" s="38">
        <v>0.64652777777777781</v>
      </c>
      <c r="F26" s="28"/>
      <c r="G26" s="29"/>
      <c r="H26" s="39"/>
      <c r="I26" s="30"/>
      <c r="J26" s="31"/>
      <c r="K26" s="32">
        <v>1500</v>
      </c>
      <c r="L26" s="33"/>
      <c r="M26" s="34"/>
    </row>
    <row r="27" spans="1:19" x14ac:dyDescent="0.15">
      <c r="A27" s="25">
        <v>41963</v>
      </c>
      <c r="B27" s="37">
        <v>0.39583333333333331</v>
      </c>
      <c r="C27" s="26">
        <v>0.5</v>
      </c>
      <c r="D27" s="26">
        <v>0.54166666666666663</v>
      </c>
      <c r="E27" s="38">
        <v>0.64652777777777781</v>
      </c>
      <c r="F27" s="28"/>
      <c r="G27" s="29"/>
      <c r="H27" s="39"/>
      <c r="I27" s="30"/>
      <c r="J27" s="31"/>
      <c r="K27" s="32">
        <v>1500</v>
      </c>
      <c r="L27" s="33"/>
      <c r="M27" s="34"/>
    </row>
    <row r="28" spans="1:19" x14ac:dyDescent="0.15">
      <c r="A28" s="25">
        <v>41964</v>
      </c>
      <c r="B28" s="37">
        <v>0.39583333333333331</v>
      </c>
      <c r="C28" s="26">
        <v>0.5</v>
      </c>
      <c r="D28" s="26">
        <v>0.54166666666666663</v>
      </c>
      <c r="E28" s="38">
        <v>0.64652777777777781</v>
      </c>
      <c r="F28" s="28"/>
      <c r="G28" s="29"/>
      <c r="H28" s="39"/>
      <c r="I28" s="30"/>
      <c r="J28" s="31"/>
      <c r="K28" s="32">
        <v>1500</v>
      </c>
      <c r="L28" s="33"/>
      <c r="M28" s="34"/>
    </row>
    <row r="29" spans="1:19" x14ac:dyDescent="0.15">
      <c r="A29" s="25">
        <v>41965</v>
      </c>
      <c r="B29" s="37">
        <v>0.38541666666666669</v>
      </c>
      <c r="C29" s="37">
        <v>0.5</v>
      </c>
      <c r="D29" s="37">
        <v>0.54166666666666663</v>
      </c>
      <c r="E29" s="38">
        <v>0.69791666666666663</v>
      </c>
      <c r="F29" s="28"/>
      <c r="G29" s="29"/>
      <c r="H29" s="39"/>
      <c r="I29" s="30"/>
      <c r="J29" s="31"/>
      <c r="K29" s="32">
        <v>1500</v>
      </c>
      <c r="L29" s="33"/>
      <c r="M29" s="34"/>
    </row>
    <row r="30" spans="1:19" x14ac:dyDescent="0.15">
      <c r="A30" s="25">
        <v>41966</v>
      </c>
      <c r="B30" s="37"/>
      <c r="C30" s="26"/>
      <c r="D30" s="26"/>
      <c r="E30" s="38"/>
      <c r="F30" s="28"/>
      <c r="G30" s="29"/>
      <c r="H30" s="39"/>
      <c r="I30" s="30"/>
      <c r="J30" s="31"/>
      <c r="K30" s="32"/>
      <c r="L30" s="33"/>
      <c r="M30" s="34"/>
    </row>
    <row r="31" spans="1:19" x14ac:dyDescent="0.15">
      <c r="A31" s="25">
        <v>41967</v>
      </c>
      <c r="B31" s="37">
        <v>0.38611111111111113</v>
      </c>
      <c r="C31" s="37">
        <v>0.5</v>
      </c>
      <c r="D31" s="37">
        <v>0.54166666666666663</v>
      </c>
      <c r="E31" s="38">
        <v>0.64583333333333337</v>
      </c>
      <c r="F31" s="28"/>
      <c r="G31" s="29"/>
      <c r="H31" s="39"/>
      <c r="I31" s="30"/>
      <c r="J31" s="31"/>
      <c r="K31" s="32">
        <v>1500</v>
      </c>
      <c r="L31" s="33"/>
      <c r="M31" s="34"/>
    </row>
    <row r="32" spans="1:19" x14ac:dyDescent="0.15">
      <c r="A32" s="25">
        <v>41968</v>
      </c>
      <c r="B32" s="37">
        <v>0.38611111111111113</v>
      </c>
      <c r="C32" s="37">
        <v>0.5</v>
      </c>
      <c r="D32" s="37">
        <v>0.54166666666666663</v>
      </c>
      <c r="E32" s="38">
        <v>0.64583333333333337</v>
      </c>
      <c r="F32" s="28"/>
      <c r="G32" s="29"/>
      <c r="H32" s="39"/>
      <c r="I32" s="30"/>
      <c r="J32" s="31"/>
      <c r="K32" s="32">
        <v>1500</v>
      </c>
      <c r="L32" s="33"/>
      <c r="M32" s="34"/>
    </row>
    <row r="33" spans="1:13" x14ac:dyDescent="0.15">
      <c r="A33" s="25">
        <v>41969</v>
      </c>
      <c r="B33" s="37">
        <v>0.38611111111111113</v>
      </c>
      <c r="C33" s="37">
        <v>0.5</v>
      </c>
      <c r="D33" s="37">
        <v>0.54166666666666663</v>
      </c>
      <c r="E33" s="38">
        <v>0.64583333333333337</v>
      </c>
      <c r="F33" s="28"/>
      <c r="G33" s="29"/>
      <c r="H33" s="39"/>
      <c r="I33" s="30"/>
      <c r="J33" s="31"/>
      <c r="K33" s="32">
        <v>1500</v>
      </c>
      <c r="L33" s="33"/>
      <c r="M33" s="34"/>
    </row>
    <row r="34" spans="1:13" x14ac:dyDescent="0.15">
      <c r="A34" s="25">
        <v>41970</v>
      </c>
      <c r="B34" s="37">
        <v>0.38611111111111113</v>
      </c>
      <c r="C34" s="37">
        <v>0.5</v>
      </c>
      <c r="D34" s="37">
        <v>0.54166666666666663</v>
      </c>
      <c r="E34" s="38">
        <v>0.64583333333333337</v>
      </c>
      <c r="F34" s="28"/>
      <c r="G34" s="29"/>
      <c r="H34" s="39"/>
      <c r="I34" s="30"/>
      <c r="J34" s="31"/>
      <c r="K34" s="32">
        <v>1500</v>
      </c>
      <c r="L34" s="33"/>
      <c r="M34" s="34"/>
    </row>
    <row r="35" spans="1:13" x14ac:dyDescent="0.15">
      <c r="A35" s="25">
        <v>41971</v>
      </c>
      <c r="B35" s="37">
        <v>0.38611111111111113</v>
      </c>
      <c r="C35" s="37">
        <v>0.5</v>
      </c>
      <c r="D35" s="37">
        <v>0.54166666666666663</v>
      </c>
      <c r="E35" s="38">
        <v>0.64583333333333337</v>
      </c>
      <c r="F35" s="28"/>
      <c r="G35" s="29"/>
      <c r="H35" s="39"/>
      <c r="I35" s="30"/>
      <c r="J35" s="31"/>
      <c r="K35" s="32">
        <v>1500</v>
      </c>
      <c r="L35" s="33"/>
      <c r="M35" s="34"/>
    </row>
    <row r="36" spans="1:13" x14ac:dyDescent="0.15">
      <c r="A36" s="25">
        <v>41972</v>
      </c>
      <c r="B36" s="37">
        <v>0.38541666666666669</v>
      </c>
      <c r="C36" s="37">
        <v>0.5</v>
      </c>
      <c r="D36" s="37">
        <v>0.54166666666666663</v>
      </c>
      <c r="E36" s="38">
        <v>0.69791666666666663</v>
      </c>
      <c r="F36" s="28"/>
      <c r="G36" s="29"/>
      <c r="H36" s="39"/>
      <c r="I36" s="30"/>
      <c r="J36" s="31"/>
      <c r="K36" s="32">
        <v>1500</v>
      </c>
      <c r="L36" s="33"/>
      <c r="M36" s="34"/>
    </row>
    <row r="37" spans="1:13" x14ac:dyDescent="0.15">
      <c r="A37" s="25">
        <v>41973</v>
      </c>
      <c r="B37" s="37"/>
      <c r="C37" s="26"/>
      <c r="D37" s="26"/>
      <c r="E37" s="38"/>
      <c r="F37" s="28"/>
      <c r="G37" s="29"/>
      <c r="H37" s="39"/>
      <c r="I37" s="30"/>
      <c r="J37" s="31"/>
      <c r="K37" s="32"/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/>
      <c r="G38" s="45"/>
      <c r="H38" s="46"/>
      <c r="I38" s="47"/>
      <c r="J38" s="48"/>
      <c r="K38" s="49"/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8:M38">
    <cfRule type="expression" dxfId="108" priority="7" stopIfTrue="1">
      <formula>MATCH($A8,休日,0)&gt;0</formula>
    </cfRule>
    <cfRule type="expression" dxfId="107" priority="8" stopIfTrue="1">
      <formula>WEEKDAY($A8)=1</formula>
    </cfRule>
    <cfRule type="expression" dxfId="106" priority="9" stopIfTrue="1">
      <formula>WEEKDAY($A8)=7</formula>
    </cfRule>
  </conditionalFormatting>
  <conditionalFormatting sqref="E8:E38">
    <cfRule type="cellIs" dxfId="105" priority="11" stopIfTrue="1" operator="greaterThan">
      <formula>0.916666666666667</formula>
    </cfRule>
  </conditionalFormatting>
  <conditionalFormatting sqref="J8:J38">
    <cfRule type="expression" dxfId="104" priority="10" stopIfTrue="1">
      <formula>$B8=""</formula>
    </cfRule>
    <cfRule type="expression" dxfId="103" priority="12" stopIfTrue="1">
      <formula>$J8&gt;8</formula>
    </cfRule>
  </conditionalFormatting>
  <conditionalFormatting sqref="I8:I38">
    <cfRule type="expression" dxfId="102" priority="4" stopIfTrue="1">
      <formula>MATCH($A8,休日,0)&gt;0</formula>
    </cfRule>
    <cfRule type="expression" dxfId="101" priority="5" stopIfTrue="1">
      <formula>WEEKDAY($A8)=1</formula>
    </cfRule>
    <cfRule type="expression" dxfId="100" priority="6" stopIfTrue="1">
      <formula>WEEKDAY($A8)=7</formula>
    </cfRule>
  </conditionalFormatting>
  <conditionalFormatting sqref="I8:I38">
    <cfRule type="expression" dxfId="99" priority="1" stopIfTrue="1">
      <formula>MATCH($A8,休日,0)&gt;0</formula>
    </cfRule>
    <cfRule type="expression" dxfId="98" priority="2" stopIfTrue="1">
      <formula>WEEKDAY($A8)=1</formula>
    </cfRule>
    <cfRule type="expression" dxfId="97" priority="3" stopIfTrue="1">
      <formula>WEEKDAY($A8)=7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A5" sqref="A5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8.37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28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1</v>
      </c>
      <c r="K3" s="82" t="s">
        <v>6</v>
      </c>
      <c r="L3" s="55">
        <f>SUM($K$8:$K$38)</f>
        <v>1200</v>
      </c>
      <c r="M3" s="56"/>
    </row>
    <row r="4" spans="1:19" ht="14.25" thickBot="1" x14ac:dyDescent="0.2">
      <c r="A4" s="12" t="s">
        <v>25</v>
      </c>
      <c r="B4" s="84">
        <v>1200</v>
      </c>
      <c r="C4" s="85"/>
      <c r="E4" s="81"/>
      <c r="F4" s="14" t="s">
        <v>7</v>
      </c>
      <c r="G4" s="15">
        <v>0.875</v>
      </c>
      <c r="H4" s="9"/>
      <c r="I4" s="16" t="s">
        <v>8</v>
      </c>
      <c r="J4" s="17">
        <f>SUM($J$8:$J$38)</f>
        <v>1.2500000000000009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 t="s">
        <v>22</v>
      </c>
      <c r="G8" s="29" t="s">
        <v>22</v>
      </c>
      <c r="H8" s="28" t="s">
        <v>22</v>
      </c>
      <c r="I8" s="30" t="s">
        <v>22</v>
      </c>
      <c r="J8" s="31" t="s">
        <v>22</v>
      </c>
      <c r="K8" s="32" t="s">
        <v>22</v>
      </c>
      <c r="L8" s="33"/>
      <c r="M8" s="34"/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37"/>
      <c r="D9" s="37"/>
      <c r="E9" s="38"/>
      <c r="F9" s="28" t="s">
        <v>22</v>
      </c>
      <c r="G9" s="29" t="s">
        <v>22</v>
      </c>
      <c r="H9" s="39" t="s">
        <v>22</v>
      </c>
      <c r="I9" s="30" t="s">
        <v>22</v>
      </c>
      <c r="J9" s="31" t="s">
        <v>22</v>
      </c>
      <c r="K9" s="32" t="s">
        <v>22</v>
      </c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37"/>
      <c r="D10" s="37"/>
      <c r="E10" s="38"/>
      <c r="F10" s="28" t="s">
        <v>22</v>
      </c>
      <c r="G10" s="29" t="s">
        <v>22</v>
      </c>
      <c r="H10" s="39" t="s">
        <v>22</v>
      </c>
      <c r="I10" s="30" t="s">
        <v>22</v>
      </c>
      <c r="J10" s="31" t="s">
        <v>22</v>
      </c>
      <c r="K10" s="32" t="s">
        <v>22</v>
      </c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37"/>
      <c r="D11" s="37"/>
      <c r="E11" s="38"/>
      <c r="F11" s="28" t="s">
        <v>22</v>
      </c>
      <c r="G11" s="29" t="s">
        <v>22</v>
      </c>
      <c r="H11" s="39" t="s">
        <v>22</v>
      </c>
      <c r="I11" s="30" t="s">
        <v>22</v>
      </c>
      <c r="J11" s="31" t="s">
        <v>22</v>
      </c>
      <c r="K11" s="32" t="s">
        <v>22</v>
      </c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 t="s">
        <v>22</v>
      </c>
      <c r="G12" s="29" t="s">
        <v>22</v>
      </c>
      <c r="H12" s="39" t="s">
        <v>22</v>
      </c>
      <c r="I12" s="30" t="s">
        <v>22</v>
      </c>
      <c r="J12" s="31" t="s">
        <v>22</v>
      </c>
      <c r="K12" s="32" t="s">
        <v>22</v>
      </c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 t="s">
        <v>22</v>
      </c>
      <c r="G13" s="29" t="s">
        <v>22</v>
      </c>
      <c r="H13" s="39" t="s">
        <v>22</v>
      </c>
      <c r="I13" s="30" t="s">
        <v>22</v>
      </c>
      <c r="J13" s="31" t="s">
        <v>22</v>
      </c>
      <c r="K13" s="32" t="s">
        <v>22</v>
      </c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37"/>
      <c r="D14" s="37"/>
      <c r="E14" s="38"/>
      <c r="F14" s="28" t="s">
        <v>22</v>
      </c>
      <c r="G14" s="29" t="s">
        <v>22</v>
      </c>
      <c r="H14" s="39" t="s">
        <v>22</v>
      </c>
      <c r="I14" s="30" t="s">
        <v>22</v>
      </c>
      <c r="J14" s="31" t="s">
        <v>22</v>
      </c>
      <c r="K14" s="32" t="s">
        <v>22</v>
      </c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37"/>
      <c r="D15" s="37"/>
      <c r="E15" s="38"/>
      <c r="F15" s="28" t="s">
        <v>22</v>
      </c>
      <c r="G15" s="29" t="s">
        <v>22</v>
      </c>
      <c r="H15" s="39" t="s">
        <v>22</v>
      </c>
      <c r="I15" s="30" t="s">
        <v>22</v>
      </c>
      <c r="J15" s="31" t="s">
        <v>22</v>
      </c>
      <c r="K15" s="32" t="s">
        <v>22</v>
      </c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37"/>
      <c r="D16" s="37"/>
      <c r="E16" s="38"/>
      <c r="F16" s="28" t="s">
        <v>22</v>
      </c>
      <c r="G16" s="29" t="s">
        <v>22</v>
      </c>
      <c r="H16" s="39" t="s">
        <v>22</v>
      </c>
      <c r="I16" s="30" t="s">
        <v>22</v>
      </c>
      <c r="J16" s="31" t="s">
        <v>22</v>
      </c>
      <c r="K16" s="32" t="s">
        <v>22</v>
      </c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/>
      <c r="C17" s="37"/>
      <c r="D17" s="37"/>
      <c r="E17" s="38"/>
      <c r="F17" s="28" t="s">
        <v>22</v>
      </c>
      <c r="G17" s="29" t="s">
        <v>22</v>
      </c>
      <c r="H17" s="39" t="s">
        <v>22</v>
      </c>
      <c r="I17" s="30" t="s">
        <v>22</v>
      </c>
      <c r="J17" s="31" t="s">
        <v>22</v>
      </c>
      <c r="K17" s="32" t="s">
        <v>22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/>
      <c r="C18" s="37"/>
      <c r="D18" s="37"/>
      <c r="E18" s="38"/>
      <c r="F18" s="28" t="s">
        <v>22</v>
      </c>
      <c r="G18" s="29" t="s">
        <v>22</v>
      </c>
      <c r="H18" s="39" t="s">
        <v>22</v>
      </c>
      <c r="I18" s="30" t="s">
        <v>22</v>
      </c>
      <c r="J18" s="31" t="s">
        <v>22</v>
      </c>
      <c r="K18" s="32" t="s">
        <v>22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/>
      <c r="C19" s="37"/>
      <c r="D19" s="37"/>
      <c r="E19" s="38"/>
      <c r="F19" s="28" t="s">
        <v>22</v>
      </c>
      <c r="G19" s="29" t="s">
        <v>22</v>
      </c>
      <c r="H19" s="39" t="s">
        <v>22</v>
      </c>
      <c r="I19" s="30" t="s">
        <v>22</v>
      </c>
      <c r="J19" s="31" t="s">
        <v>22</v>
      </c>
      <c r="K19" s="32" t="s">
        <v>22</v>
      </c>
      <c r="L19" s="33"/>
      <c r="M19" s="34"/>
    </row>
    <row r="20" spans="1:19" x14ac:dyDescent="0.15">
      <c r="A20" s="25">
        <v>41956</v>
      </c>
      <c r="B20" s="37"/>
      <c r="C20" s="37"/>
      <c r="D20" s="37"/>
      <c r="E20" s="38"/>
      <c r="F20" s="28" t="s">
        <v>22</v>
      </c>
      <c r="G20" s="29" t="s">
        <v>22</v>
      </c>
      <c r="H20" s="39" t="s">
        <v>22</v>
      </c>
      <c r="I20" s="30" t="s">
        <v>22</v>
      </c>
      <c r="J20" s="31" t="s">
        <v>22</v>
      </c>
      <c r="K20" s="32" t="s">
        <v>22</v>
      </c>
      <c r="L20" s="33"/>
      <c r="M20" s="34"/>
    </row>
    <row r="21" spans="1:19" x14ac:dyDescent="0.15">
      <c r="A21" s="25">
        <v>41957</v>
      </c>
      <c r="B21" s="37"/>
      <c r="C21" s="37"/>
      <c r="D21" s="37"/>
      <c r="E21" s="38"/>
      <c r="F21" s="28" t="s">
        <v>22</v>
      </c>
      <c r="G21" s="29" t="s">
        <v>22</v>
      </c>
      <c r="H21" s="39" t="s">
        <v>22</v>
      </c>
      <c r="I21" s="30" t="s">
        <v>22</v>
      </c>
      <c r="J21" s="31" t="s">
        <v>22</v>
      </c>
      <c r="K21" s="32" t="s">
        <v>22</v>
      </c>
      <c r="L21" s="33"/>
      <c r="M21" s="34"/>
    </row>
    <row r="22" spans="1:19" x14ac:dyDescent="0.15">
      <c r="A22" s="25">
        <v>41958</v>
      </c>
      <c r="B22" s="37"/>
      <c r="C22" s="37"/>
      <c r="D22" s="37"/>
      <c r="E22" s="38"/>
      <c r="F22" s="28" t="s">
        <v>22</v>
      </c>
      <c r="G22" s="29" t="s">
        <v>22</v>
      </c>
      <c r="H22" s="39" t="s">
        <v>22</v>
      </c>
      <c r="I22" s="30" t="s">
        <v>22</v>
      </c>
      <c r="J22" s="31" t="s">
        <v>22</v>
      </c>
      <c r="K22" s="32" t="s">
        <v>22</v>
      </c>
      <c r="L22" s="33"/>
      <c r="M22" s="34"/>
    </row>
    <row r="23" spans="1:19" x14ac:dyDescent="0.15">
      <c r="A23" s="25">
        <v>41959</v>
      </c>
      <c r="B23" s="37"/>
      <c r="C23" s="37"/>
      <c r="D23" s="37"/>
      <c r="E23" s="38"/>
      <c r="F23" s="28" t="s">
        <v>22</v>
      </c>
      <c r="G23" s="29" t="s">
        <v>22</v>
      </c>
      <c r="H23" s="39" t="s">
        <v>22</v>
      </c>
      <c r="I23" s="30" t="s">
        <v>22</v>
      </c>
      <c r="J23" s="31" t="s">
        <v>22</v>
      </c>
      <c r="K23" s="32" t="s">
        <v>22</v>
      </c>
      <c r="L23" s="33"/>
      <c r="M23" s="34"/>
    </row>
    <row r="24" spans="1:19" x14ac:dyDescent="0.15">
      <c r="A24" s="25">
        <v>41960</v>
      </c>
      <c r="B24" s="37"/>
      <c r="C24" s="37"/>
      <c r="D24" s="37"/>
      <c r="E24" s="38"/>
      <c r="F24" s="28" t="s">
        <v>22</v>
      </c>
      <c r="G24" s="29" t="s">
        <v>22</v>
      </c>
      <c r="H24" s="39" t="s">
        <v>22</v>
      </c>
      <c r="I24" s="30" t="s">
        <v>22</v>
      </c>
      <c r="J24" s="31" t="s">
        <v>22</v>
      </c>
      <c r="K24" s="32" t="s">
        <v>22</v>
      </c>
      <c r="L24" s="33"/>
      <c r="M24" s="34"/>
    </row>
    <row r="25" spans="1:19" x14ac:dyDescent="0.15">
      <c r="A25" s="25">
        <v>41961</v>
      </c>
      <c r="B25" s="37"/>
      <c r="C25" s="37"/>
      <c r="D25" s="37"/>
      <c r="E25" s="38"/>
      <c r="F25" s="28" t="s">
        <v>22</v>
      </c>
      <c r="G25" s="29" t="s">
        <v>22</v>
      </c>
      <c r="H25" s="39" t="s">
        <v>22</v>
      </c>
      <c r="I25" s="30" t="s">
        <v>22</v>
      </c>
      <c r="J25" s="31" t="s">
        <v>22</v>
      </c>
      <c r="K25" s="32" t="s">
        <v>22</v>
      </c>
      <c r="L25" s="33"/>
      <c r="M25" s="34"/>
    </row>
    <row r="26" spans="1:19" x14ac:dyDescent="0.15">
      <c r="A26" s="25">
        <v>41962</v>
      </c>
      <c r="B26" s="37"/>
      <c r="C26" s="37"/>
      <c r="D26" s="37"/>
      <c r="E26" s="38"/>
      <c r="F26" s="28" t="s">
        <v>22</v>
      </c>
      <c r="G26" s="29" t="s">
        <v>22</v>
      </c>
      <c r="H26" s="39" t="s">
        <v>22</v>
      </c>
      <c r="I26" s="30" t="s">
        <v>22</v>
      </c>
      <c r="J26" s="31" t="s">
        <v>22</v>
      </c>
      <c r="K26" s="32" t="s">
        <v>22</v>
      </c>
      <c r="L26" s="33"/>
      <c r="M26" s="34"/>
    </row>
    <row r="27" spans="1:19" x14ac:dyDescent="0.15">
      <c r="A27" s="25">
        <v>41963</v>
      </c>
      <c r="B27" s="37"/>
      <c r="C27" s="37"/>
      <c r="D27" s="37"/>
      <c r="E27" s="38"/>
      <c r="F27" s="28" t="s">
        <v>22</v>
      </c>
      <c r="G27" s="29" t="s">
        <v>22</v>
      </c>
      <c r="H27" s="39" t="s">
        <v>22</v>
      </c>
      <c r="I27" s="30" t="s">
        <v>22</v>
      </c>
      <c r="J27" s="31" t="s">
        <v>22</v>
      </c>
      <c r="K27" s="32" t="s">
        <v>22</v>
      </c>
      <c r="L27" s="33"/>
      <c r="M27" s="34"/>
    </row>
    <row r="28" spans="1:19" x14ac:dyDescent="0.15">
      <c r="A28" s="25">
        <v>41964</v>
      </c>
      <c r="B28" s="37"/>
      <c r="C28" s="37"/>
      <c r="D28" s="37"/>
      <c r="E28" s="38"/>
      <c r="F28" s="28" t="s">
        <v>22</v>
      </c>
      <c r="G28" s="29" t="s">
        <v>22</v>
      </c>
      <c r="H28" s="39" t="s">
        <v>22</v>
      </c>
      <c r="I28" s="30" t="s">
        <v>22</v>
      </c>
      <c r="J28" s="31" t="s">
        <v>22</v>
      </c>
      <c r="K28" s="32" t="s">
        <v>22</v>
      </c>
      <c r="L28" s="33"/>
      <c r="M28" s="34"/>
    </row>
    <row r="29" spans="1:19" x14ac:dyDescent="0.15">
      <c r="A29" s="25">
        <v>41965</v>
      </c>
      <c r="B29" s="37"/>
      <c r="C29" s="37"/>
      <c r="D29" s="37"/>
      <c r="E29" s="38"/>
      <c r="F29" s="28" t="s">
        <v>22</v>
      </c>
      <c r="G29" s="29" t="s">
        <v>22</v>
      </c>
      <c r="H29" s="39" t="s">
        <v>22</v>
      </c>
      <c r="I29" s="30" t="s">
        <v>22</v>
      </c>
      <c r="J29" s="31" t="s">
        <v>22</v>
      </c>
      <c r="K29" s="32" t="s">
        <v>22</v>
      </c>
      <c r="L29" s="33"/>
      <c r="M29" s="34"/>
    </row>
    <row r="30" spans="1:19" x14ac:dyDescent="0.15">
      <c r="A30" s="25">
        <v>41966</v>
      </c>
      <c r="B30" s="37"/>
      <c r="C30" s="37"/>
      <c r="D30" s="37"/>
      <c r="E30" s="38"/>
      <c r="F30" s="28" t="s">
        <v>22</v>
      </c>
      <c r="G30" s="29" t="s">
        <v>22</v>
      </c>
      <c r="H30" s="39" t="s">
        <v>22</v>
      </c>
      <c r="I30" s="30" t="s">
        <v>22</v>
      </c>
      <c r="J30" s="31" t="s">
        <v>22</v>
      </c>
      <c r="K30" s="32" t="s">
        <v>22</v>
      </c>
      <c r="L30" s="33"/>
      <c r="M30" s="34"/>
    </row>
    <row r="31" spans="1:19" x14ac:dyDescent="0.15">
      <c r="A31" s="25">
        <v>41967</v>
      </c>
      <c r="B31" s="37"/>
      <c r="C31" s="37"/>
      <c r="D31" s="37"/>
      <c r="E31" s="38"/>
      <c r="F31" s="28" t="s">
        <v>22</v>
      </c>
      <c r="G31" s="29" t="s">
        <v>22</v>
      </c>
      <c r="H31" s="39" t="s">
        <v>22</v>
      </c>
      <c r="I31" s="30" t="s">
        <v>22</v>
      </c>
      <c r="J31" s="31" t="s">
        <v>22</v>
      </c>
      <c r="K31" s="32" t="s">
        <v>22</v>
      </c>
      <c r="L31" s="33"/>
      <c r="M31" s="34"/>
    </row>
    <row r="32" spans="1:19" x14ac:dyDescent="0.15">
      <c r="A32" s="25">
        <v>41968</v>
      </c>
      <c r="B32" s="37"/>
      <c r="C32" s="37"/>
      <c r="D32" s="37"/>
      <c r="E32" s="38"/>
      <c r="F32" s="28" t="s">
        <v>22</v>
      </c>
      <c r="G32" s="29" t="s">
        <v>22</v>
      </c>
      <c r="H32" s="39" t="s">
        <v>22</v>
      </c>
      <c r="I32" s="30" t="s">
        <v>22</v>
      </c>
      <c r="J32" s="31" t="s">
        <v>22</v>
      </c>
      <c r="K32" s="32" t="s">
        <v>22</v>
      </c>
      <c r="L32" s="33"/>
      <c r="M32" s="34"/>
    </row>
    <row r="33" spans="1:13" x14ac:dyDescent="0.15">
      <c r="A33" s="25">
        <v>41969</v>
      </c>
      <c r="B33" s="37"/>
      <c r="C33" s="37"/>
      <c r="D33" s="37"/>
      <c r="E33" s="38"/>
      <c r="F33" s="28" t="s">
        <v>22</v>
      </c>
      <c r="G33" s="29" t="s">
        <v>22</v>
      </c>
      <c r="H33" s="39" t="s">
        <v>22</v>
      </c>
      <c r="I33" s="30" t="s">
        <v>22</v>
      </c>
      <c r="J33" s="31" t="s">
        <v>22</v>
      </c>
      <c r="K33" s="32" t="s">
        <v>22</v>
      </c>
      <c r="L33" s="33"/>
      <c r="M33" s="34"/>
    </row>
    <row r="34" spans="1:13" x14ac:dyDescent="0.15">
      <c r="A34" s="25">
        <v>41970</v>
      </c>
      <c r="B34" s="37"/>
      <c r="C34" s="37"/>
      <c r="D34" s="37"/>
      <c r="E34" s="38"/>
      <c r="F34" s="28" t="s">
        <v>22</v>
      </c>
      <c r="G34" s="29" t="s">
        <v>22</v>
      </c>
      <c r="H34" s="39" t="s">
        <v>22</v>
      </c>
      <c r="I34" s="30" t="s">
        <v>22</v>
      </c>
      <c r="J34" s="31" t="s">
        <v>22</v>
      </c>
      <c r="K34" s="32" t="s">
        <v>22</v>
      </c>
      <c r="L34" s="33"/>
      <c r="M34" s="34"/>
    </row>
    <row r="35" spans="1:13" x14ac:dyDescent="0.15">
      <c r="A35" s="25">
        <v>41971</v>
      </c>
      <c r="B35" s="37">
        <v>0.57013888888888886</v>
      </c>
      <c r="C35" s="37"/>
      <c r="D35" s="37"/>
      <c r="E35" s="38">
        <v>0.62777777777777777</v>
      </c>
      <c r="F35" s="28">
        <v>0.57291666666666663</v>
      </c>
      <c r="G35" s="29">
        <v>0.625</v>
      </c>
      <c r="H35" s="39">
        <v>5.208333333333337E-2</v>
      </c>
      <c r="I35" s="30" t="s">
        <v>22</v>
      </c>
      <c r="J35" s="31">
        <v>1.2500000000000009</v>
      </c>
      <c r="K35" s="32">
        <v>1200</v>
      </c>
      <c r="L35" s="33"/>
      <c r="M35" s="34"/>
    </row>
    <row r="36" spans="1:13" x14ac:dyDescent="0.15">
      <c r="A36" s="25">
        <v>41972</v>
      </c>
      <c r="B36" s="37"/>
      <c r="C36" s="37"/>
      <c r="D36" s="37"/>
      <c r="E36" s="38"/>
      <c r="F36" s="28" t="s">
        <v>22</v>
      </c>
      <c r="G36" s="29" t="s">
        <v>22</v>
      </c>
      <c r="H36" s="39" t="s">
        <v>22</v>
      </c>
      <c r="I36" s="30" t="s">
        <v>22</v>
      </c>
      <c r="J36" s="31" t="s">
        <v>22</v>
      </c>
      <c r="K36" s="32" t="s">
        <v>22</v>
      </c>
      <c r="L36" s="33"/>
      <c r="M36" s="34"/>
    </row>
    <row r="37" spans="1:13" x14ac:dyDescent="0.15">
      <c r="A37" s="25">
        <v>41973</v>
      </c>
      <c r="B37" s="37"/>
      <c r="C37" s="37"/>
      <c r="D37" s="37"/>
      <c r="E37" s="38"/>
      <c r="F37" s="28" t="s">
        <v>22</v>
      </c>
      <c r="G37" s="29" t="s">
        <v>22</v>
      </c>
      <c r="H37" s="39" t="s">
        <v>22</v>
      </c>
      <c r="I37" s="30" t="s">
        <v>22</v>
      </c>
      <c r="J37" s="31" t="s">
        <v>22</v>
      </c>
      <c r="K37" s="32" t="s">
        <v>22</v>
      </c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 t="s">
        <v>22</v>
      </c>
      <c r="G38" s="45" t="s">
        <v>22</v>
      </c>
      <c r="H38" s="46" t="s">
        <v>22</v>
      </c>
      <c r="I38" s="47" t="s">
        <v>22</v>
      </c>
      <c r="J38" s="48" t="s">
        <v>22</v>
      </c>
      <c r="K38" s="49" t="s">
        <v>22</v>
      </c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8:M38">
    <cfRule type="expression" dxfId="96" priority="7" stopIfTrue="1">
      <formula>MATCH($A8,休日,0)&gt;0</formula>
    </cfRule>
    <cfRule type="expression" dxfId="95" priority="8" stopIfTrue="1">
      <formula>WEEKDAY($A8)=1</formula>
    </cfRule>
    <cfRule type="expression" dxfId="94" priority="9" stopIfTrue="1">
      <formula>WEEKDAY($A8)=7</formula>
    </cfRule>
  </conditionalFormatting>
  <conditionalFormatting sqref="E8:E38">
    <cfRule type="cellIs" dxfId="93" priority="11" stopIfTrue="1" operator="greaterThan">
      <formula>0.916666666666667</formula>
    </cfRule>
  </conditionalFormatting>
  <conditionalFormatting sqref="J8:J38">
    <cfRule type="expression" dxfId="92" priority="10" stopIfTrue="1">
      <formula>$B8=""</formula>
    </cfRule>
    <cfRule type="expression" dxfId="91" priority="12" stopIfTrue="1">
      <formula>$J8&gt;8</formula>
    </cfRule>
  </conditionalFormatting>
  <conditionalFormatting sqref="I8:I38">
    <cfRule type="expression" dxfId="90" priority="4" stopIfTrue="1">
      <formula>MATCH($A8,休日,0)&gt;0</formula>
    </cfRule>
    <cfRule type="expression" dxfId="89" priority="5" stopIfTrue="1">
      <formula>WEEKDAY($A8)=1</formula>
    </cfRule>
    <cfRule type="expression" dxfId="88" priority="6" stopIfTrue="1">
      <formula>WEEKDAY($A8)=7</formula>
    </cfRule>
  </conditionalFormatting>
  <conditionalFormatting sqref="I8:I38">
    <cfRule type="expression" dxfId="87" priority="1" stopIfTrue="1">
      <formula>MATCH($A8,休日,0)&gt;0</formula>
    </cfRule>
    <cfRule type="expression" dxfId="86" priority="2" stopIfTrue="1">
      <formula>WEEKDAY($A8)=1</formula>
    </cfRule>
    <cfRule type="expression" dxfId="85" priority="3" stopIfTrue="1">
      <formula>WEEKDAY($A8)=7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G16" sqref="G16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7.37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34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1</v>
      </c>
      <c r="K3" s="82" t="s">
        <v>6</v>
      </c>
      <c r="L3" s="55">
        <f>SUM($K$8:$K$38)</f>
        <v>1500</v>
      </c>
      <c r="M3" s="56"/>
    </row>
    <row r="4" spans="1:19" ht="14.25" thickBot="1" x14ac:dyDescent="0.2">
      <c r="A4" s="12" t="s">
        <v>25</v>
      </c>
      <c r="B4" s="84">
        <v>1500</v>
      </c>
      <c r="C4" s="85"/>
      <c r="E4" s="81"/>
      <c r="F4" s="14" t="s">
        <v>7</v>
      </c>
      <c r="G4" s="15">
        <v>0.875</v>
      </c>
      <c r="H4" s="9"/>
      <c r="I4" s="16" t="s">
        <v>8</v>
      </c>
      <c r="J4" s="17">
        <f>SUM($J$8:$J$38)</f>
        <v>1.2500000000000009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 t="s">
        <v>22</v>
      </c>
      <c r="G8" s="29" t="s">
        <v>22</v>
      </c>
      <c r="H8" s="28" t="s">
        <v>22</v>
      </c>
      <c r="I8" s="30" t="s">
        <v>22</v>
      </c>
      <c r="J8" s="31" t="s">
        <v>22</v>
      </c>
      <c r="K8" s="32" t="s">
        <v>22</v>
      </c>
      <c r="L8" s="33"/>
      <c r="M8" s="34"/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37"/>
      <c r="D9" s="37"/>
      <c r="E9" s="38"/>
      <c r="F9" s="28" t="s">
        <v>22</v>
      </c>
      <c r="G9" s="29" t="s">
        <v>22</v>
      </c>
      <c r="H9" s="39" t="s">
        <v>22</v>
      </c>
      <c r="I9" s="30" t="s">
        <v>22</v>
      </c>
      <c r="J9" s="31" t="s">
        <v>22</v>
      </c>
      <c r="K9" s="32" t="s">
        <v>22</v>
      </c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37"/>
      <c r="D10" s="37"/>
      <c r="E10" s="38"/>
      <c r="F10" s="28" t="s">
        <v>22</v>
      </c>
      <c r="G10" s="29" t="s">
        <v>22</v>
      </c>
      <c r="H10" s="39" t="s">
        <v>22</v>
      </c>
      <c r="I10" s="30" t="s">
        <v>22</v>
      </c>
      <c r="J10" s="31" t="s">
        <v>22</v>
      </c>
      <c r="K10" s="32" t="s">
        <v>22</v>
      </c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37"/>
      <c r="D11" s="37"/>
      <c r="E11" s="38"/>
      <c r="F11" s="28" t="s">
        <v>22</v>
      </c>
      <c r="G11" s="29" t="s">
        <v>22</v>
      </c>
      <c r="H11" s="39" t="s">
        <v>22</v>
      </c>
      <c r="I11" s="30" t="s">
        <v>22</v>
      </c>
      <c r="J11" s="31" t="s">
        <v>22</v>
      </c>
      <c r="K11" s="32" t="s">
        <v>22</v>
      </c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 t="s">
        <v>22</v>
      </c>
      <c r="G12" s="29" t="s">
        <v>22</v>
      </c>
      <c r="H12" s="39" t="s">
        <v>22</v>
      </c>
      <c r="I12" s="30" t="s">
        <v>22</v>
      </c>
      <c r="J12" s="31" t="s">
        <v>22</v>
      </c>
      <c r="K12" s="32" t="s">
        <v>22</v>
      </c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 t="s">
        <v>22</v>
      </c>
      <c r="G13" s="29" t="s">
        <v>22</v>
      </c>
      <c r="H13" s="39" t="s">
        <v>22</v>
      </c>
      <c r="I13" s="30" t="s">
        <v>22</v>
      </c>
      <c r="J13" s="31" t="s">
        <v>22</v>
      </c>
      <c r="K13" s="32" t="s">
        <v>22</v>
      </c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37"/>
      <c r="D14" s="37"/>
      <c r="E14" s="38"/>
      <c r="F14" s="28" t="s">
        <v>22</v>
      </c>
      <c r="G14" s="29" t="s">
        <v>22</v>
      </c>
      <c r="H14" s="39" t="s">
        <v>22</v>
      </c>
      <c r="I14" s="30" t="s">
        <v>22</v>
      </c>
      <c r="J14" s="31" t="s">
        <v>22</v>
      </c>
      <c r="K14" s="32" t="s">
        <v>22</v>
      </c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37"/>
      <c r="D15" s="37"/>
      <c r="E15" s="38"/>
      <c r="F15" s="28" t="s">
        <v>22</v>
      </c>
      <c r="G15" s="29" t="s">
        <v>22</v>
      </c>
      <c r="H15" s="39" t="s">
        <v>22</v>
      </c>
      <c r="I15" s="30" t="s">
        <v>22</v>
      </c>
      <c r="J15" s="31" t="s">
        <v>22</v>
      </c>
      <c r="K15" s="32" t="s">
        <v>22</v>
      </c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37"/>
      <c r="D16" s="37"/>
      <c r="E16" s="38"/>
      <c r="F16" s="28" t="s">
        <v>22</v>
      </c>
      <c r="G16" s="29" t="s">
        <v>22</v>
      </c>
      <c r="H16" s="39" t="s">
        <v>22</v>
      </c>
      <c r="I16" s="30" t="s">
        <v>22</v>
      </c>
      <c r="J16" s="31" t="s">
        <v>22</v>
      </c>
      <c r="K16" s="32" t="s">
        <v>22</v>
      </c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/>
      <c r="C17" s="37"/>
      <c r="D17" s="37"/>
      <c r="E17" s="38"/>
      <c r="F17" s="28" t="s">
        <v>22</v>
      </c>
      <c r="G17" s="29" t="s">
        <v>22</v>
      </c>
      <c r="H17" s="39" t="s">
        <v>22</v>
      </c>
      <c r="I17" s="30" t="s">
        <v>22</v>
      </c>
      <c r="J17" s="31" t="s">
        <v>22</v>
      </c>
      <c r="K17" s="32" t="s">
        <v>22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/>
      <c r="C18" s="37"/>
      <c r="D18" s="37"/>
      <c r="E18" s="38"/>
      <c r="F18" s="28" t="s">
        <v>22</v>
      </c>
      <c r="G18" s="29" t="s">
        <v>22</v>
      </c>
      <c r="H18" s="39" t="s">
        <v>22</v>
      </c>
      <c r="I18" s="30" t="s">
        <v>22</v>
      </c>
      <c r="J18" s="31" t="s">
        <v>22</v>
      </c>
      <c r="K18" s="32" t="s">
        <v>22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/>
      <c r="C19" s="37"/>
      <c r="D19" s="37"/>
      <c r="E19" s="38"/>
      <c r="F19" s="28" t="s">
        <v>22</v>
      </c>
      <c r="G19" s="29" t="s">
        <v>22</v>
      </c>
      <c r="H19" s="39" t="s">
        <v>22</v>
      </c>
      <c r="I19" s="30" t="s">
        <v>22</v>
      </c>
      <c r="J19" s="31" t="s">
        <v>22</v>
      </c>
      <c r="K19" s="32" t="s">
        <v>22</v>
      </c>
      <c r="L19" s="33"/>
      <c r="M19" s="34"/>
    </row>
    <row r="20" spans="1:19" x14ac:dyDescent="0.15">
      <c r="A20" s="25">
        <v>41956</v>
      </c>
      <c r="B20" s="37"/>
      <c r="C20" s="37"/>
      <c r="D20" s="37"/>
      <c r="E20" s="38"/>
      <c r="F20" s="28" t="s">
        <v>22</v>
      </c>
      <c r="G20" s="29" t="s">
        <v>22</v>
      </c>
      <c r="H20" s="39" t="s">
        <v>22</v>
      </c>
      <c r="I20" s="30" t="s">
        <v>22</v>
      </c>
      <c r="J20" s="31" t="s">
        <v>22</v>
      </c>
      <c r="K20" s="32" t="s">
        <v>22</v>
      </c>
      <c r="L20" s="33"/>
      <c r="M20" s="34"/>
    </row>
    <row r="21" spans="1:19" x14ac:dyDescent="0.15">
      <c r="A21" s="25">
        <v>41957</v>
      </c>
      <c r="B21" s="37"/>
      <c r="C21" s="37"/>
      <c r="D21" s="37"/>
      <c r="E21" s="38"/>
      <c r="F21" s="28" t="s">
        <v>22</v>
      </c>
      <c r="G21" s="29" t="s">
        <v>22</v>
      </c>
      <c r="H21" s="39" t="s">
        <v>22</v>
      </c>
      <c r="I21" s="30" t="s">
        <v>22</v>
      </c>
      <c r="J21" s="31" t="s">
        <v>22</v>
      </c>
      <c r="K21" s="32" t="s">
        <v>22</v>
      </c>
      <c r="L21" s="33"/>
      <c r="M21" s="34"/>
    </row>
    <row r="22" spans="1:19" x14ac:dyDescent="0.15">
      <c r="A22" s="25">
        <v>41958</v>
      </c>
      <c r="B22" s="37"/>
      <c r="C22" s="37"/>
      <c r="D22" s="37"/>
      <c r="E22" s="38"/>
      <c r="F22" s="28" t="s">
        <v>22</v>
      </c>
      <c r="G22" s="29" t="s">
        <v>22</v>
      </c>
      <c r="H22" s="39" t="s">
        <v>22</v>
      </c>
      <c r="I22" s="30" t="s">
        <v>22</v>
      </c>
      <c r="J22" s="31" t="s">
        <v>22</v>
      </c>
      <c r="K22" s="32" t="s">
        <v>22</v>
      </c>
      <c r="L22" s="33"/>
      <c r="M22" s="34"/>
    </row>
    <row r="23" spans="1:19" x14ac:dyDescent="0.15">
      <c r="A23" s="25">
        <v>41959</v>
      </c>
      <c r="B23" s="37"/>
      <c r="C23" s="37"/>
      <c r="D23" s="37"/>
      <c r="E23" s="38"/>
      <c r="F23" s="28" t="s">
        <v>22</v>
      </c>
      <c r="G23" s="29" t="s">
        <v>22</v>
      </c>
      <c r="H23" s="39" t="s">
        <v>22</v>
      </c>
      <c r="I23" s="30" t="s">
        <v>22</v>
      </c>
      <c r="J23" s="31" t="s">
        <v>22</v>
      </c>
      <c r="K23" s="32" t="s">
        <v>22</v>
      </c>
      <c r="L23" s="33"/>
      <c r="M23" s="34"/>
    </row>
    <row r="24" spans="1:19" x14ac:dyDescent="0.15">
      <c r="A24" s="25">
        <v>41960</v>
      </c>
      <c r="B24" s="37"/>
      <c r="C24" s="37"/>
      <c r="D24" s="37"/>
      <c r="E24" s="38"/>
      <c r="F24" s="28" t="s">
        <v>22</v>
      </c>
      <c r="G24" s="29" t="s">
        <v>22</v>
      </c>
      <c r="H24" s="39" t="s">
        <v>22</v>
      </c>
      <c r="I24" s="30" t="s">
        <v>22</v>
      </c>
      <c r="J24" s="31" t="s">
        <v>22</v>
      </c>
      <c r="K24" s="32" t="s">
        <v>22</v>
      </c>
      <c r="L24" s="33"/>
      <c r="M24" s="34"/>
    </row>
    <row r="25" spans="1:19" x14ac:dyDescent="0.15">
      <c r="A25" s="25">
        <v>41961</v>
      </c>
      <c r="B25" s="37"/>
      <c r="C25" s="37"/>
      <c r="D25" s="37"/>
      <c r="E25" s="38"/>
      <c r="F25" s="28" t="s">
        <v>22</v>
      </c>
      <c r="G25" s="29" t="s">
        <v>22</v>
      </c>
      <c r="H25" s="39" t="s">
        <v>22</v>
      </c>
      <c r="I25" s="30" t="s">
        <v>22</v>
      </c>
      <c r="J25" s="31" t="s">
        <v>22</v>
      </c>
      <c r="K25" s="32" t="s">
        <v>22</v>
      </c>
      <c r="L25" s="33"/>
      <c r="M25" s="34"/>
    </row>
    <row r="26" spans="1:19" x14ac:dyDescent="0.15">
      <c r="A26" s="25">
        <v>41962</v>
      </c>
      <c r="B26" s="37"/>
      <c r="C26" s="37"/>
      <c r="D26" s="37"/>
      <c r="E26" s="38"/>
      <c r="F26" s="28" t="s">
        <v>22</v>
      </c>
      <c r="G26" s="29" t="s">
        <v>22</v>
      </c>
      <c r="H26" s="39" t="s">
        <v>22</v>
      </c>
      <c r="I26" s="30" t="s">
        <v>22</v>
      </c>
      <c r="J26" s="31" t="s">
        <v>22</v>
      </c>
      <c r="K26" s="32" t="s">
        <v>22</v>
      </c>
      <c r="L26" s="33"/>
      <c r="M26" s="34"/>
    </row>
    <row r="27" spans="1:19" x14ac:dyDescent="0.15">
      <c r="A27" s="25">
        <v>41963</v>
      </c>
      <c r="B27" s="37"/>
      <c r="C27" s="37"/>
      <c r="D27" s="37"/>
      <c r="E27" s="38"/>
      <c r="F27" s="28" t="s">
        <v>22</v>
      </c>
      <c r="G27" s="29" t="s">
        <v>22</v>
      </c>
      <c r="H27" s="39" t="s">
        <v>22</v>
      </c>
      <c r="I27" s="30" t="s">
        <v>22</v>
      </c>
      <c r="J27" s="31" t="s">
        <v>22</v>
      </c>
      <c r="K27" s="32" t="s">
        <v>22</v>
      </c>
      <c r="L27" s="33"/>
      <c r="M27" s="34"/>
    </row>
    <row r="28" spans="1:19" x14ac:dyDescent="0.15">
      <c r="A28" s="25">
        <v>41964</v>
      </c>
      <c r="B28" s="37"/>
      <c r="C28" s="37"/>
      <c r="D28" s="37"/>
      <c r="E28" s="38"/>
      <c r="F28" s="28" t="s">
        <v>22</v>
      </c>
      <c r="G28" s="29" t="s">
        <v>22</v>
      </c>
      <c r="H28" s="39" t="s">
        <v>22</v>
      </c>
      <c r="I28" s="30" t="s">
        <v>22</v>
      </c>
      <c r="J28" s="31" t="s">
        <v>22</v>
      </c>
      <c r="K28" s="32" t="s">
        <v>22</v>
      </c>
      <c r="L28" s="33"/>
      <c r="M28" s="34"/>
    </row>
    <row r="29" spans="1:19" x14ac:dyDescent="0.15">
      <c r="A29" s="25">
        <v>41965</v>
      </c>
      <c r="B29" s="37"/>
      <c r="C29" s="37"/>
      <c r="D29" s="37"/>
      <c r="E29" s="38"/>
      <c r="F29" s="28" t="s">
        <v>22</v>
      </c>
      <c r="G29" s="29" t="s">
        <v>22</v>
      </c>
      <c r="H29" s="39" t="s">
        <v>22</v>
      </c>
      <c r="I29" s="30" t="s">
        <v>22</v>
      </c>
      <c r="J29" s="31" t="s">
        <v>22</v>
      </c>
      <c r="K29" s="32" t="s">
        <v>22</v>
      </c>
      <c r="L29" s="33"/>
      <c r="M29" s="34"/>
    </row>
    <row r="30" spans="1:19" x14ac:dyDescent="0.15">
      <c r="A30" s="25">
        <v>41966</v>
      </c>
      <c r="B30" s="37"/>
      <c r="C30" s="37"/>
      <c r="D30" s="37"/>
      <c r="E30" s="38"/>
      <c r="F30" s="28" t="s">
        <v>22</v>
      </c>
      <c r="G30" s="29" t="s">
        <v>22</v>
      </c>
      <c r="H30" s="39" t="s">
        <v>22</v>
      </c>
      <c r="I30" s="30" t="s">
        <v>22</v>
      </c>
      <c r="J30" s="31" t="s">
        <v>22</v>
      </c>
      <c r="K30" s="32" t="s">
        <v>22</v>
      </c>
      <c r="L30" s="33"/>
      <c r="M30" s="34"/>
    </row>
    <row r="31" spans="1:19" x14ac:dyDescent="0.15">
      <c r="A31" s="25">
        <v>41967</v>
      </c>
      <c r="B31" s="37"/>
      <c r="C31" s="37"/>
      <c r="D31" s="37"/>
      <c r="E31" s="38"/>
      <c r="F31" s="28" t="s">
        <v>22</v>
      </c>
      <c r="G31" s="29" t="s">
        <v>22</v>
      </c>
      <c r="H31" s="39" t="s">
        <v>22</v>
      </c>
      <c r="I31" s="30" t="s">
        <v>22</v>
      </c>
      <c r="J31" s="31" t="s">
        <v>22</v>
      </c>
      <c r="K31" s="32" t="s">
        <v>22</v>
      </c>
      <c r="L31" s="33"/>
      <c r="M31" s="34"/>
    </row>
    <row r="32" spans="1:19" x14ac:dyDescent="0.15">
      <c r="A32" s="25">
        <v>41968</v>
      </c>
      <c r="B32" s="37"/>
      <c r="C32" s="37"/>
      <c r="D32" s="37"/>
      <c r="E32" s="38"/>
      <c r="F32" s="28" t="s">
        <v>22</v>
      </c>
      <c r="G32" s="29" t="s">
        <v>22</v>
      </c>
      <c r="H32" s="39" t="s">
        <v>22</v>
      </c>
      <c r="I32" s="30" t="s">
        <v>22</v>
      </c>
      <c r="J32" s="31" t="s">
        <v>22</v>
      </c>
      <c r="K32" s="32" t="s">
        <v>22</v>
      </c>
      <c r="L32" s="33"/>
      <c r="M32" s="34"/>
    </row>
    <row r="33" spans="1:13" x14ac:dyDescent="0.15">
      <c r="A33" s="25">
        <v>41969</v>
      </c>
      <c r="B33" s="37"/>
      <c r="C33" s="37"/>
      <c r="D33" s="37"/>
      <c r="E33" s="38"/>
      <c r="F33" s="28" t="s">
        <v>22</v>
      </c>
      <c r="G33" s="29" t="s">
        <v>22</v>
      </c>
      <c r="H33" s="39" t="s">
        <v>22</v>
      </c>
      <c r="I33" s="30" t="s">
        <v>22</v>
      </c>
      <c r="J33" s="31" t="s">
        <v>22</v>
      </c>
      <c r="K33" s="32" t="s">
        <v>22</v>
      </c>
      <c r="L33" s="33"/>
      <c r="M33" s="34"/>
    </row>
    <row r="34" spans="1:13" x14ac:dyDescent="0.15">
      <c r="A34" s="25">
        <v>41970</v>
      </c>
      <c r="B34" s="37"/>
      <c r="C34" s="37"/>
      <c r="D34" s="37"/>
      <c r="E34" s="38"/>
      <c r="F34" s="28" t="s">
        <v>22</v>
      </c>
      <c r="G34" s="29" t="s">
        <v>22</v>
      </c>
      <c r="H34" s="39" t="s">
        <v>22</v>
      </c>
      <c r="I34" s="30" t="s">
        <v>22</v>
      </c>
      <c r="J34" s="31" t="s">
        <v>22</v>
      </c>
      <c r="K34" s="32" t="s">
        <v>22</v>
      </c>
      <c r="L34" s="33"/>
      <c r="M34" s="34"/>
    </row>
    <row r="35" spans="1:13" x14ac:dyDescent="0.15">
      <c r="A35" s="25">
        <v>41971</v>
      </c>
      <c r="B35" s="37">
        <v>0.57013888888888886</v>
      </c>
      <c r="C35" s="37"/>
      <c r="D35" s="37"/>
      <c r="E35" s="38">
        <v>0.62847222222222221</v>
      </c>
      <c r="F35" s="28">
        <v>0.57291666666666663</v>
      </c>
      <c r="G35" s="29">
        <v>0.625</v>
      </c>
      <c r="H35" s="39">
        <v>5.208333333333337E-2</v>
      </c>
      <c r="I35" s="30" t="s">
        <v>22</v>
      </c>
      <c r="J35" s="31">
        <v>1.2500000000000009</v>
      </c>
      <c r="K35" s="32">
        <v>1500</v>
      </c>
      <c r="L35" s="33"/>
      <c r="M35" s="34"/>
    </row>
    <row r="36" spans="1:13" x14ac:dyDescent="0.15">
      <c r="A36" s="25">
        <v>41972</v>
      </c>
      <c r="B36" s="37"/>
      <c r="C36" s="37"/>
      <c r="D36" s="37"/>
      <c r="E36" s="38"/>
      <c r="F36" s="28" t="s">
        <v>22</v>
      </c>
      <c r="G36" s="29" t="s">
        <v>22</v>
      </c>
      <c r="H36" s="39" t="s">
        <v>22</v>
      </c>
      <c r="I36" s="30" t="s">
        <v>22</v>
      </c>
      <c r="J36" s="31" t="s">
        <v>22</v>
      </c>
      <c r="K36" s="32" t="s">
        <v>22</v>
      </c>
      <c r="L36" s="33"/>
      <c r="M36" s="34"/>
    </row>
    <row r="37" spans="1:13" x14ac:dyDescent="0.15">
      <c r="A37" s="25">
        <v>41973</v>
      </c>
      <c r="B37" s="37"/>
      <c r="C37" s="37"/>
      <c r="D37" s="37"/>
      <c r="E37" s="38"/>
      <c r="F37" s="28" t="s">
        <v>22</v>
      </c>
      <c r="G37" s="29" t="s">
        <v>22</v>
      </c>
      <c r="H37" s="39" t="s">
        <v>22</v>
      </c>
      <c r="I37" s="30" t="s">
        <v>22</v>
      </c>
      <c r="J37" s="31" t="s">
        <v>22</v>
      </c>
      <c r="K37" s="32" t="s">
        <v>22</v>
      </c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 t="s">
        <v>22</v>
      </c>
      <c r="G38" s="45" t="s">
        <v>22</v>
      </c>
      <c r="H38" s="46" t="s">
        <v>22</v>
      </c>
      <c r="I38" s="47" t="s">
        <v>22</v>
      </c>
      <c r="J38" s="48" t="s">
        <v>22</v>
      </c>
      <c r="K38" s="49" t="s">
        <v>22</v>
      </c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8:M38">
    <cfRule type="expression" dxfId="84" priority="7" stopIfTrue="1">
      <formula>MATCH($A8,休日,0)&gt;0</formula>
    </cfRule>
    <cfRule type="expression" dxfId="83" priority="8" stopIfTrue="1">
      <formula>WEEKDAY($A8)=1</formula>
    </cfRule>
    <cfRule type="expression" dxfId="82" priority="9" stopIfTrue="1">
      <formula>WEEKDAY($A8)=7</formula>
    </cfRule>
  </conditionalFormatting>
  <conditionalFormatting sqref="E8:E38">
    <cfRule type="cellIs" dxfId="81" priority="11" stopIfTrue="1" operator="greaterThan">
      <formula>0.916666666666667</formula>
    </cfRule>
  </conditionalFormatting>
  <conditionalFormatting sqref="J8:J38">
    <cfRule type="expression" dxfId="80" priority="10" stopIfTrue="1">
      <formula>$B8=""</formula>
    </cfRule>
    <cfRule type="expression" dxfId="79" priority="12" stopIfTrue="1">
      <formula>$J8&gt;8</formula>
    </cfRule>
  </conditionalFormatting>
  <conditionalFormatting sqref="I8:I38">
    <cfRule type="expression" dxfId="78" priority="4" stopIfTrue="1">
      <formula>MATCH($A8,休日,0)&gt;0</formula>
    </cfRule>
    <cfRule type="expression" dxfId="77" priority="5" stopIfTrue="1">
      <formula>WEEKDAY($A8)=1</formula>
    </cfRule>
    <cfRule type="expression" dxfId="76" priority="6" stopIfTrue="1">
      <formula>WEEKDAY($A8)=7</formula>
    </cfRule>
  </conditionalFormatting>
  <conditionalFormatting sqref="I8:I38">
    <cfRule type="expression" dxfId="75" priority="1" stopIfTrue="1">
      <formula>MATCH($A8,休日,0)&gt;0</formula>
    </cfRule>
    <cfRule type="expression" dxfId="74" priority="2" stopIfTrue="1">
      <formula>WEEKDAY($A8)=1</formula>
    </cfRule>
    <cfRule type="expression" dxfId="73" priority="3" stopIfTrue="1">
      <formula>WEEKDAY($A8)=7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G16" sqref="G16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8.12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33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1</v>
      </c>
      <c r="K3" s="82" t="s">
        <v>6</v>
      </c>
      <c r="L3" s="55">
        <f>SUM($K$8:$K$38)</f>
        <v>1500</v>
      </c>
      <c r="M3" s="56"/>
    </row>
    <row r="4" spans="1:19" ht="14.25" thickBot="1" x14ac:dyDescent="0.2">
      <c r="A4" s="12" t="s">
        <v>25</v>
      </c>
      <c r="B4" s="84">
        <v>1500</v>
      </c>
      <c r="C4" s="85"/>
      <c r="E4" s="81"/>
      <c r="F4" s="14" t="s">
        <v>7</v>
      </c>
      <c r="G4" s="15">
        <v>0.875</v>
      </c>
      <c r="H4" s="9"/>
      <c r="I4" s="16" t="s">
        <v>8</v>
      </c>
      <c r="J4" s="17">
        <f>SUM($J$8:$J$38)</f>
        <v>1.2500000000000009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 t="s">
        <v>22</v>
      </c>
      <c r="G8" s="29" t="s">
        <v>22</v>
      </c>
      <c r="H8" s="28" t="s">
        <v>22</v>
      </c>
      <c r="I8" s="30" t="s">
        <v>22</v>
      </c>
      <c r="J8" s="31" t="s">
        <v>22</v>
      </c>
      <c r="K8" s="32" t="s">
        <v>22</v>
      </c>
      <c r="L8" s="33" t="s">
        <v>23</v>
      </c>
      <c r="M8" s="34" t="s">
        <v>24</v>
      </c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26"/>
      <c r="D9" s="26"/>
      <c r="E9" s="38"/>
      <c r="F9" s="28" t="s">
        <v>22</v>
      </c>
      <c r="G9" s="29" t="s">
        <v>22</v>
      </c>
      <c r="H9" s="39" t="s">
        <v>22</v>
      </c>
      <c r="I9" s="30" t="s">
        <v>22</v>
      </c>
      <c r="J9" s="31" t="s">
        <v>22</v>
      </c>
      <c r="K9" s="32" t="s">
        <v>22</v>
      </c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37"/>
      <c r="D10" s="37"/>
      <c r="E10" s="38"/>
      <c r="F10" s="28" t="s">
        <v>22</v>
      </c>
      <c r="G10" s="29" t="s">
        <v>22</v>
      </c>
      <c r="H10" s="39" t="s">
        <v>22</v>
      </c>
      <c r="I10" s="30" t="s">
        <v>22</v>
      </c>
      <c r="J10" s="31" t="s">
        <v>22</v>
      </c>
      <c r="K10" s="32" t="s">
        <v>22</v>
      </c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37"/>
      <c r="D11" s="37"/>
      <c r="E11" s="38"/>
      <c r="F11" s="28" t="s">
        <v>22</v>
      </c>
      <c r="G11" s="29" t="s">
        <v>22</v>
      </c>
      <c r="H11" s="39" t="s">
        <v>22</v>
      </c>
      <c r="I11" s="30" t="s">
        <v>22</v>
      </c>
      <c r="J11" s="31" t="s">
        <v>22</v>
      </c>
      <c r="K11" s="32" t="s">
        <v>22</v>
      </c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 t="s">
        <v>22</v>
      </c>
      <c r="G12" s="29" t="s">
        <v>22</v>
      </c>
      <c r="H12" s="39" t="s">
        <v>22</v>
      </c>
      <c r="I12" s="30" t="s">
        <v>22</v>
      </c>
      <c r="J12" s="31" t="s">
        <v>22</v>
      </c>
      <c r="K12" s="32" t="s">
        <v>22</v>
      </c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 t="s">
        <v>22</v>
      </c>
      <c r="G13" s="29" t="s">
        <v>22</v>
      </c>
      <c r="H13" s="39" t="s">
        <v>22</v>
      </c>
      <c r="I13" s="30" t="s">
        <v>22</v>
      </c>
      <c r="J13" s="31" t="s">
        <v>22</v>
      </c>
      <c r="K13" s="32" t="s">
        <v>22</v>
      </c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26"/>
      <c r="D14" s="26"/>
      <c r="E14" s="38"/>
      <c r="F14" s="28" t="s">
        <v>22</v>
      </c>
      <c r="G14" s="29" t="s">
        <v>22</v>
      </c>
      <c r="H14" s="39" t="s">
        <v>22</v>
      </c>
      <c r="I14" s="30" t="s">
        <v>22</v>
      </c>
      <c r="J14" s="31" t="s">
        <v>22</v>
      </c>
      <c r="K14" s="32" t="s">
        <v>22</v>
      </c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26"/>
      <c r="D15" s="26"/>
      <c r="E15" s="38"/>
      <c r="F15" s="28" t="s">
        <v>22</v>
      </c>
      <c r="G15" s="29" t="s">
        <v>22</v>
      </c>
      <c r="H15" s="39" t="s">
        <v>22</v>
      </c>
      <c r="I15" s="30" t="s">
        <v>22</v>
      </c>
      <c r="J15" s="31" t="s">
        <v>22</v>
      </c>
      <c r="K15" s="32" t="s">
        <v>22</v>
      </c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26"/>
      <c r="D16" s="26"/>
      <c r="E16" s="38"/>
      <c r="F16" s="28" t="s">
        <v>22</v>
      </c>
      <c r="G16" s="29" t="s">
        <v>22</v>
      </c>
      <c r="H16" s="39" t="s">
        <v>22</v>
      </c>
      <c r="I16" s="30" t="s">
        <v>22</v>
      </c>
      <c r="J16" s="31" t="s">
        <v>22</v>
      </c>
      <c r="K16" s="32" t="s">
        <v>22</v>
      </c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/>
      <c r="C17" s="37"/>
      <c r="D17" s="37"/>
      <c r="E17" s="38"/>
      <c r="F17" s="28" t="s">
        <v>22</v>
      </c>
      <c r="G17" s="29" t="s">
        <v>22</v>
      </c>
      <c r="H17" s="39" t="s">
        <v>22</v>
      </c>
      <c r="I17" s="30" t="s">
        <v>22</v>
      </c>
      <c r="J17" s="31" t="s">
        <v>22</v>
      </c>
      <c r="K17" s="32" t="s">
        <v>22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/>
      <c r="C18" s="37"/>
      <c r="D18" s="37"/>
      <c r="E18" s="38"/>
      <c r="F18" s="28" t="s">
        <v>22</v>
      </c>
      <c r="G18" s="29" t="s">
        <v>22</v>
      </c>
      <c r="H18" s="39" t="s">
        <v>22</v>
      </c>
      <c r="I18" s="30" t="s">
        <v>22</v>
      </c>
      <c r="J18" s="31" t="s">
        <v>22</v>
      </c>
      <c r="K18" s="32" t="s">
        <v>22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/>
      <c r="C19" s="26"/>
      <c r="D19" s="26"/>
      <c r="E19" s="38"/>
      <c r="F19" s="28" t="s">
        <v>22</v>
      </c>
      <c r="G19" s="29" t="s">
        <v>22</v>
      </c>
      <c r="H19" s="39" t="s">
        <v>22</v>
      </c>
      <c r="I19" s="30" t="s">
        <v>22</v>
      </c>
      <c r="J19" s="31" t="s">
        <v>22</v>
      </c>
      <c r="K19" s="32" t="s">
        <v>22</v>
      </c>
      <c r="L19" s="33"/>
      <c r="M19" s="34"/>
    </row>
    <row r="20" spans="1:19" x14ac:dyDescent="0.15">
      <c r="A20" s="25">
        <v>41956</v>
      </c>
      <c r="B20" s="37"/>
      <c r="C20" s="26"/>
      <c r="D20" s="26"/>
      <c r="E20" s="38"/>
      <c r="F20" s="28" t="s">
        <v>22</v>
      </c>
      <c r="G20" s="29" t="s">
        <v>22</v>
      </c>
      <c r="H20" s="39" t="s">
        <v>22</v>
      </c>
      <c r="I20" s="30" t="s">
        <v>22</v>
      </c>
      <c r="J20" s="31" t="s">
        <v>22</v>
      </c>
      <c r="K20" s="32" t="s">
        <v>22</v>
      </c>
      <c r="L20" s="33"/>
      <c r="M20" s="34"/>
    </row>
    <row r="21" spans="1:19" x14ac:dyDescent="0.15">
      <c r="A21" s="25">
        <v>41957</v>
      </c>
      <c r="B21" s="37"/>
      <c r="C21" s="26"/>
      <c r="D21" s="26"/>
      <c r="E21" s="38"/>
      <c r="F21" s="28" t="s">
        <v>22</v>
      </c>
      <c r="G21" s="29" t="s">
        <v>22</v>
      </c>
      <c r="H21" s="39" t="s">
        <v>22</v>
      </c>
      <c r="I21" s="30" t="s">
        <v>22</v>
      </c>
      <c r="J21" s="31" t="s">
        <v>22</v>
      </c>
      <c r="K21" s="32" t="s">
        <v>22</v>
      </c>
      <c r="L21" s="33"/>
      <c r="M21" s="34"/>
    </row>
    <row r="22" spans="1:19" x14ac:dyDescent="0.15">
      <c r="A22" s="25">
        <v>41958</v>
      </c>
      <c r="B22" s="37"/>
      <c r="C22" s="26"/>
      <c r="D22" s="26"/>
      <c r="E22" s="38"/>
      <c r="F22" s="28" t="s">
        <v>22</v>
      </c>
      <c r="G22" s="29" t="s">
        <v>22</v>
      </c>
      <c r="H22" s="39" t="s">
        <v>22</v>
      </c>
      <c r="I22" s="30" t="s">
        <v>22</v>
      </c>
      <c r="J22" s="31" t="s">
        <v>22</v>
      </c>
      <c r="K22" s="32" t="s">
        <v>22</v>
      </c>
      <c r="L22" s="33"/>
      <c r="M22" s="34"/>
    </row>
    <row r="23" spans="1:19" x14ac:dyDescent="0.15">
      <c r="A23" s="25">
        <v>41959</v>
      </c>
      <c r="B23" s="37"/>
      <c r="C23" s="26"/>
      <c r="D23" s="26"/>
      <c r="E23" s="38"/>
      <c r="F23" s="28" t="s">
        <v>22</v>
      </c>
      <c r="G23" s="29" t="s">
        <v>22</v>
      </c>
      <c r="H23" s="39" t="s">
        <v>22</v>
      </c>
      <c r="I23" s="30" t="s">
        <v>22</v>
      </c>
      <c r="J23" s="31" t="s">
        <v>22</v>
      </c>
      <c r="K23" s="32" t="s">
        <v>22</v>
      </c>
      <c r="L23" s="33"/>
      <c r="M23" s="34"/>
    </row>
    <row r="24" spans="1:19" x14ac:dyDescent="0.15">
      <c r="A24" s="25">
        <v>41960</v>
      </c>
      <c r="B24" s="37"/>
      <c r="C24" s="37"/>
      <c r="D24" s="37"/>
      <c r="E24" s="38"/>
      <c r="F24" s="28" t="s">
        <v>22</v>
      </c>
      <c r="G24" s="29" t="s">
        <v>22</v>
      </c>
      <c r="H24" s="39" t="s">
        <v>22</v>
      </c>
      <c r="I24" s="30" t="s">
        <v>22</v>
      </c>
      <c r="J24" s="31" t="s">
        <v>22</v>
      </c>
      <c r="K24" s="32" t="s">
        <v>22</v>
      </c>
      <c r="L24" s="33"/>
      <c r="M24" s="34"/>
    </row>
    <row r="25" spans="1:19" x14ac:dyDescent="0.15">
      <c r="A25" s="25">
        <v>41961</v>
      </c>
      <c r="B25" s="37"/>
      <c r="C25" s="37"/>
      <c r="D25" s="37"/>
      <c r="E25" s="38"/>
      <c r="F25" s="28" t="s">
        <v>22</v>
      </c>
      <c r="G25" s="29" t="s">
        <v>22</v>
      </c>
      <c r="H25" s="39" t="s">
        <v>22</v>
      </c>
      <c r="I25" s="30" t="s">
        <v>22</v>
      </c>
      <c r="J25" s="31" t="s">
        <v>22</v>
      </c>
      <c r="K25" s="32" t="s">
        <v>22</v>
      </c>
      <c r="L25" s="33"/>
      <c r="M25" s="34"/>
    </row>
    <row r="26" spans="1:19" x14ac:dyDescent="0.15">
      <c r="A26" s="25">
        <v>41962</v>
      </c>
      <c r="B26" s="37"/>
      <c r="C26" s="37"/>
      <c r="D26" s="37"/>
      <c r="E26" s="38"/>
      <c r="F26" s="28" t="s">
        <v>22</v>
      </c>
      <c r="G26" s="29" t="s">
        <v>22</v>
      </c>
      <c r="H26" s="39" t="s">
        <v>22</v>
      </c>
      <c r="I26" s="30" t="s">
        <v>22</v>
      </c>
      <c r="J26" s="31" t="s">
        <v>22</v>
      </c>
      <c r="K26" s="32" t="s">
        <v>22</v>
      </c>
      <c r="L26" s="33"/>
      <c r="M26" s="34"/>
    </row>
    <row r="27" spans="1:19" x14ac:dyDescent="0.15">
      <c r="A27" s="25">
        <v>41963</v>
      </c>
      <c r="B27" s="37"/>
      <c r="C27" s="26"/>
      <c r="D27" s="26"/>
      <c r="E27" s="38"/>
      <c r="F27" s="28" t="s">
        <v>22</v>
      </c>
      <c r="G27" s="29" t="s">
        <v>22</v>
      </c>
      <c r="H27" s="39" t="s">
        <v>22</v>
      </c>
      <c r="I27" s="30" t="s">
        <v>22</v>
      </c>
      <c r="J27" s="31" t="s">
        <v>22</v>
      </c>
      <c r="K27" s="32" t="s">
        <v>22</v>
      </c>
      <c r="L27" s="33"/>
      <c r="M27" s="34"/>
    </row>
    <row r="28" spans="1:19" x14ac:dyDescent="0.15">
      <c r="A28" s="25">
        <v>41964</v>
      </c>
      <c r="B28" s="37"/>
      <c r="C28" s="26"/>
      <c r="D28" s="26"/>
      <c r="E28" s="38"/>
      <c r="F28" s="28" t="s">
        <v>22</v>
      </c>
      <c r="G28" s="29" t="s">
        <v>22</v>
      </c>
      <c r="H28" s="39" t="s">
        <v>22</v>
      </c>
      <c r="I28" s="30" t="s">
        <v>22</v>
      </c>
      <c r="J28" s="31" t="s">
        <v>22</v>
      </c>
      <c r="K28" s="32" t="s">
        <v>22</v>
      </c>
      <c r="L28" s="33"/>
      <c r="M28" s="34"/>
    </row>
    <row r="29" spans="1:19" x14ac:dyDescent="0.15">
      <c r="A29" s="25">
        <v>41965</v>
      </c>
      <c r="B29" s="37"/>
      <c r="C29" s="37"/>
      <c r="D29" s="37"/>
      <c r="E29" s="38"/>
      <c r="F29" s="28" t="s">
        <v>22</v>
      </c>
      <c r="G29" s="29" t="s">
        <v>22</v>
      </c>
      <c r="H29" s="39" t="s">
        <v>22</v>
      </c>
      <c r="I29" s="30" t="s">
        <v>22</v>
      </c>
      <c r="J29" s="31" t="s">
        <v>22</v>
      </c>
      <c r="K29" s="32" t="s">
        <v>22</v>
      </c>
      <c r="L29" s="33"/>
      <c r="M29" s="34"/>
    </row>
    <row r="30" spans="1:19" x14ac:dyDescent="0.15">
      <c r="A30" s="25">
        <v>41966</v>
      </c>
      <c r="B30" s="37"/>
      <c r="C30" s="26"/>
      <c r="D30" s="26"/>
      <c r="E30" s="38"/>
      <c r="F30" s="28" t="s">
        <v>22</v>
      </c>
      <c r="G30" s="29" t="s">
        <v>22</v>
      </c>
      <c r="H30" s="39" t="s">
        <v>22</v>
      </c>
      <c r="I30" s="30" t="s">
        <v>22</v>
      </c>
      <c r="J30" s="31" t="s">
        <v>22</v>
      </c>
      <c r="K30" s="32" t="s">
        <v>22</v>
      </c>
      <c r="L30" s="33"/>
      <c r="M30" s="34"/>
    </row>
    <row r="31" spans="1:19" x14ac:dyDescent="0.15">
      <c r="A31" s="25">
        <v>41967</v>
      </c>
      <c r="B31" s="37"/>
      <c r="C31" s="37"/>
      <c r="D31" s="37"/>
      <c r="E31" s="38"/>
      <c r="F31" s="28" t="s">
        <v>22</v>
      </c>
      <c r="G31" s="29" t="s">
        <v>22</v>
      </c>
      <c r="H31" s="39" t="s">
        <v>22</v>
      </c>
      <c r="I31" s="30" t="s">
        <v>22</v>
      </c>
      <c r="J31" s="31" t="s">
        <v>22</v>
      </c>
      <c r="K31" s="32" t="s">
        <v>22</v>
      </c>
      <c r="L31" s="33"/>
      <c r="M31" s="34"/>
    </row>
    <row r="32" spans="1:19" x14ac:dyDescent="0.15">
      <c r="A32" s="25">
        <v>41968</v>
      </c>
      <c r="B32" s="37"/>
      <c r="C32" s="37"/>
      <c r="D32" s="37"/>
      <c r="E32" s="38"/>
      <c r="F32" s="28" t="s">
        <v>22</v>
      </c>
      <c r="G32" s="29" t="s">
        <v>22</v>
      </c>
      <c r="H32" s="39" t="s">
        <v>22</v>
      </c>
      <c r="I32" s="30" t="s">
        <v>22</v>
      </c>
      <c r="J32" s="31" t="s">
        <v>22</v>
      </c>
      <c r="K32" s="32" t="s">
        <v>22</v>
      </c>
      <c r="L32" s="33"/>
      <c r="M32" s="34"/>
    </row>
    <row r="33" spans="1:13" x14ac:dyDescent="0.15">
      <c r="A33" s="25">
        <v>41969</v>
      </c>
      <c r="B33" s="37"/>
      <c r="C33" s="26"/>
      <c r="D33" s="26"/>
      <c r="E33" s="38"/>
      <c r="F33" s="28" t="s">
        <v>22</v>
      </c>
      <c r="G33" s="29" t="s">
        <v>22</v>
      </c>
      <c r="H33" s="39" t="s">
        <v>22</v>
      </c>
      <c r="I33" s="30" t="s">
        <v>22</v>
      </c>
      <c r="J33" s="31" t="s">
        <v>22</v>
      </c>
      <c r="K33" s="32" t="s">
        <v>22</v>
      </c>
      <c r="L33" s="33"/>
      <c r="M33" s="34"/>
    </row>
    <row r="34" spans="1:13" x14ac:dyDescent="0.15">
      <c r="A34" s="25">
        <v>41970</v>
      </c>
      <c r="B34" s="37"/>
      <c r="C34" s="26"/>
      <c r="D34" s="26"/>
      <c r="E34" s="38"/>
      <c r="F34" s="28" t="s">
        <v>22</v>
      </c>
      <c r="G34" s="29" t="s">
        <v>22</v>
      </c>
      <c r="H34" s="39" t="s">
        <v>22</v>
      </c>
      <c r="I34" s="30" t="s">
        <v>22</v>
      </c>
      <c r="J34" s="31" t="s">
        <v>22</v>
      </c>
      <c r="K34" s="32" t="s">
        <v>22</v>
      </c>
      <c r="L34" s="33"/>
      <c r="M34" s="34"/>
    </row>
    <row r="35" spans="1:13" x14ac:dyDescent="0.15">
      <c r="A35" s="25">
        <v>41971</v>
      </c>
      <c r="B35" s="37">
        <v>0.57013888888888886</v>
      </c>
      <c r="C35" s="26"/>
      <c r="D35" s="26"/>
      <c r="E35" s="38">
        <v>0.62847222222222221</v>
      </c>
      <c r="F35" s="28">
        <v>0.57291666666666663</v>
      </c>
      <c r="G35" s="29">
        <v>0.625</v>
      </c>
      <c r="H35" s="39">
        <v>5.208333333333337E-2</v>
      </c>
      <c r="I35" s="30" t="s">
        <v>22</v>
      </c>
      <c r="J35" s="31">
        <v>1.2500000000000009</v>
      </c>
      <c r="K35" s="32">
        <v>1500</v>
      </c>
      <c r="L35" s="33"/>
      <c r="M35" s="34"/>
    </row>
    <row r="36" spans="1:13" x14ac:dyDescent="0.15">
      <c r="A36" s="25">
        <v>41972</v>
      </c>
      <c r="B36" s="37"/>
      <c r="C36" s="26"/>
      <c r="D36" s="26"/>
      <c r="E36" s="38"/>
      <c r="F36" s="28" t="s">
        <v>22</v>
      </c>
      <c r="G36" s="29" t="s">
        <v>22</v>
      </c>
      <c r="H36" s="39" t="s">
        <v>22</v>
      </c>
      <c r="I36" s="30" t="s">
        <v>22</v>
      </c>
      <c r="J36" s="31" t="s">
        <v>22</v>
      </c>
      <c r="K36" s="32" t="s">
        <v>22</v>
      </c>
      <c r="L36" s="33"/>
      <c r="M36" s="34"/>
    </row>
    <row r="37" spans="1:13" x14ac:dyDescent="0.15">
      <c r="A37" s="25">
        <v>41973</v>
      </c>
      <c r="B37" s="37"/>
      <c r="C37" s="26"/>
      <c r="D37" s="26"/>
      <c r="E37" s="38"/>
      <c r="F37" s="28" t="s">
        <v>22</v>
      </c>
      <c r="G37" s="29" t="s">
        <v>22</v>
      </c>
      <c r="H37" s="39" t="s">
        <v>22</v>
      </c>
      <c r="I37" s="30" t="s">
        <v>22</v>
      </c>
      <c r="J37" s="31" t="s">
        <v>22</v>
      </c>
      <c r="K37" s="32" t="s">
        <v>22</v>
      </c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 t="s">
        <v>22</v>
      </c>
      <c r="G38" s="45" t="s">
        <v>22</v>
      </c>
      <c r="H38" s="46" t="s">
        <v>22</v>
      </c>
      <c r="I38" s="47" t="s">
        <v>22</v>
      </c>
      <c r="J38" s="48" t="s">
        <v>22</v>
      </c>
      <c r="K38" s="49" t="s">
        <v>22</v>
      </c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8:M38">
    <cfRule type="expression" dxfId="72" priority="7" stopIfTrue="1">
      <formula>MATCH($A8,休日,0)&gt;0</formula>
    </cfRule>
    <cfRule type="expression" dxfId="71" priority="8" stopIfTrue="1">
      <formula>WEEKDAY($A8)=1</formula>
    </cfRule>
    <cfRule type="expression" dxfId="70" priority="9" stopIfTrue="1">
      <formula>WEEKDAY($A8)=7</formula>
    </cfRule>
  </conditionalFormatting>
  <conditionalFormatting sqref="E8:E38">
    <cfRule type="cellIs" dxfId="69" priority="11" stopIfTrue="1" operator="greaterThan">
      <formula>0.916666666666667</formula>
    </cfRule>
  </conditionalFormatting>
  <conditionalFormatting sqref="J8:J38">
    <cfRule type="expression" dxfId="68" priority="10" stopIfTrue="1">
      <formula>$B8=""</formula>
    </cfRule>
    <cfRule type="expression" dxfId="67" priority="12" stopIfTrue="1">
      <formula>$J8&gt;8</formula>
    </cfRule>
  </conditionalFormatting>
  <conditionalFormatting sqref="I8:I38">
    <cfRule type="expression" dxfId="66" priority="4" stopIfTrue="1">
      <formula>MATCH($A8,休日,0)&gt;0</formula>
    </cfRule>
    <cfRule type="expression" dxfId="65" priority="5" stopIfTrue="1">
      <formula>WEEKDAY($A8)=1</formula>
    </cfRule>
    <cfRule type="expression" dxfId="64" priority="6" stopIfTrue="1">
      <formula>WEEKDAY($A8)=7</formula>
    </cfRule>
  </conditionalFormatting>
  <conditionalFormatting sqref="I8:I38">
    <cfRule type="expression" dxfId="63" priority="1" stopIfTrue="1">
      <formula>MATCH($A8,休日,0)&gt;0</formula>
    </cfRule>
    <cfRule type="expression" dxfId="62" priority="2" stopIfTrue="1">
      <formula>WEEKDAY($A8)=1</formula>
    </cfRule>
    <cfRule type="expression" dxfId="61" priority="3" stopIfTrue="1">
      <formula>WEEKDAY($A8)=7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A5" sqref="A5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7.2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29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8</v>
      </c>
      <c r="K3" s="82" t="s">
        <v>6</v>
      </c>
      <c r="L3" s="55">
        <f>SUM($K$8:$K$38)</f>
        <v>8000</v>
      </c>
      <c r="M3" s="56"/>
    </row>
    <row r="4" spans="1:19" ht="14.25" thickBot="1" x14ac:dyDescent="0.2">
      <c r="A4" s="12" t="s">
        <v>25</v>
      </c>
      <c r="B4" s="84">
        <v>1000</v>
      </c>
      <c r="C4" s="85"/>
      <c r="E4" s="81"/>
      <c r="F4" s="14" t="s">
        <v>7</v>
      </c>
      <c r="G4" s="15">
        <v>0.95833333333333337</v>
      </c>
      <c r="H4" s="9"/>
      <c r="I4" s="16" t="s">
        <v>8</v>
      </c>
      <c r="J4" s="17">
        <f>SUM($J$8:$J$38)</f>
        <v>36.999999999999993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 t="s">
        <v>22</v>
      </c>
      <c r="G8" s="29" t="s">
        <v>22</v>
      </c>
      <c r="H8" s="28" t="s">
        <v>22</v>
      </c>
      <c r="I8" s="30" t="s">
        <v>22</v>
      </c>
      <c r="J8" s="31" t="s">
        <v>22</v>
      </c>
      <c r="K8" s="32" t="s">
        <v>22</v>
      </c>
      <c r="L8" s="33"/>
      <c r="M8" s="34"/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26"/>
      <c r="D9" s="26"/>
      <c r="E9" s="38"/>
      <c r="F9" s="28" t="s">
        <v>22</v>
      </c>
      <c r="G9" s="29" t="s">
        <v>22</v>
      </c>
      <c r="H9" s="39" t="s">
        <v>22</v>
      </c>
      <c r="I9" s="30" t="s">
        <v>22</v>
      </c>
      <c r="J9" s="31" t="s">
        <v>22</v>
      </c>
      <c r="K9" s="32" t="s">
        <v>22</v>
      </c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26"/>
      <c r="D10" s="37"/>
      <c r="E10" s="38"/>
      <c r="F10" s="28" t="s">
        <v>22</v>
      </c>
      <c r="G10" s="29" t="s">
        <v>22</v>
      </c>
      <c r="H10" s="39" t="s">
        <v>22</v>
      </c>
      <c r="I10" s="30" t="s">
        <v>22</v>
      </c>
      <c r="J10" s="31" t="s">
        <v>22</v>
      </c>
      <c r="K10" s="32" t="s">
        <v>22</v>
      </c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26"/>
      <c r="D11" s="37"/>
      <c r="E11" s="38"/>
      <c r="F11" s="28" t="s">
        <v>22</v>
      </c>
      <c r="G11" s="29" t="s">
        <v>22</v>
      </c>
      <c r="H11" s="39" t="s">
        <v>22</v>
      </c>
      <c r="I11" s="30" t="s">
        <v>22</v>
      </c>
      <c r="J11" s="31" t="s">
        <v>22</v>
      </c>
      <c r="K11" s="32" t="s">
        <v>22</v>
      </c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 t="s">
        <v>22</v>
      </c>
      <c r="G12" s="29" t="s">
        <v>22</v>
      </c>
      <c r="H12" s="39" t="s">
        <v>22</v>
      </c>
      <c r="I12" s="30" t="s">
        <v>22</v>
      </c>
      <c r="J12" s="31" t="s">
        <v>22</v>
      </c>
      <c r="K12" s="32" t="s">
        <v>22</v>
      </c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 t="s">
        <v>22</v>
      </c>
      <c r="G13" s="29" t="s">
        <v>22</v>
      </c>
      <c r="H13" s="39" t="s">
        <v>22</v>
      </c>
      <c r="I13" s="30" t="s">
        <v>22</v>
      </c>
      <c r="J13" s="31" t="s">
        <v>22</v>
      </c>
      <c r="K13" s="32" t="s">
        <v>22</v>
      </c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26"/>
      <c r="D14" s="26"/>
      <c r="E14" s="38"/>
      <c r="F14" s="28" t="s">
        <v>22</v>
      </c>
      <c r="G14" s="29" t="s">
        <v>22</v>
      </c>
      <c r="H14" s="39" t="s">
        <v>22</v>
      </c>
      <c r="I14" s="30" t="s">
        <v>22</v>
      </c>
      <c r="J14" s="31" t="s">
        <v>22</v>
      </c>
      <c r="K14" s="32" t="s">
        <v>22</v>
      </c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26"/>
      <c r="D15" s="26"/>
      <c r="E15" s="38"/>
      <c r="F15" s="28" t="s">
        <v>22</v>
      </c>
      <c r="G15" s="29" t="s">
        <v>22</v>
      </c>
      <c r="H15" s="39" t="s">
        <v>22</v>
      </c>
      <c r="I15" s="30" t="s">
        <v>22</v>
      </c>
      <c r="J15" s="31" t="s">
        <v>22</v>
      </c>
      <c r="K15" s="32" t="s">
        <v>22</v>
      </c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37"/>
      <c r="D16" s="26"/>
      <c r="E16" s="38"/>
      <c r="F16" s="28" t="s">
        <v>22</v>
      </c>
      <c r="G16" s="29" t="s">
        <v>22</v>
      </c>
      <c r="H16" s="39" t="s">
        <v>22</v>
      </c>
      <c r="I16" s="30" t="s">
        <v>22</v>
      </c>
      <c r="J16" s="31" t="s">
        <v>22</v>
      </c>
      <c r="K16" s="32" t="s">
        <v>22</v>
      </c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/>
      <c r="C17" s="37"/>
      <c r="D17" s="37"/>
      <c r="E17" s="38"/>
      <c r="F17" s="28" t="s">
        <v>22</v>
      </c>
      <c r="G17" s="29" t="s">
        <v>22</v>
      </c>
      <c r="H17" s="39" t="s">
        <v>22</v>
      </c>
      <c r="I17" s="30" t="s">
        <v>22</v>
      </c>
      <c r="J17" s="31" t="s">
        <v>22</v>
      </c>
      <c r="K17" s="32" t="s">
        <v>22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/>
      <c r="C18" s="37"/>
      <c r="D18" s="37"/>
      <c r="E18" s="38"/>
      <c r="F18" s="28" t="s">
        <v>22</v>
      </c>
      <c r="G18" s="29" t="s">
        <v>22</v>
      </c>
      <c r="H18" s="39" t="s">
        <v>22</v>
      </c>
      <c r="I18" s="30" t="s">
        <v>22</v>
      </c>
      <c r="J18" s="31" t="s">
        <v>22</v>
      </c>
      <c r="K18" s="32" t="s">
        <v>22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/>
      <c r="C19" s="37"/>
      <c r="D19" s="26"/>
      <c r="E19" s="38"/>
      <c r="F19" s="28" t="s">
        <v>22</v>
      </c>
      <c r="G19" s="29" t="s">
        <v>22</v>
      </c>
      <c r="H19" s="39" t="s">
        <v>22</v>
      </c>
      <c r="I19" s="30" t="s">
        <v>22</v>
      </c>
      <c r="J19" s="31" t="s">
        <v>22</v>
      </c>
      <c r="K19" s="32" t="s">
        <v>22</v>
      </c>
      <c r="L19" s="33"/>
      <c r="M19" s="34"/>
    </row>
    <row r="20" spans="1:19" x14ac:dyDescent="0.15">
      <c r="A20" s="25">
        <v>41956</v>
      </c>
      <c r="B20" s="37"/>
      <c r="C20" s="37"/>
      <c r="D20" s="26"/>
      <c r="E20" s="38"/>
      <c r="F20" s="28" t="s">
        <v>22</v>
      </c>
      <c r="G20" s="29" t="s">
        <v>22</v>
      </c>
      <c r="H20" s="39" t="s">
        <v>22</v>
      </c>
      <c r="I20" s="30" t="s">
        <v>22</v>
      </c>
      <c r="J20" s="31" t="s">
        <v>22</v>
      </c>
      <c r="K20" s="32" t="s">
        <v>22</v>
      </c>
      <c r="L20" s="33"/>
      <c r="M20" s="34"/>
    </row>
    <row r="21" spans="1:19" x14ac:dyDescent="0.15">
      <c r="A21" s="25">
        <v>41957</v>
      </c>
      <c r="B21" s="37"/>
      <c r="C21" s="37"/>
      <c r="D21" s="26"/>
      <c r="E21" s="38"/>
      <c r="F21" s="28" t="s">
        <v>22</v>
      </c>
      <c r="G21" s="29" t="s">
        <v>22</v>
      </c>
      <c r="H21" s="39" t="s">
        <v>22</v>
      </c>
      <c r="I21" s="30" t="s">
        <v>22</v>
      </c>
      <c r="J21" s="31" t="s">
        <v>22</v>
      </c>
      <c r="K21" s="32" t="s">
        <v>22</v>
      </c>
      <c r="L21" s="33"/>
      <c r="M21" s="34"/>
    </row>
    <row r="22" spans="1:19" x14ac:dyDescent="0.15">
      <c r="A22" s="25">
        <v>41958</v>
      </c>
      <c r="B22" s="37"/>
      <c r="C22" s="37"/>
      <c r="D22" s="26"/>
      <c r="E22" s="38"/>
      <c r="F22" s="28" t="s">
        <v>22</v>
      </c>
      <c r="G22" s="29" t="s">
        <v>22</v>
      </c>
      <c r="H22" s="39" t="s">
        <v>22</v>
      </c>
      <c r="I22" s="30" t="s">
        <v>22</v>
      </c>
      <c r="J22" s="31" t="s">
        <v>22</v>
      </c>
      <c r="K22" s="32" t="s">
        <v>22</v>
      </c>
      <c r="L22" s="33"/>
      <c r="M22" s="34"/>
    </row>
    <row r="23" spans="1:19" x14ac:dyDescent="0.15">
      <c r="A23" s="25">
        <v>41959</v>
      </c>
      <c r="B23" s="37"/>
      <c r="C23" s="37"/>
      <c r="D23" s="26"/>
      <c r="E23" s="38"/>
      <c r="F23" s="28" t="s">
        <v>22</v>
      </c>
      <c r="G23" s="29" t="s">
        <v>22</v>
      </c>
      <c r="H23" s="39" t="s">
        <v>22</v>
      </c>
      <c r="I23" s="30" t="s">
        <v>22</v>
      </c>
      <c r="J23" s="31" t="s">
        <v>22</v>
      </c>
      <c r="K23" s="32" t="s">
        <v>22</v>
      </c>
      <c r="L23" s="33"/>
      <c r="M23" s="34"/>
    </row>
    <row r="24" spans="1:19" x14ac:dyDescent="0.15">
      <c r="A24" s="25">
        <v>41960</v>
      </c>
      <c r="B24" s="37"/>
      <c r="C24" s="37"/>
      <c r="D24" s="37"/>
      <c r="E24" s="38"/>
      <c r="F24" s="28" t="s">
        <v>22</v>
      </c>
      <c r="G24" s="29" t="s">
        <v>22</v>
      </c>
      <c r="H24" s="39" t="s">
        <v>22</v>
      </c>
      <c r="I24" s="30" t="s">
        <v>22</v>
      </c>
      <c r="J24" s="31" t="s">
        <v>22</v>
      </c>
      <c r="K24" s="32" t="s">
        <v>22</v>
      </c>
      <c r="L24" s="33"/>
      <c r="M24" s="34"/>
    </row>
    <row r="25" spans="1:19" x14ac:dyDescent="0.15">
      <c r="A25" s="25">
        <v>41961</v>
      </c>
      <c r="B25" s="37">
        <v>0.39583333333333331</v>
      </c>
      <c r="C25" s="37">
        <v>0.5</v>
      </c>
      <c r="D25" s="37">
        <v>0.54166666666666663</v>
      </c>
      <c r="E25" s="37">
        <v>0.71180555555555547</v>
      </c>
      <c r="F25" s="28">
        <v>0.39583333333333331</v>
      </c>
      <c r="G25" s="29">
        <v>0.70833333333333326</v>
      </c>
      <c r="H25" s="39">
        <v>0.31249999999999994</v>
      </c>
      <c r="I25" s="30">
        <v>4.1666666666666664E-2</v>
      </c>
      <c r="J25" s="31">
        <v>6.4999999999999982</v>
      </c>
      <c r="K25" s="32">
        <v>1000</v>
      </c>
      <c r="L25" s="33"/>
      <c r="M25" s="34"/>
    </row>
    <row r="26" spans="1:19" x14ac:dyDescent="0.15">
      <c r="A26" s="25">
        <v>41962</v>
      </c>
      <c r="B26" s="37">
        <v>0.39305555555555555</v>
      </c>
      <c r="C26" s="37">
        <v>0.5</v>
      </c>
      <c r="D26" s="37">
        <v>0.54166666666666663</v>
      </c>
      <c r="E26" s="26">
        <v>0.70277777777777783</v>
      </c>
      <c r="F26" s="28">
        <v>0.39583333333333331</v>
      </c>
      <c r="G26" s="29">
        <v>0.69791666666666663</v>
      </c>
      <c r="H26" s="39">
        <v>0.30208333333333331</v>
      </c>
      <c r="I26" s="30">
        <v>4.1666666666666664E-2</v>
      </c>
      <c r="J26" s="31">
        <v>6.2499999999999991</v>
      </c>
      <c r="K26" s="32">
        <v>1000</v>
      </c>
      <c r="L26" s="33"/>
      <c r="M26" s="34"/>
    </row>
    <row r="27" spans="1:19" x14ac:dyDescent="0.15">
      <c r="A27" s="25">
        <v>41963</v>
      </c>
      <c r="B27" s="37">
        <v>0.40347222222222223</v>
      </c>
      <c r="C27" s="37">
        <v>0.5</v>
      </c>
      <c r="D27" s="37">
        <v>0.54166666666666663</v>
      </c>
      <c r="E27" s="37">
        <v>0.64583333333333337</v>
      </c>
      <c r="F27" s="28">
        <v>0.40625</v>
      </c>
      <c r="G27" s="29">
        <v>0.64583333333333326</v>
      </c>
      <c r="H27" s="39">
        <v>0.23958333333333326</v>
      </c>
      <c r="I27" s="30">
        <v>4.1666666666666664E-2</v>
      </c>
      <c r="J27" s="31">
        <v>4.7499999999999982</v>
      </c>
      <c r="K27" s="32">
        <v>1000</v>
      </c>
      <c r="L27" s="33"/>
      <c r="M27" s="34"/>
    </row>
    <row r="28" spans="1:19" x14ac:dyDescent="0.15">
      <c r="A28" s="25">
        <v>41964</v>
      </c>
      <c r="B28" s="37">
        <v>0.3888888888888889</v>
      </c>
      <c r="C28" s="37">
        <v>0.5</v>
      </c>
      <c r="D28" s="37">
        <v>0.54166666666666663</v>
      </c>
      <c r="E28" s="26">
        <v>0.64583333333333337</v>
      </c>
      <c r="F28" s="28">
        <v>0.39583333333333331</v>
      </c>
      <c r="G28" s="29">
        <v>0.64583333333333326</v>
      </c>
      <c r="H28" s="39">
        <v>0.24999999999999994</v>
      </c>
      <c r="I28" s="30">
        <v>4.1666666666666664E-2</v>
      </c>
      <c r="J28" s="31">
        <v>4.9999999999999991</v>
      </c>
      <c r="K28" s="32">
        <v>1000</v>
      </c>
      <c r="L28" s="33"/>
      <c r="M28" s="34"/>
    </row>
    <row r="29" spans="1:19" x14ac:dyDescent="0.15">
      <c r="A29" s="25">
        <v>41965</v>
      </c>
      <c r="B29" s="37"/>
      <c r="C29" s="37"/>
      <c r="D29" s="26"/>
      <c r="E29" s="26"/>
      <c r="F29" s="28" t="s">
        <v>22</v>
      </c>
      <c r="G29" s="29" t="s">
        <v>22</v>
      </c>
      <c r="H29" s="39" t="s">
        <v>22</v>
      </c>
      <c r="I29" s="30" t="s">
        <v>22</v>
      </c>
      <c r="J29" s="31" t="s">
        <v>22</v>
      </c>
      <c r="K29" s="32" t="s">
        <v>22</v>
      </c>
      <c r="L29" s="33"/>
      <c r="M29" s="34"/>
    </row>
    <row r="30" spans="1:19" x14ac:dyDescent="0.15">
      <c r="A30" s="25">
        <v>41966</v>
      </c>
      <c r="B30" s="37"/>
      <c r="C30" s="37"/>
      <c r="D30" s="26"/>
      <c r="E30" s="26"/>
      <c r="F30" s="28" t="s">
        <v>22</v>
      </c>
      <c r="G30" s="29" t="s">
        <v>22</v>
      </c>
      <c r="H30" s="39" t="s">
        <v>22</v>
      </c>
      <c r="I30" s="30" t="s">
        <v>22</v>
      </c>
      <c r="J30" s="31" t="s">
        <v>22</v>
      </c>
      <c r="K30" s="32" t="s">
        <v>22</v>
      </c>
      <c r="L30" s="33"/>
      <c r="M30" s="34"/>
    </row>
    <row r="31" spans="1:19" x14ac:dyDescent="0.15">
      <c r="A31" s="25">
        <v>41967</v>
      </c>
      <c r="B31" s="37"/>
      <c r="C31" s="37"/>
      <c r="D31" s="37"/>
      <c r="E31" s="37"/>
      <c r="F31" s="28" t="s">
        <v>22</v>
      </c>
      <c r="G31" s="29" t="s">
        <v>22</v>
      </c>
      <c r="H31" s="39" t="s">
        <v>22</v>
      </c>
      <c r="I31" s="30" t="s">
        <v>22</v>
      </c>
      <c r="J31" s="31" t="s">
        <v>22</v>
      </c>
      <c r="K31" s="32" t="s">
        <v>22</v>
      </c>
      <c r="L31" s="33"/>
      <c r="M31" s="34"/>
    </row>
    <row r="32" spans="1:19" x14ac:dyDescent="0.15">
      <c r="A32" s="25">
        <v>41968</v>
      </c>
      <c r="B32" s="37">
        <v>0.3923611111111111</v>
      </c>
      <c r="C32" s="37">
        <v>0.5</v>
      </c>
      <c r="D32" s="37">
        <v>0.54166666666666663</v>
      </c>
      <c r="E32" s="37">
        <v>0.64652777777777781</v>
      </c>
      <c r="F32" s="28">
        <v>0.39583333333333331</v>
      </c>
      <c r="G32" s="29">
        <v>0.64583333333333326</v>
      </c>
      <c r="H32" s="39">
        <v>0.24999999999999994</v>
      </c>
      <c r="I32" s="30">
        <v>4.1666666666666664E-2</v>
      </c>
      <c r="J32" s="31">
        <v>4.9999999999999991</v>
      </c>
      <c r="K32" s="32">
        <v>1000</v>
      </c>
      <c r="L32" s="33"/>
      <c r="M32" s="34"/>
    </row>
    <row r="33" spans="1:13" x14ac:dyDescent="0.15">
      <c r="A33" s="25">
        <v>41969</v>
      </c>
      <c r="B33" s="37">
        <v>0.38958333333333334</v>
      </c>
      <c r="C33" s="37">
        <v>0.5</v>
      </c>
      <c r="D33" s="37">
        <v>0.54166666666666663</v>
      </c>
      <c r="E33" s="26">
        <v>0.4770833333333333</v>
      </c>
      <c r="F33" s="28">
        <v>0.39583333333333331</v>
      </c>
      <c r="G33" s="29">
        <v>0.46875</v>
      </c>
      <c r="H33" s="39">
        <v>7.2916666666666685E-2</v>
      </c>
      <c r="I33" s="30">
        <v>4.1666666666666664E-2</v>
      </c>
      <c r="J33" s="31">
        <v>0.75000000000000044</v>
      </c>
      <c r="K33" s="32">
        <v>1000</v>
      </c>
      <c r="L33" s="33"/>
      <c r="M33" s="34"/>
    </row>
    <row r="34" spans="1:13" x14ac:dyDescent="0.15">
      <c r="A34" s="25">
        <v>41970</v>
      </c>
      <c r="B34" s="37">
        <v>0.39652777777777781</v>
      </c>
      <c r="C34" s="37">
        <v>0.5</v>
      </c>
      <c r="D34" s="37">
        <v>0.54166666666666663</v>
      </c>
      <c r="E34" s="26">
        <v>0.63611111111111118</v>
      </c>
      <c r="F34" s="28">
        <v>0.40625</v>
      </c>
      <c r="G34" s="29">
        <v>0.63541666666666663</v>
      </c>
      <c r="H34" s="39">
        <v>0.22916666666666663</v>
      </c>
      <c r="I34" s="30">
        <v>4.1666666666666664E-2</v>
      </c>
      <c r="J34" s="31">
        <v>4.4999999999999991</v>
      </c>
      <c r="K34" s="32">
        <v>1000</v>
      </c>
      <c r="L34" s="33"/>
      <c r="M34" s="34"/>
    </row>
    <row r="35" spans="1:13" x14ac:dyDescent="0.15">
      <c r="A35" s="25">
        <v>41971</v>
      </c>
      <c r="B35" s="37">
        <v>0.39166666666666666</v>
      </c>
      <c r="C35" s="37">
        <v>0.5</v>
      </c>
      <c r="D35" s="37">
        <v>0.54166666666666663</v>
      </c>
      <c r="E35" s="26">
        <v>0.62222222222222223</v>
      </c>
      <c r="F35" s="28">
        <v>0.39583333333333331</v>
      </c>
      <c r="G35" s="29">
        <v>0.61458333333333326</v>
      </c>
      <c r="H35" s="39">
        <v>0.21874999999999994</v>
      </c>
      <c r="I35" s="30">
        <v>4.1666666666666664E-2</v>
      </c>
      <c r="J35" s="31">
        <v>4.2499999999999991</v>
      </c>
      <c r="K35" s="32">
        <v>1000</v>
      </c>
      <c r="L35" s="33"/>
      <c r="M35" s="34"/>
    </row>
    <row r="36" spans="1:13" x14ac:dyDescent="0.15">
      <c r="A36" s="25">
        <v>41972</v>
      </c>
      <c r="B36" s="37"/>
      <c r="C36" s="37"/>
      <c r="D36" s="26"/>
      <c r="E36" s="38"/>
      <c r="F36" s="28" t="s">
        <v>22</v>
      </c>
      <c r="G36" s="29" t="s">
        <v>22</v>
      </c>
      <c r="H36" s="39" t="s">
        <v>22</v>
      </c>
      <c r="I36" s="30" t="s">
        <v>22</v>
      </c>
      <c r="J36" s="31" t="s">
        <v>22</v>
      </c>
      <c r="K36" s="32" t="s">
        <v>22</v>
      </c>
      <c r="L36" s="33"/>
      <c r="M36" s="34"/>
    </row>
    <row r="37" spans="1:13" x14ac:dyDescent="0.15">
      <c r="A37" s="25">
        <v>41973</v>
      </c>
      <c r="B37" s="37"/>
      <c r="C37" s="37"/>
      <c r="D37" s="37"/>
      <c r="E37" s="38"/>
      <c r="F37" s="28" t="s">
        <v>22</v>
      </c>
      <c r="G37" s="29" t="s">
        <v>22</v>
      </c>
      <c r="H37" s="39" t="s">
        <v>22</v>
      </c>
      <c r="I37" s="30" t="s">
        <v>22</v>
      </c>
      <c r="J37" s="31" t="s">
        <v>22</v>
      </c>
      <c r="K37" s="32" t="s">
        <v>22</v>
      </c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 t="s">
        <v>22</v>
      </c>
      <c r="G38" s="45" t="s">
        <v>22</v>
      </c>
      <c r="H38" s="46" t="s">
        <v>22</v>
      </c>
      <c r="I38" s="47" t="s">
        <v>22</v>
      </c>
      <c r="J38" s="48" t="s">
        <v>22</v>
      </c>
      <c r="K38" s="49" t="s">
        <v>22</v>
      </c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38:M38 A37:C37 E37:M37 A8:M36">
    <cfRule type="expression" dxfId="60" priority="10" stopIfTrue="1">
      <formula>MATCH($A8,休日,0)&gt;0</formula>
    </cfRule>
    <cfRule type="expression" dxfId="59" priority="11" stopIfTrue="1">
      <formula>WEEKDAY($A8)=1</formula>
    </cfRule>
    <cfRule type="expression" dxfId="58" priority="12" stopIfTrue="1">
      <formula>WEEKDAY($A8)=7</formula>
    </cfRule>
  </conditionalFormatting>
  <conditionalFormatting sqref="E8:E38">
    <cfRule type="cellIs" dxfId="57" priority="14" stopIfTrue="1" operator="greaterThan">
      <formula>0.916666666666667</formula>
    </cfRule>
  </conditionalFormatting>
  <conditionalFormatting sqref="J8:J38">
    <cfRule type="expression" dxfId="56" priority="13" stopIfTrue="1">
      <formula>$B8=""</formula>
    </cfRule>
    <cfRule type="expression" dxfId="55" priority="15" stopIfTrue="1">
      <formula>$J8&gt;8</formula>
    </cfRule>
  </conditionalFormatting>
  <conditionalFormatting sqref="I8:I38">
    <cfRule type="expression" dxfId="54" priority="7" stopIfTrue="1">
      <formula>MATCH($A8,休日,0)&gt;0</formula>
    </cfRule>
    <cfRule type="expression" dxfId="53" priority="8" stopIfTrue="1">
      <formula>WEEKDAY($A8)=1</formula>
    </cfRule>
    <cfRule type="expression" dxfId="52" priority="9" stopIfTrue="1">
      <formula>WEEKDAY($A8)=7</formula>
    </cfRule>
  </conditionalFormatting>
  <conditionalFormatting sqref="I8:I38">
    <cfRule type="expression" dxfId="51" priority="4" stopIfTrue="1">
      <formula>MATCH($A8,休日,0)&gt;0</formula>
    </cfRule>
    <cfRule type="expression" dxfId="50" priority="5" stopIfTrue="1">
      <formula>WEEKDAY($A8)=1</formula>
    </cfRule>
    <cfRule type="expression" dxfId="49" priority="6" stopIfTrue="1">
      <formula>WEEKDAY($A8)=7</formula>
    </cfRule>
  </conditionalFormatting>
  <conditionalFormatting sqref="D37">
    <cfRule type="expression" dxfId="48" priority="1" stopIfTrue="1">
      <formula>MATCH($A37,休日,0)&gt;0</formula>
    </cfRule>
    <cfRule type="expression" dxfId="47" priority="2" stopIfTrue="1">
      <formula>WEEKDAY($A37)=1</formula>
    </cfRule>
    <cfRule type="expression" dxfId="46" priority="3" stopIfTrue="1">
      <formula>WEEKDAY($A37)=7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A5" sqref="A5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7.12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30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5</v>
      </c>
      <c r="K3" s="82" t="s">
        <v>6</v>
      </c>
      <c r="L3" s="55">
        <f>SUM($K$8:$K$38)</f>
        <v>10000</v>
      </c>
      <c r="M3" s="56"/>
    </row>
    <row r="4" spans="1:19" ht="14.25" thickBot="1" x14ac:dyDescent="0.2">
      <c r="A4" s="12" t="s">
        <v>25</v>
      </c>
      <c r="B4" s="84">
        <v>1000</v>
      </c>
      <c r="C4" s="85"/>
      <c r="E4" s="81"/>
      <c r="F4" s="14" t="s">
        <v>7</v>
      </c>
      <c r="G4" s="15">
        <v>0.875</v>
      </c>
      <c r="H4" s="9"/>
      <c r="I4" s="16" t="s">
        <v>8</v>
      </c>
      <c r="J4" s="17">
        <f>SUM($J$8:$J$38)</f>
        <v>20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 t="s">
        <v>22</v>
      </c>
      <c r="G8" s="29" t="s">
        <v>22</v>
      </c>
      <c r="H8" s="28" t="s">
        <v>22</v>
      </c>
      <c r="I8" s="30" t="s">
        <v>22</v>
      </c>
      <c r="J8" s="31" t="s">
        <v>22</v>
      </c>
      <c r="K8" s="32" t="s">
        <v>22</v>
      </c>
      <c r="L8" s="33"/>
      <c r="M8" s="34"/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37"/>
      <c r="D9" s="37"/>
      <c r="E9" s="38"/>
      <c r="F9" s="28" t="s">
        <v>22</v>
      </c>
      <c r="G9" s="29" t="s">
        <v>22</v>
      </c>
      <c r="H9" s="39" t="s">
        <v>22</v>
      </c>
      <c r="I9" s="30" t="s">
        <v>22</v>
      </c>
      <c r="J9" s="31" t="s">
        <v>22</v>
      </c>
      <c r="K9" s="32" t="s">
        <v>22</v>
      </c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37"/>
      <c r="D10" s="37"/>
      <c r="E10" s="38"/>
      <c r="F10" s="28" t="s">
        <v>22</v>
      </c>
      <c r="G10" s="29" t="s">
        <v>22</v>
      </c>
      <c r="H10" s="39" t="s">
        <v>22</v>
      </c>
      <c r="I10" s="30" t="s">
        <v>22</v>
      </c>
      <c r="J10" s="31" t="s">
        <v>22</v>
      </c>
      <c r="K10" s="32" t="s">
        <v>22</v>
      </c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37"/>
      <c r="D11" s="37"/>
      <c r="E11" s="38"/>
      <c r="F11" s="28" t="s">
        <v>22</v>
      </c>
      <c r="G11" s="29" t="s">
        <v>22</v>
      </c>
      <c r="H11" s="39" t="s">
        <v>22</v>
      </c>
      <c r="I11" s="30" t="s">
        <v>22</v>
      </c>
      <c r="J11" s="31" t="s">
        <v>22</v>
      </c>
      <c r="K11" s="32" t="s">
        <v>22</v>
      </c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 t="s">
        <v>22</v>
      </c>
      <c r="G12" s="29" t="s">
        <v>22</v>
      </c>
      <c r="H12" s="39" t="s">
        <v>22</v>
      </c>
      <c r="I12" s="30" t="s">
        <v>22</v>
      </c>
      <c r="J12" s="31" t="s">
        <v>22</v>
      </c>
      <c r="K12" s="32" t="s">
        <v>22</v>
      </c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 t="s">
        <v>22</v>
      </c>
      <c r="G13" s="29" t="s">
        <v>22</v>
      </c>
      <c r="H13" s="39" t="s">
        <v>22</v>
      </c>
      <c r="I13" s="30" t="s">
        <v>22</v>
      </c>
      <c r="J13" s="31" t="s">
        <v>22</v>
      </c>
      <c r="K13" s="32" t="s">
        <v>22</v>
      </c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37"/>
      <c r="D14" s="37"/>
      <c r="E14" s="38"/>
      <c r="F14" s="28" t="s">
        <v>22</v>
      </c>
      <c r="G14" s="29" t="s">
        <v>22</v>
      </c>
      <c r="H14" s="39" t="s">
        <v>22</v>
      </c>
      <c r="I14" s="30" t="s">
        <v>22</v>
      </c>
      <c r="J14" s="31" t="s">
        <v>22</v>
      </c>
      <c r="K14" s="32" t="s">
        <v>22</v>
      </c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37"/>
      <c r="D15" s="37"/>
      <c r="E15" s="38"/>
      <c r="F15" s="28" t="s">
        <v>22</v>
      </c>
      <c r="G15" s="29" t="s">
        <v>22</v>
      </c>
      <c r="H15" s="39" t="s">
        <v>22</v>
      </c>
      <c r="I15" s="30" t="s">
        <v>22</v>
      </c>
      <c r="J15" s="31" t="s">
        <v>22</v>
      </c>
      <c r="K15" s="32" t="s">
        <v>22</v>
      </c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37"/>
      <c r="D16" s="37"/>
      <c r="E16" s="38"/>
      <c r="F16" s="28" t="s">
        <v>22</v>
      </c>
      <c r="G16" s="29" t="s">
        <v>22</v>
      </c>
      <c r="H16" s="39" t="s">
        <v>22</v>
      </c>
      <c r="I16" s="30" t="s">
        <v>22</v>
      </c>
      <c r="J16" s="31" t="s">
        <v>22</v>
      </c>
      <c r="K16" s="32" t="s">
        <v>22</v>
      </c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/>
      <c r="C17" s="37"/>
      <c r="D17" s="37"/>
      <c r="E17" s="38"/>
      <c r="F17" s="28" t="s">
        <v>22</v>
      </c>
      <c r="G17" s="29" t="s">
        <v>22</v>
      </c>
      <c r="H17" s="39" t="s">
        <v>22</v>
      </c>
      <c r="I17" s="30" t="s">
        <v>22</v>
      </c>
      <c r="J17" s="31" t="s">
        <v>22</v>
      </c>
      <c r="K17" s="32" t="s">
        <v>22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/>
      <c r="C18" s="37"/>
      <c r="D18" s="37"/>
      <c r="E18" s="38"/>
      <c r="F18" s="28" t="s">
        <v>22</v>
      </c>
      <c r="G18" s="29" t="s">
        <v>22</v>
      </c>
      <c r="H18" s="39" t="s">
        <v>22</v>
      </c>
      <c r="I18" s="30" t="s">
        <v>22</v>
      </c>
      <c r="J18" s="31" t="s">
        <v>22</v>
      </c>
      <c r="K18" s="32" t="s">
        <v>22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/>
      <c r="C19" s="37"/>
      <c r="D19" s="37"/>
      <c r="E19" s="38"/>
      <c r="F19" s="28" t="s">
        <v>22</v>
      </c>
      <c r="G19" s="29" t="s">
        <v>22</v>
      </c>
      <c r="H19" s="39" t="s">
        <v>22</v>
      </c>
      <c r="I19" s="30" t="s">
        <v>22</v>
      </c>
      <c r="J19" s="31" t="s">
        <v>22</v>
      </c>
      <c r="K19" s="32" t="s">
        <v>22</v>
      </c>
      <c r="L19" s="33"/>
      <c r="M19" s="34"/>
    </row>
    <row r="20" spans="1:19" x14ac:dyDescent="0.15">
      <c r="A20" s="25">
        <v>41956</v>
      </c>
      <c r="B20" s="37"/>
      <c r="C20" s="37"/>
      <c r="D20" s="37"/>
      <c r="E20" s="38"/>
      <c r="F20" s="28" t="s">
        <v>22</v>
      </c>
      <c r="G20" s="29" t="s">
        <v>22</v>
      </c>
      <c r="H20" s="39" t="s">
        <v>22</v>
      </c>
      <c r="I20" s="30" t="s">
        <v>22</v>
      </c>
      <c r="J20" s="31" t="s">
        <v>22</v>
      </c>
      <c r="K20" s="32" t="s">
        <v>22</v>
      </c>
      <c r="L20" s="33"/>
      <c r="M20" s="34"/>
    </row>
    <row r="21" spans="1:19" x14ac:dyDescent="0.15">
      <c r="A21" s="25">
        <v>41957</v>
      </c>
      <c r="B21" s="37"/>
      <c r="C21" s="37"/>
      <c r="D21" s="37"/>
      <c r="E21" s="38"/>
      <c r="F21" s="28" t="s">
        <v>22</v>
      </c>
      <c r="G21" s="29" t="s">
        <v>22</v>
      </c>
      <c r="H21" s="39" t="s">
        <v>22</v>
      </c>
      <c r="I21" s="30" t="s">
        <v>22</v>
      </c>
      <c r="J21" s="31" t="s">
        <v>22</v>
      </c>
      <c r="K21" s="32" t="s">
        <v>22</v>
      </c>
      <c r="L21" s="33"/>
      <c r="M21" s="34"/>
    </row>
    <row r="22" spans="1:19" x14ac:dyDescent="0.15">
      <c r="A22" s="25">
        <v>41958</v>
      </c>
      <c r="B22" s="37"/>
      <c r="C22" s="37"/>
      <c r="D22" s="37"/>
      <c r="E22" s="38"/>
      <c r="F22" s="28" t="s">
        <v>22</v>
      </c>
      <c r="G22" s="29" t="s">
        <v>22</v>
      </c>
      <c r="H22" s="39" t="s">
        <v>22</v>
      </c>
      <c r="I22" s="30" t="s">
        <v>22</v>
      </c>
      <c r="J22" s="31" t="s">
        <v>22</v>
      </c>
      <c r="K22" s="32" t="s">
        <v>22</v>
      </c>
      <c r="L22" s="33"/>
      <c r="M22" s="34"/>
    </row>
    <row r="23" spans="1:19" x14ac:dyDescent="0.15">
      <c r="A23" s="25">
        <v>41959</v>
      </c>
      <c r="B23" s="37"/>
      <c r="C23" s="37"/>
      <c r="D23" s="37"/>
      <c r="E23" s="38"/>
      <c r="F23" s="28" t="s">
        <v>22</v>
      </c>
      <c r="G23" s="29" t="s">
        <v>22</v>
      </c>
      <c r="H23" s="39" t="s">
        <v>22</v>
      </c>
      <c r="I23" s="30" t="s">
        <v>22</v>
      </c>
      <c r="J23" s="31" t="s">
        <v>22</v>
      </c>
      <c r="K23" s="32" t="s">
        <v>22</v>
      </c>
      <c r="L23" s="33"/>
      <c r="M23" s="34"/>
    </row>
    <row r="24" spans="1:19" x14ac:dyDescent="0.15">
      <c r="A24" s="25">
        <v>41960</v>
      </c>
      <c r="B24" s="37">
        <v>0.375</v>
      </c>
      <c r="C24" s="26">
        <v>0.5</v>
      </c>
      <c r="D24" s="26">
        <v>0.54166666666666663</v>
      </c>
      <c r="E24" s="38">
        <v>0.63402777777777775</v>
      </c>
      <c r="F24" s="28">
        <v>0.375</v>
      </c>
      <c r="G24" s="29">
        <v>0.625</v>
      </c>
      <c r="H24" s="39">
        <v>0.25</v>
      </c>
      <c r="I24" s="30">
        <v>4.1666666666666664E-2</v>
      </c>
      <c r="J24" s="31">
        <v>5</v>
      </c>
      <c r="K24" s="32">
        <v>1000</v>
      </c>
      <c r="L24" s="33"/>
      <c r="M24" s="34"/>
    </row>
    <row r="25" spans="1:19" x14ac:dyDescent="0.15">
      <c r="A25" s="25">
        <v>41961</v>
      </c>
      <c r="B25" s="37"/>
      <c r="C25" s="37"/>
      <c r="D25" s="37"/>
      <c r="E25" s="38"/>
      <c r="F25" s="28" t="s">
        <v>22</v>
      </c>
      <c r="G25" s="29" t="s">
        <v>22</v>
      </c>
      <c r="H25" s="39" t="s">
        <v>22</v>
      </c>
      <c r="I25" s="30" t="s">
        <v>22</v>
      </c>
      <c r="J25" s="31" t="s">
        <v>22</v>
      </c>
      <c r="K25" s="32" t="s">
        <v>22</v>
      </c>
      <c r="L25" s="33"/>
      <c r="M25" s="34"/>
    </row>
    <row r="26" spans="1:19" x14ac:dyDescent="0.15">
      <c r="A26" s="25">
        <v>41962</v>
      </c>
      <c r="B26" s="37"/>
      <c r="C26" s="37"/>
      <c r="D26" s="37"/>
      <c r="E26" s="38"/>
      <c r="F26" s="28" t="s">
        <v>22</v>
      </c>
      <c r="G26" s="29" t="s">
        <v>22</v>
      </c>
      <c r="H26" s="39" t="s">
        <v>22</v>
      </c>
      <c r="I26" s="30" t="s">
        <v>22</v>
      </c>
      <c r="J26" s="31" t="s">
        <v>22</v>
      </c>
      <c r="K26" s="32" t="s">
        <v>22</v>
      </c>
      <c r="L26" s="33"/>
      <c r="M26" s="34"/>
    </row>
    <row r="27" spans="1:19" x14ac:dyDescent="0.15">
      <c r="A27" s="25">
        <v>41963</v>
      </c>
      <c r="B27" s="37">
        <v>0.40763888888888888</v>
      </c>
      <c r="C27" s="26">
        <v>0.5</v>
      </c>
      <c r="D27" s="26">
        <v>0.54166666666666663</v>
      </c>
      <c r="E27" s="38">
        <v>0.64583333333333337</v>
      </c>
      <c r="F27" s="28">
        <v>0.41666666666666663</v>
      </c>
      <c r="G27" s="29">
        <v>0.64583333333333326</v>
      </c>
      <c r="H27" s="39">
        <v>0.22916666666666663</v>
      </c>
      <c r="I27" s="30">
        <v>4.1666666666666664E-2</v>
      </c>
      <c r="J27" s="31">
        <v>4.4999999999999991</v>
      </c>
      <c r="K27" s="32">
        <v>1000</v>
      </c>
      <c r="L27" s="33"/>
      <c r="M27" s="34"/>
    </row>
    <row r="28" spans="1:19" x14ac:dyDescent="0.15">
      <c r="A28" s="25">
        <v>41964</v>
      </c>
      <c r="B28" s="37"/>
      <c r="C28" s="37"/>
      <c r="D28" s="37"/>
      <c r="E28" s="38"/>
      <c r="F28" s="28" t="s">
        <v>22</v>
      </c>
      <c r="G28" s="29" t="s">
        <v>22</v>
      </c>
      <c r="H28" s="39" t="s">
        <v>22</v>
      </c>
      <c r="I28" s="30" t="s">
        <v>22</v>
      </c>
      <c r="J28" s="31" t="s">
        <v>22</v>
      </c>
      <c r="K28" s="32" t="s">
        <v>22</v>
      </c>
      <c r="L28" s="33"/>
      <c r="M28" s="34"/>
    </row>
    <row r="29" spans="1:19" x14ac:dyDescent="0.15">
      <c r="A29" s="25">
        <v>41965</v>
      </c>
      <c r="B29" s="37"/>
      <c r="C29" s="37"/>
      <c r="D29" s="37"/>
      <c r="E29" s="38"/>
      <c r="F29" s="28" t="s">
        <v>22</v>
      </c>
      <c r="G29" s="29" t="s">
        <v>22</v>
      </c>
      <c r="H29" s="39" t="s">
        <v>22</v>
      </c>
      <c r="I29" s="30" t="s">
        <v>22</v>
      </c>
      <c r="J29" s="31" t="s">
        <v>22</v>
      </c>
      <c r="K29" s="32" t="s">
        <v>22</v>
      </c>
      <c r="L29" s="33"/>
      <c r="M29" s="34"/>
    </row>
    <row r="30" spans="1:19" x14ac:dyDescent="0.15">
      <c r="A30" s="25">
        <v>41966</v>
      </c>
      <c r="B30" s="37"/>
      <c r="C30" s="37"/>
      <c r="D30" s="37"/>
      <c r="E30" s="38"/>
      <c r="F30" s="28" t="s">
        <v>22</v>
      </c>
      <c r="G30" s="29" t="s">
        <v>22</v>
      </c>
      <c r="H30" s="39" t="s">
        <v>22</v>
      </c>
      <c r="I30" s="30" t="s">
        <v>22</v>
      </c>
      <c r="J30" s="31" t="s">
        <v>22</v>
      </c>
      <c r="K30" s="32" t="s">
        <v>22</v>
      </c>
      <c r="L30" s="33"/>
      <c r="M30" s="34"/>
    </row>
    <row r="31" spans="1:19" x14ac:dyDescent="0.15">
      <c r="A31" s="25">
        <v>41967</v>
      </c>
      <c r="B31" s="37"/>
      <c r="C31" s="37"/>
      <c r="D31" s="37"/>
      <c r="E31" s="38"/>
      <c r="F31" s="28" t="s">
        <v>22</v>
      </c>
      <c r="G31" s="29" t="s">
        <v>22</v>
      </c>
      <c r="H31" s="39" t="s">
        <v>22</v>
      </c>
      <c r="I31" s="30" t="s">
        <v>22</v>
      </c>
      <c r="J31" s="31" t="s">
        <v>22</v>
      </c>
      <c r="K31" s="32" t="s">
        <v>22</v>
      </c>
      <c r="L31" s="33"/>
      <c r="M31" s="34"/>
    </row>
    <row r="32" spans="1:19" x14ac:dyDescent="0.15">
      <c r="A32" s="25">
        <v>41968</v>
      </c>
      <c r="B32" s="37"/>
      <c r="C32" s="37"/>
      <c r="D32" s="37"/>
      <c r="E32" s="38"/>
      <c r="F32" s="28" t="s">
        <v>22</v>
      </c>
      <c r="G32" s="29" t="s">
        <v>22</v>
      </c>
      <c r="H32" s="39" t="s">
        <v>22</v>
      </c>
      <c r="I32" s="30" t="s">
        <v>22</v>
      </c>
      <c r="J32" s="31" t="s">
        <v>22</v>
      </c>
      <c r="K32" s="32" t="s">
        <v>22</v>
      </c>
      <c r="L32" s="33"/>
      <c r="M32" s="34"/>
    </row>
    <row r="33" spans="1:13" x14ac:dyDescent="0.15">
      <c r="A33" s="25">
        <v>41969</v>
      </c>
      <c r="B33" s="37">
        <v>0.39097222222222222</v>
      </c>
      <c r="C33" s="37"/>
      <c r="D33" s="37"/>
      <c r="E33" s="38">
        <v>0.47638888888888892</v>
      </c>
      <c r="F33" s="28">
        <v>0.39583333333333331</v>
      </c>
      <c r="G33" s="29">
        <v>0.46875</v>
      </c>
      <c r="H33" s="39">
        <v>7.2916666666666685E-2</v>
      </c>
      <c r="I33" s="30" t="s">
        <v>22</v>
      </c>
      <c r="J33" s="31">
        <v>1.7500000000000004</v>
      </c>
      <c r="K33" s="32">
        <v>1000</v>
      </c>
      <c r="L33" s="33"/>
      <c r="M33" s="34"/>
    </row>
    <row r="34" spans="1:13" x14ac:dyDescent="0.15">
      <c r="A34" s="25">
        <v>41970</v>
      </c>
      <c r="B34" s="37">
        <v>0.39652777777777781</v>
      </c>
      <c r="C34" s="26">
        <v>0.5</v>
      </c>
      <c r="D34" s="26">
        <v>0.54166666666666663</v>
      </c>
      <c r="E34" s="38">
        <v>0.63611111111111118</v>
      </c>
      <c r="F34" s="28">
        <v>0.40625</v>
      </c>
      <c r="G34" s="29">
        <v>0.63541666666666663</v>
      </c>
      <c r="H34" s="39">
        <v>0.22916666666666663</v>
      </c>
      <c r="I34" s="30">
        <v>4.1666666666666664E-2</v>
      </c>
      <c r="J34" s="31">
        <v>4.4999999999999991</v>
      </c>
      <c r="K34" s="32">
        <v>1000</v>
      </c>
      <c r="L34" s="33"/>
      <c r="M34" s="34"/>
    </row>
    <row r="35" spans="1:13" x14ac:dyDescent="0.15">
      <c r="A35" s="25">
        <v>41971</v>
      </c>
      <c r="B35" s="37">
        <v>0.3923611111111111</v>
      </c>
      <c r="C35" s="26">
        <v>0.5</v>
      </c>
      <c r="D35" s="26">
        <v>0.54166666666666663</v>
      </c>
      <c r="E35" s="38">
        <v>0.62222222222222223</v>
      </c>
      <c r="F35" s="28">
        <v>0.39583333333333331</v>
      </c>
      <c r="G35" s="29">
        <v>0.61458333333333326</v>
      </c>
      <c r="H35" s="39">
        <v>0.21874999999999994</v>
      </c>
      <c r="I35" s="30">
        <v>4.1666666666666664E-2</v>
      </c>
      <c r="J35" s="31">
        <v>4.2499999999999991</v>
      </c>
      <c r="K35" s="32">
        <v>1000</v>
      </c>
      <c r="L35" s="33"/>
      <c r="M35" s="34"/>
    </row>
    <row r="36" spans="1:13" x14ac:dyDescent="0.15">
      <c r="A36" s="25">
        <v>41972</v>
      </c>
      <c r="B36" s="37"/>
      <c r="C36" s="37"/>
      <c r="D36" s="37"/>
      <c r="E36" s="38"/>
      <c r="F36" s="28" t="s">
        <v>22</v>
      </c>
      <c r="G36" s="29" t="s">
        <v>22</v>
      </c>
      <c r="H36" s="39" t="s">
        <v>22</v>
      </c>
      <c r="I36" s="30" t="s">
        <v>22</v>
      </c>
      <c r="J36" s="31" t="s">
        <v>22</v>
      </c>
      <c r="K36" s="32" t="s">
        <v>22</v>
      </c>
      <c r="L36" s="33"/>
      <c r="M36" s="34"/>
    </row>
    <row r="37" spans="1:13" x14ac:dyDescent="0.15">
      <c r="A37" s="25">
        <v>41973</v>
      </c>
      <c r="B37" s="37"/>
      <c r="C37" s="37"/>
      <c r="D37" s="37"/>
      <c r="E37" s="38"/>
      <c r="F37" s="28" t="s">
        <v>22</v>
      </c>
      <c r="G37" s="29" t="s">
        <v>22</v>
      </c>
      <c r="H37" s="39" t="s">
        <v>22</v>
      </c>
      <c r="I37" s="30" t="s">
        <v>22</v>
      </c>
      <c r="J37" s="31" t="s">
        <v>22</v>
      </c>
      <c r="K37" s="32" t="s">
        <v>22</v>
      </c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 t="s">
        <v>22</v>
      </c>
      <c r="G38" s="45" t="s">
        <v>22</v>
      </c>
      <c r="H38" s="46" t="s">
        <v>22</v>
      </c>
      <c r="I38" s="47" t="s">
        <v>22</v>
      </c>
      <c r="J38" s="48" t="s">
        <v>31</v>
      </c>
      <c r="K38" s="49">
        <v>5000</v>
      </c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8:M23 A25:M26 A24:B24 E24:M24 A28:M33 A27:B27 E27:M27 A36:M38 A34:B35 E34:M35">
    <cfRule type="expression" dxfId="45" priority="19" stopIfTrue="1">
      <formula>MATCH($A8,休日,0)&gt;0</formula>
    </cfRule>
    <cfRule type="expression" dxfId="44" priority="20" stopIfTrue="1">
      <formula>WEEKDAY($A8)=1</formula>
    </cfRule>
    <cfRule type="expression" dxfId="43" priority="21" stopIfTrue="1">
      <formula>WEEKDAY($A8)=7</formula>
    </cfRule>
  </conditionalFormatting>
  <conditionalFormatting sqref="E8:E38">
    <cfRule type="cellIs" dxfId="42" priority="23" stopIfTrue="1" operator="greaterThan">
      <formula>0.916666666666667</formula>
    </cfRule>
  </conditionalFormatting>
  <conditionalFormatting sqref="J8:J38">
    <cfRule type="expression" dxfId="41" priority="22" stopIfTrue="1">
      <formula>$B8=""</formula>
    </cfRule>
    <cfRule type="expression" dxfId="40" priority="24" stopIfTrue="1">
      <formula>$J8&gt;8</formula>
    </cfRule>
  </conditionalFormatting>
  <conditionalFormatting sqref="I8:I38">
    <cfRule type="expression" dxfId="39" priority="16" stopIfTrue="1">
      <formula>MATCH($A8,休日,0)&gt;0</formula>
    </cfRule>
    <cfRule type="expression" dxfId="38" priority="17" stopIfTrue="1">
      <formula>WEEKDAY($A8)=1</formula>
    </cfRule>
    <cfRule type="expression" dxfId="37" priority="18" stopIfTrue="1">
      <formula>WEEKDAY($A8)=7</formula>
    </cfRule>
  </conditionalFormatting>
  <conditionalFormatting sqref="I8:I38">
    <cfRule type="expression" dxfId="36" priority="13" stopIfTrue="1">
      <formula>MATCH($A8,休日,0)&gt;0</formula>
    </cfRule>
    <cfRule type="expression" dxfId="35" priority="14" stopIfTrue="1">
      <formula>WEEKDAY($A8)=1</formula>
    </cfRule>
    <cfRule type="expression" dxfId="34" priority="15" stopIfTrue="1">
      <formula>WEEKDAY($A8)=7</formula>
    </cfRule>
  </conditionalFormatting>
  <conditionalFormatting sqref="C24:D24">
    <cfRule type="expression" dxfId="33" priority="10" stopIfTrue="1">
      <formula>MATCH($A24,休日,0)&gt;0</formula>
    </cfRule>
    <cfRule type="expression" dxfId="32" priority="11" stopIfTrue="1">
      <formula>WEEKDAY($A24)=1</formula>
    </cfRule>
    <cfRule type="expression" dxfId="31" priority="12" stopIfTrue="1">
      <formula>WEEKDAY($A24)=7</formula>
    </cfRule>
  </conditionalFormatting>
  <conditionalFormatting sqref="C27:D27">
    <cfRule type="expression" dxfId="30" priority="7" stopIfTrue="1">
      <formula>MATCH($A27,休日,0)&gt;0</formula>
    </cfRule>
    <cfRule type="expression" dxfId="29" priority="8" stopIfTrue="1">
      <formula>WEEKDAY($A27)=1</formula>
    </cfRule>
    <cfRule type="expression" dxfId="28" priority="9" stopIfTrue="1">
      <formula>WEEKDAY($A27)=7</formula>
    </cfRule>
  </conditionalFormatting>
  <conditionalFormatting sqref="C34:D34">
    <cfRule type="expression" dxfId="27" priority="4" stopIfTrue="1">
      <formula>MATCH($A34,休日,0)&gt;0</formula>
    </cfRule>
    <cfRule type="expression" dxfId="26" priority="5" stopIfTrue="1">
      <formula>WEEKDAY($A34)=1</formula>
    </cfRule>
    <cfRule type="expression" dxfId="25" priority="6" stopIfTrue="1">
      <formula>WEEKDAY($A34)=7</formula>
    </cfRule>
  </conditionalFormatting>
  <conditionalFormatting sqref="C35:D35">
    <cfRule type="expression" dxfId="24" priority="1" stopIfTrue="1">
      <formula>MATCH($A35,休日,0)&gt;0</formula>
    </cfRule>
    <cfRule type="expression" dxfId="23" priority="2" stopIfTrue="1">
      <formula>WEEKDAY($A35)=1</formula>
    </cfRule>
    <cfRule type="expression" dxfId="22" priority="3" stopIfTrue="1">
      <formula>WEEKDAY($A35)=7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selection activeCell="A5" sqref="A5"/>
    </sheetView>
  </sheetViews>
  <sheetFormatPr defaultRowHeight="13.5" x14ac:dyDescent="0.15"/>
  <cols>
    <col min="1" max="1" width="14.875" style="3" customWidth="1"/>
    <col min="2" max="10" width="10" style="13" customWidth="1"/>
    <col min="11" max="11" width="11.25" style="18" customWidth="1"/>
    <col min="12" max="13" width="6.875" style="18" customWidth="1"/>
    <col min="14" max="14" width="1.5" style="3" customWidth="1"/>
    <col min="15" max="15" width="12.625" style="3" bestFit="1" customWidth="1"/>
    <col min="16" max="18" width="9" style="3"/>
    <col min="19" max="19" width="13" style="3" customWidth="1"/>
    <col min="20" max="256" width="9" style="3"/>
    <col min="257" max="257" width="14.875" style="3" customWidth="1"/>
    <col min="258" max="266" width="10" style="3" customWidth="1"/>
    <col min="267" max="267" width="11.25" style="3" customWidth="1"/>
    <col min="268" max="269" width="10" style="3" customWidth="1"/>
    <col min="270" max="270" width="1.5" style="3" customWidth="1"/>
    <col min="271" max="271" width="12.625" style="3" bestFit="1" customWidth="1"/>
    <col min="272" max="274" width="9" style="3"/>
    <col min="275" max="275" width="13" style="3" customWidth="1"/>
    <col min="276" max="512" width="9" style="3"/>
    <col min="513" max="513" width="14.875" style="3" customWidth="1"/>
    <col min="514" max="522" width="10" style="3" customWidth="1"/>
    <col min="523" max="523" width="11.25" style="3" customWidth="1"/>
    <col min="524" max="525" width="10" style="3" customWidth="1"/>
    <col min="526" max="526" width="1.5" style="3" customWidth="1"/>
    <col min="527" max="527" width="12.625" style="3" bestFit="1" customWidth="1"/>
    <col min="528" max="530" width="9" style="3"/>
    <col min="531" max="531" width="13" style="3" customWidth="1"/>
    <col min="532" max="768" width="9" style="3"/>
    <col min="769" max="769" width="14.875" style="3" customWidth="1"/>
    <col min="770" max="778" width="10" style="3" customWidth="1"/>
    <col min="779" max="779" width="11.25" style="3" customWidth="1"/>
    <col min="780" max="781" width="10" style="3" customWidth="1"/>
    <col min="782" max="782" width="1.5" style="3" customWidth="1"/>
    <col min="783" max="783" width="12.625" style="3" bestFit="1" customWidth="1"/>
    <col min="784" max="786" width="9" style="3"/>
    <col min="787" max="787" width="13" style="3" customWidth="1"/>
    <col min="788" max="1024" width="9" style="3"/>
    <col min="1025" max="1025" width="14.875" style="3" customWidth="1"/>
    <col min="1026" max="1034" width="10" style="3" customWidth="1"/>
    <col min="1035" max="1035" width="11.25" style="3" customWidth="1"/>
    <col min="1036" max="1037" width="10" style="3" customWidth="1"/>
    <col min="1038" max="1038" width="1.5" style="3" customWidth="1"/>
    <col min="1039" max="1039" width="12.625" style="3" bestFit="1" customWidth="1"/>
    <col min="1040" max="1042" width="9" style="3"/>
    <col min="1043" max="1043" width="13" style="3" customWidth="1"/>
    <col min="1044" max="1280" width="9" style="3"/>
    <col min="1281" max="1281" width="14.875" style="3" customWidth="1"/>
    <col min="1282" max="1290" width="10" style="3" customWidth="1"/>
    <col min="1291" max="1291" width="11.25" style="3" customWidth="1"/>
    <col min="1292" max="1293" width="10" style="3" customWidth="1"/>
    <col min="1294" max="1294" width="1.5" style="3" customWidth="1"/>
    <col min="1295" max="1295" width="12.625" style="3" bestFit="1" customWidth="1"/>
    <col min="1296" max="1298" width="9" style="3"/>
    <col min="1299" max="1299" width="13" style="3" customWidth="1"/>
    <col min="1300" max="1536" width="9" style="3"/>
    <col min="1537" max="1537" width="14.875" style="3" customWidth="1"/>
    <col min="1538" max="1546" width="10" style="3" customWidth="1"/>
    <col min="1547" max="1547" width="11.25" style="3" customWidth="1"/>
    <col min="1548" max="1549" width="10" style="3" customWidth="1"/>
    <col min="1550" max="1550" width="1.5" style="3" customWidth="1"/>
    <col min="1551" max="1551" width="12.625" style="3" bestFit="1" customWidth="1"/>
    <col min="1552" max="1554" width="9" style="3"/>
    <col min="1555" max="1555" width="13" style="3" customWidth="1"/>
    <col min="1556" max="1792" width="9" style="3"/>
    <col min="1793" max="1793" width="14.875" style="3" customWidth="1"/>
    <col min="1794" max="1802" width="10" style="3" customWidth="1"/>
    <col min="1803" max="1803" width="11.25" style="3" customWidth="1"/>
    <col min="1804" max="1805" width="10" style="3" customWidth="1"/>
    <col min="1806" max="1806" width="1.5" style="3" customWidth="1"/>
    <col min="1807" max="1807" width="12.625" style="3" bestFit="1" customWidth="1"/>
    <col min="1808" max="1810" width="9" style="3"/>
    <col min="1811" max="1811" width="13" style="3" customWidth="1"/>
    <col min="1812" max="2048" width="9" style="3"/>
    <col min="2049" max="2049" width="14.875" style="3" customWidth="1"/>
    <col min="2050" max="2058" width="10" style="3" customWidth="1"/>
    <col min="2059" max="2059" width="11.25" style="3" customWidth="1"/>
    <col min="2060" max="2061" width="10" style="3" customWidth="1"/>
    <col min="2062" max="2062" width="1.5" style="3" customWidth="1"/>
    <col min="2063" max="2063" width="12.625" style="3" bestFit="1" customWidth="1"/>
    <col min="2064" max="2066" width="9" style="3"/>
    <col min="2067" max="2067" width="13" style="3" customWidth="1"/>
    <col min="2068" max="2304" width="9" style="3"/>
    <col min="2305" max="2305" width="14.875" style="3" customWidth="1"/>
    <col min="2306" max="2314" width="10" style="3" customWidth="1"/>
    <col min="2315" max="2315" width="11.25" style="3" customWidth="1"/>
    <col min="2316" max="2317" width="10" style="3" customWidth="1"/>
    <col min="2318" max="2318" width="1.5" style="3" customWidth="1"/>
    <col min="2319" max="2319" width="12.625" style="3" bestFit="1" customWidth="1"/>
    <col min="2320" max="2322" width="9" style="3"/>
    <col min="2323" max="2323" width="13" style="3" customWidth="1"/>
    <col min="2324" max="2560" width="9" style="3"/>
    <col min="2561" max="2561" width="14.875" style="3" customWidth="1"/>
    <col min="2562" max="2570" width="10" style="3" customWidth="1"/>
    <col min="2571" max="2571" width="11.25" style="3" customWidth="1"/>
    <col min="2572" max="2573" width="10" style="3" customWidth="1"/>
    <col min="2574" max="2574" width="1.5" style="3" customWidth="1"/>
    <col min="2575" max="2575" width="12.625" style="3" bestFit="1" customWidth="1"/>
    <col min="2576" max="2578" width="9" style="3"/>
    <col min="2579" max="2579" width="13" style="3" customWidth="1"/>
    <col min="2580" max="2816" width="9" style="3"/>
    <col min="2817" max="2817" width="14.875" style="3" customWidth="1"/>
    <col min="2818" max="2826" width="10" style="3" customWidth="1"/>
    <col min="2827" max="2827" width="11.25" style="3" customWidth="1"/>
    <col min="2828" max="2829" width="10" style="3" customWidth="1"/>
    <col min="2830" max="2830" width="1.5" style="3" customWidth="1"/>
    <col min="2831" max="2831" width="12.625" style="3" bestFit="1" customWidth="1"/>
    <col min="2832" max="2834" width="9" style="3"/>
    <col min="2835" max="2835" width="13" style="3" customWidth="1"/>
    <col min="2836" max="3072" width="9" style="3"/>
    <col min="3073" max="3073" width="14.875" style="3" customWidth="1"/>
    <col min="3074" max="3082" width="10" style="3" customWidth="1"/>
    <col min="3083" max="3083" width="11.25" style="3" customWidth="1"/>
    <col min="3084" max="3085" width="10" style="3" customWidth="1"/>
    <col min="3086" max="3086" width="1.5" style="3" customWidth="1"/>
    <col min="3087" max="3087" width="12.625" style="3" bestFit="1" customWidth="1"/>
    <col min="3088" max="3090" width="9" style="3"/>
    <col min="3091" max="3091" width="13" style="3" customWidth="1"/>
    <col min="3092" max="3328" width="9" style="3"/>
    <col min="3329" max="3329" width="14.875" style="3" customWidth="1"/>
    <col min="3330" max="3338" width="10" style="3" customWidth="1"/>
    <col min="3339" max="3339" width="11.25" style="3" customWidth="1"/>
    <col min="3340" max="3341" width="10" style="3" customWidth="1"/>
    <col min="3342" max="3342" width="1.5" style="3" customWidth="1"/>
    <col min="3343" max="3343" width="12.625" style="3" bestFit="1" customWidth="1"/>
    <col min="3344" max="3346" width="9" style="3"/>
    <col min="3347" max="3347" width="13" style="3" customWidth="1"/>
    <col min="3348" max="3584" width="9" style="3"/>
    <col min="3585" max="3585" width="14.875" style="3" customWidth="1"/>
    <col min="3586" max="3594" width="10" style="3" customWidth="1"/>
    <col min="3595" max="3595" width="11.25" style="3" customWidth="1"/>
    <col min="3596" max="3597" width="10" style="3" customWidth="1"/>
    <col min="3598" max="3598" width="1.5" style="3" customWidth="1"/>
    <col min="3599" max="3599" width="12.625" style="3" bestFit="1" customWidth="1"/>
    <col min="3600" max="3602" width="9" style="3"/>
    <col min="3603" max="3603" width="13" style="3" customWidth="1"/>
    <col min="3604" max="3840" width="9" style="3"/>
    <col min="3841" max="3841" width="14.875" style="3" customWidth="1"/>
    <col min="3842" max="3850" width="10" style="3" customWidth="1"/>
    <col min="3851" max="3851" width="11.25" style="3" customWidth="1"/>
    <col min="3852" max="3853" width="10" style="3" customWidth="1"/>
    <col min="3854" max="3854" width="1.5" style="3" customWidth="1"/>
    <col min="3855" max="3855" width="12.625" style="3" bestFit="1" customWidth="1"/>
    <col min="3856" max="3858" width="9" style="3"/>
    <col min="3859" max="3859" width="13" style="3" customWidth="1"/>
    <col min="3860" max="4096" width="9" style="3"/>
    <col min="4097" max="4097" width="14.875" style="3" customWidth="1"/>
    <col min="4098" max="4106" width="10" style="3" customWidth="1"/>
    <col min="4107" max="4107" width="11.25" style="3" customWidth="1"/>
    <col min="4108" max="4109" width="10" style="3" customWidth="1"/>
    <col min="4110" max="4110" width="1.5" style="3" customWidth="1"/>
    <col min="4111" max="4111" width="12.625" style="3" bestFit="1" customWidth="1"/>
    <col min="4112" max="4114" width="9" style="3"/>
    <col min="4115" max="4115" width="13" style="3" customWidth="1"/>
    <col min="4116" max="4352" width="9" style="3"/>
    <col min="4353" max="4353" width="14.875" style="3" customWidth="1"/>
    <col min="4354" max="4362" width="10" style="3" customWidth="1"/>
    <col min="4363" max="4363" width="11.25" style="3" customWidth="1"/>
    <col min="4364" max="4365" width="10" style="3" customWidth="1"/>
    <col min="4366" max="4366" width="1.5" style="3" customWidth="1"/>
    <col min="4367" max="4367" width="12.625" style="3" bestFit="1" customWidth="1"/>
    <col min="4368" max="4370" width="9" style="3"/>
    <col min="4371" max="4371" width="13" style="3" customWidth="1"/>
    <col min="4372" max="4608" width="9" style="3"/>
    <col min="4609" max="4609" width="14.875" style="3" customWidth="1"/>
    <col min="4610" max="4618" width="10" style="3" customWidth="1"/>
    <col min="4619" max="4619" width="11.25" style="3" customWidth="1"/>
    <col min="4620" max="4621" width="10" style="3" customWidth="1"/>
    <col min="4622" max="4622" width="1.5" style="3" customWidth="1"/>
    <col min="4623" max="4623" width="12.625" style="3" bestFit="1" customWidth="1"/>
    <col min="4624" max="4626" width="9" style="3"/>
    <col min="4627" max="4627" width="13" style="3" customWidth="1"/>
    <col min="4628" max="4864" width="9" style="3"/>
    <col min="4865" max="4865" width="14.875" style="3" customWidth="1"/>
    <col min="4866" max="4874" width="10" style="3" customWidth="1"/>
    <col min="4875" max="4875" width="11.25" style="3" customWidth="1"/>
    <col min="4876" max="4877" width="10" style="3" customWidth="1"/>
    <col min="4878" max="4878" width="1.5" style="3" customWidth="1"/>
    <col min="4879" max="4879" width="12.625" style="3" bestFit="1" customWidth="1"/>
    <col min="4880" max="4882" width="9" style="3"/>
    <col min="4883" max="4883" width="13" style="3" customWidth="1"/>
    <col min="4884" max="5120" width="9" style="3"/>
    <col min="5121" max="5121" width="14.875" style="3" customWidth="1"/>
    <col min="5122" max="5130" width="10" style="3" customWidth="1"/>
    <col min="5131" max="5131" width="11.25" style="3" customWidth="1"/>
    <col min="5132" max="5133" width="10" style="3" customWidth="1"/>
    <col min="5134" max="5134" width="1.5" style="3" customWidth="1"/>
    <col min="5135" max="5135" width="12.625" style="3" bestFit="1" customWidth="1"/>
    <col min="5136" max="5138" width="9" style="3"/>
    <col min="5139" max="5139" width="13" style="3" customWidth="1"/>
    <col min="5140" max="5376" width="9" style="3"/>
    <col min="5377" max="5377" width="14.875" style="3" customWidth="1"/>
    <col min="5378" max="5386" width="10" style="3" customWidth="1"/>
    <col min="5387" max="5387" width="11.25" style="3" customWidth="1"/>
    <col min="5388" max="5389" width="10" style="3" customWidth="1"/>
    <col min="5390" max="5390" width="1.5" style="3" customWidth="1"/>
    <col min="5391" max="5391" width="12.625" style="3" bestFit="1" customWidth="1"/>
    <col min="5392" max="5394" width="9" style="3"/>
    <col min="5395" max="5395" width="13" style="3" customWidth="1"/>
    <col min="5396" max="5632" width="9" style="3"/>
    <col min="5633" max="5633" width="14.875" style="3" customWidth="1"/>
    <col min="5634" max="5642" width="10" style="3" customWidth="1"/>
    <col min="5643" max="5643" width="11.25" style="3" customWidth="1"/>
    <col min="5644" max="5645" width="10" style="3" customWidth="1"/>
    <col min="5646" max="5646" width="1.5" style="3" customWidth="1"/>
    <col min="5647" max="5647" width="12.625" style="3" bestFit="1" customWidth="1"/>
    <col min="5648" max="5650" width="9" style="3"/>
    <col min="5651" max="5651" width="13" style="3" customWidth="1"/>
    <col min="5652" max="5888" width="9" style="3"/>
    <col min="5889" max="5889" width="14.875" style="3" customWidth="1"/>
    <col min="5890" max="5898" width="10" style="3" customWidth="1"/>
    <col min="5899" max="5899" width="11.25" style="3" customWidth="1"/>
    <col min="5900" max="5901" width="10" style="3" customWidth="1"/>
    <col min="5902" max="5902" width="1.5" style="3" customWidth="1"/>
    <col min="5903" max="5903" width="12.625" style="3" bestFit="1" customWidth="1"/>
    <col min="5904" max="5906" width="9" style="3"/>
    <col min="5907" max="5907" width="13" style="3" customWidth="1"/>
    <col min="5908" max="6144" width="9" style="3"/>
    <col min="6145" max="6145" width="14.875" style="3" customWidth="1"/>
    <col min="6146" max="6154" width="10" style="3" customWidth="1"/>
    <col min="6155" max="6155" width="11.25" style="3" customWidth="1"/>
    <col min="6156" max="6157" width="10" style="3" customWidth="1"/>
    <col min="6158" max="6158" width="1.5" style="3" customWidth="1"/>
    <col min="6159" max="6159" width="12.625" style="3" bestFit="1" customWidth="1"/>
    <col min="6160" max="6162" width="9" style="3"/>
    <col min="6163" max="6163" width="13" style="3" customWidth="1"/>
    <col min="6164" max="6400" width="9" style="3"/>
    <col min="6401" max="6401" width="14.875" style="3" customWidth="1"/>
    <col min="6402" max="6410" width="10" style="3" customWidth="1"/>
    <col min="6411" max="6411" width="11.25" style="3" customWidth="1"/>
    <col min="6412" max="6413" width="10" style="3" customWidth="1"/>
    <col min="6414" max="6414" width="1.5" style="3" customWidth="1"/>
    <col min="6415" max="6415" width="12.625" style="3" bestFit="1" customWidth="1"/>
    <col min="6416" max="6418" width="9" style="3"/>
    <col min="6419" max="6419" width="13" style="3" customWidth="1"/>
    <col min="6420" max="6656" width="9" style="3"/>
    <col min="6657" max="6657" width="14.875" style="3" customWidth="1"/>
    <col min="6658" max="6666" width="10" style="3" customWidth="1"/>
    <col min="6667" max="6667" width="11.25" style="3" customWidth="1"/>
    <col min="6668" max="6669" width="10" style="3" customWidth="1"/>
    <col min="6670" max="6670" width="1.5" style="3" customWidth="1"/>
    <col min="6671" max="6671" width="12.625" style="3" bestFit="1" customWidth="1"/>
    <col min="6672" max="6674" width="9" style="3"/>
    <col min="6675" max="6675" width="13" style="3" customWidth="1"/>
    <col min="6676" max="6912" width="9" style="3"/>
    <col min="6913" max="6913" width="14.875" style="3" customWidth="1"/>
    <col min="6914" max="6922" width="10" style="3" customWidth="1"/>
    <col min="6923" max="6923" width="11.25" style="3" customWidth="1"/>
    <col min="6924" max="6925" width="10" style="3" customWidth="1"/>
    <col min="6926" max="6926" width="1.5" style="3" customWidth="1"/>
    <col min="6927" max="6927" width="12.625" style="3" bestFit="1" customWidth="1"/>
    <col min="6928" max="6930" width="9" style="3"/>
    <col min="6931" max="6931" width="13" style="3" customWidth="1"/>
    <col min="6932" max="7168" width="9" style="3"/>
    <col min="7169" max="7169" width="14.875" style="3" customWidth="1"/>
    <col min="7170" max="7178" width="10" style="3" customWidth="1"/>
    <col min="7179" max="7179" width="11.25" style="3" customWidth="1"/>
    <col min="7180" max="7181" width="10" style="3" customWidth="1"/>
    <col min="7182" max="7182" width="1.5" style="3" customWidth="1"/>
    <col min="7183" max="7183" width="12.625" style="3" bestFit="1" customWidth="1"/>
    <col min="7184" max="7186" width="9" style="3"/>
    <col min="7187" max="7187" width="13" style="3" customWidth="1"/>
    <col min="7188" max="7424" width="9" style="3"/>
    <col min="7425" max="7425" width="14.875" style="3" customWidth="1"/>
    <col min="7426" max="7434" width="10" style="3" customWidth="1"/>
    <col min="7435" max="7435" width="11.25" style="3" customWidth="1"/>
    <col min="7436" max="7437" width="10" style="3" customWidth="1"/>
    <col min="7438" max="7438" width="1.5" style="3" customWidth="1"/>
    <col min="7439" max="7439" width="12.625" style="3" bestFit="1" customWidth="1"/>
    <col min="7440" max="7442" width="9" style="3"/>
    <col min="7443" max="7443" width="13" style="3" customWidth="1"/>
    <col min="7444" max="7680" width="9" style="3"/>
    <col min="7681" max="7681" width="14.875" style="3" customWidth="1"/>
    <col min="7682" max="7690" width="10" style="3" customWidth="1"/>
    <col min="7691" max="7691" width="11.25" style="3" customWidth="1"/>
    <col min="7692" max="7693" width="10" style="3" customWidth="1"/>
    <col min="7694" max="7694" width="1.5" style="3" customWidth="1"/>
    <col min="7695" max="7695" width="12.625" style="3" bestFit="1" customWidth="1"/>
    <col min="7696" max="7698" width="9" style="3"/>
    <col min="7699" max="7699" width="13" style="3" customWidth="1"/>
    <col min="7700" max="7936" width="9" style="3"/>
    <col min="7937" max="7937" width="14.875" style="3" customWidth="1"/>
    <col min="7938" max="7946" width="10" style="3" customWidth="1"/>
    <col min="7947" max="7947" width="11.25" style="3" customWidth="1"/>
    <col min="7948" max="7949" width="10" style="3" customWidth="1"/>
    <col min="7950" max="7950" width="1.5" style="3" customWidth="1"/>
    <col min="7951" max="7951" width="12.625" style="3" bestFit="1" customWidth="1"/>
    <col min="7952" max="7954" width="9" style="3"/>
    <col min="7955" max="7955" width="13" style="3" customWidth="1"/>
    <col min="7956" max="8192" width="9" style="3"/>
    <col min="8193" max="8193" width="14.875" style="3" customWidth="1"/>
    <col min="8194" max="8202" width="10" style="3" customWidth="1"/>
    <col min="8203" max="8203" width="11.25" style="3" customWidth="1"/>
    <col min="8204" max="8205" width="10" style="3" customWidth="1"/>
    <col min="8206" max="8206" width="1.5" style="3" customWidth="1"/>
    <col min="8207" max="8207" width="12.625" style="3" bestFit="1" customWidth="1"/>
    <col min="8208" max="8210" width="9" style="3"/>
    <col min="8211" max="8211" width="13" style="3" customWidth="1"/>
    <col min="8212" max="8448" width="9" style="3"/>
    <col min="8449" max="8449" width="14.875" style="3" customWidth="1"/>
    <col min="8450" max="8458" width="10" style="3" customWidth="1"/>
    <col min="8459" max="8459" width="11.25" style="3" customWidth="1"/>
    <col min="8460" max="8461" width="10" style="3" customWidth="1"/>
    <col min="8462" max="8462" width="1.5" style="3" customWidth="1"/>
    <col min="8463" max="8463" width="12.625" style="3" bestFit="1" customWidth="1"/>
    <col min="8464" max="8466" width="9" style="3"/>
    <col min="8467" max="8467" width="13" style="3" customWidth="1"/>
    <col min="8468" max="8704" width="9" style="3"/>
    <col min="8705" max="8705" width="14.875" style="3" customWidth="1"/>
    <col min="8706" max="8714" width="10" style="3" customWidth="1"/>
    <col min="8715" max="8715" width="11.25" style="3" customWidth="1"/>
    <col min="8716" max="8717" width="10" style="3" customWidth="1"/>
    <col min="8718" max="8718" width="1.5" style="3" customWidth="1"/>
    <col min="8719" max="8719" width="12.625" style="3" bestFit="1" customWidth="1"/>
    <col min="8720" max="8722" width="9" style="3"/>
    <col min="8723" max="8723" width="13" style="3" customWidth="1"/>
    <col min="8724" max="8960" width="9" style="3"/>
    <col min="8961" max="8961" width="14.875" style="3" customWidth="1"/>
    <col min="8962" max="8970" width="10" style="3" customWidth="1"/>
    <col min="8971" max="8971" width="11.25" style="3" customWidth="1"/>
    <col min="8972" max="8973" width="10" style="3" customWidth="1"/>
    <col min="8974" max="8974" width="1.5" style="3" customWidth="1"/>
    <col min="8975" max="8975" width="12.625" style="3" bestFit="1" customWidth="1"/>
    <col min="8976" max="8978" width="9" style="3"/>
    <col min="8979" max="8979" width="13" style="3" customWidth="1"/>
    <col min="8980" max="9216" width="9" style="3"/>
    <col min="9217" max="9217" width="14.875" style="3" customWidth="1"/>
    <col min="9218" max="9226" width="10" style="3" customWidth="1"/>
    <col min="9227" max="9227" width="11.25" style="3" customWidth="1"/>
    <col min="9228" max="9229" width="10" style="3" customWidth="1"/>
    <col min="9230" max="9230" width="1.5" style="3" customWidth="1"/>
    <col min="9231" max="9231" width="12.625" style="3" bestFit="1" customWidth="1"/>
    <col min="9232" max="9234" width="9" style="3"/>
    <col min="9235" max="9235" width="13" style="3" customWidth="1"/>
    <col min="9236" max="9472" width="9" style="3"/>
    <col min="9473" max="9473" width="14.875" style="3" customWidth="1"/>
    <col min="9474" max="9482" width="10" style="3" customWidth="1"/>
    <col min="9483" max="9483" width="11.25" style="3" customWidth="1"/>
    <col min="9484" max="9485" width="10" style="3" customWidth="1"/>
    <col min="9486" max="9486" width="1.5" style="3" customWidth="1"/>
    <col min="9487" max="9487" width="12.625" style="3" bestFit="1" customWidth="1"/>
    <col min="9488" max="9490" width="9" style="3"/>
    <col min="9491" max="9491" width="13" style="3" customWidth="1"/>
    <col min="9492" max="9728" width="9" style="3"/>
    <col min="9729" max="9729" width="14.875" style="3" customWidth="1"/>
    <col min="9730" max="9738" width="10" style="3" customWidth="1"/>
    <col min="9739" max="9739" width="11.25" style="3" customWidth="1"/>
    <col min="9740" max="9741" width="10" style="3" customWidth="1"/>
    <col min="9742" max="9742" width="1.5" style="3" customWidth="1"/>
    <col min="9743" max="9743" width="12.625" style="3" bestFit="1" customWidth="1"/>
    <col min="9744" max="9746" width="9" style="3"/>
    <col min="9747" max="9747" width="13" style="3" customWidth="1"/>
    <col min="9748" max="9984" width="9" style="3"/>
    <col min="9985" max="9985" width="14.875" style="3" customWidth="1"/>
    <col min="9986" max="9994" width="10" style="3" customWidth="1"/>
    <col min="9995" max="9995" width="11.25" style="3" customWidth="1"/>
    <col min="9996" max="9997" width="10" style="3" customWidth="1"/>
    <col min="9998" max="9998" width="1.5" style="3" customWidth="1"/>
    <col min="9999" max="9999" width="12.625" style="3" bestFit="1" customWidth="1"/>
    <col min="10000" max="10002" width="9" style="3"/>
    <col min="10003" max="10003" width="13" style="3" customWidth="1"/>
    <col min="10004" max="10240" width="9" style="3"/>
    <col min="10241" max="10241" width="14.875" style="3" customWidth="1"/>
    <col min="10242" max="10250" width="10" style="3" customWidth="1"/>
    <col min="10251" max="10251" width="11.25" style="3" customWidth="1"/>
    <col min="10252" max="10253" width="10" style="3" customWidth="1"/>
    <col min="10254" max="10254" width="1.5" style="3" customWidth="1"/>
    <col min="10255" max="10255" width="12.625" style="3" bestFit="1" customWidth="1"/>
    <col min="10256" max="10258" width="9" style="3"/>
    <col min="10259" max="10259" width="13" style="3" customWidth="1"/>
    <col min="10260" max="10496" width="9" style="3"/>
    <col min="10497" max="10497" width="14.875" style="3" customWidth="1"/>
    <col min="10498" max="10506" width="10" style="3" customWidth="1"/>
    <col min="10507" max="10507" width="11.25" style="3" customWidth="1"/>
    <col min="10508" max="10509" width="10" style="3" customWidth="1"/>
    <col min="10510" max="10510" width="1.5" style="3" customWidth="1"/>
    <col min="10511" max="10511" width="12.625" style="3" bestFit="1" customWidth="1"/>
    <col min="10512" max="10514" width="9" style="3"/>
    <col min="10515" max="10515" width="13" style="3" customWidth="1"/>
    <col min="10516" max="10752" width="9" style="3"/>
    <col min="10753" max="10753" width="14.875" style="3" customWidth="1"/>
    <col min="10754" max="10762" width="10" style="3" customWidth="1"/>
    <col min="10763" max="10763" width="11.25" style="3" customWidth="1"/>
    <col min="10764" max="10765" width="10" style="3" customWidth="1"/>
    <col min="10766" max="10766" width="1.5" style="3" customWidth="1"/>
    <col min="10767" max="10767" width="12.625" style="3" bestFit="1" customWidth="1"/>
    <col min="10768" max="10770" width="9" style="3"/>
    <col min="10771" max="10771" width="13" style="3" customWidth="1"/>
    <col min="10772" max="11008" width="9" style="3"/>
    <col min="11009" max="11009" width="14.875" style="3" customWidth="1"/>
    <col min="11010" max="11018" width="10" style="3" customWidth="1"/>
    <col min="11019" max="11019" width="11.25" style="3" customWidth="1"/>
    <col min="11020" max="11021" width="10" style="3" customWidth="1"/>
    <col min="11022" max="11022" width="1.5" style="3" customWidth="1"/>
    <col min="11023" max="11023" width="12.625" style="3" bestFit="1" customWidth="1"/>
    <col min="11024" max="11026" width="9" style="3"/>
    <col min="11027" max="11027" width="13" style="3" customWidth="1"/>
    <col min="11028" max="11264" width="9" style="3"/>
    <col min="11265" max="11265" width="14.875" style="3" customWidth="1"/>
    <col min="11266" max="11274" width="10" style="3" customWidth="1"/>
    <col min="11275" max="11275" width="11.25" style="3" customWidth="1"/>
    <col min="11276" max="11277" width="10" style="3" customWidth="1"/>
    <col min="11278" max="11278" width="1.5" style="3" customWidth="1"/>
    <col min="11279" max="11279" width="12.625" style="3" bestFit="1" customWidth="1"/>
    <col min="11280" max="11282" width="9" style="3"/>
    <col min="11283" max="11283" width="13" style="3" customWidth="1"/>
    <col min="11284" max="11520" width="9" style="3"/>
    <col min="11521" max="11521" width="14.875" style="3" customWidth="1"/>
    <col min="11522" max="11530" width="10" style="3" customWidth="1"/>
    <col min="11531" max="11531" width="11.25" style="3" customWidth="1"/>
    <col min="11532" max="11533" width="10" style="3" customWidth="1"/>
    <col min="11534" max="11534" width="1.5" style="3" customWidth="1"/>
    <col min="11535" max="11535" width="12.625" style="3" bestFit="1" customWidth="1"/>
    <col min="11536" max="11538" width="9" style="3"/>
    <col min="11539" max="11539" width="13" style="3" customWidth="1"/>
    <col min="11540" max="11776" width="9" style="3"/>
    <col min="11777" max="11777" width="14.875" style="3" customWidth="1"/>
    <col min="11778" max="11786" width="10" style="3" customWidth="1"/>
    <col min="11787" max="11787" width="11.25" style="3" customWidth="1"/>
    <col min="11788" max="11789" width="10" style="3" customWidth="1"/>
    <col min="11790" max="11790" width="1.5" style="3" customWidth="1"/>
    <col min="11791" max="11791" width="12.625" style="3" bestFit="1" customWidth="1"/>
    <col min="11792" max="11794" width="9" style="3"/>
    <col min="11795" max="11795" width="13" style="3" customWidth="1"/>
    <col min="11796" max="12032" width="9" style="3"/>
    <col min="12033" max="12033" width="14.875" style="3" customWidth="1"/>
    <col min="12034" max="12042" width="10" style="3" customWidth="1"/>
    <col min="12043" max="12043" width="11.25" style="3" customWidth="1"/>
    <col min="12044" max="12045" width="10" style="3" customWidth="1"/>
    <col min="12046" max="12046" width="1.5" style="3" customWidth="1"/>
    <col min="12047" max="12047" width="12.625" style="3" bestFit="1" customWidth="1"/>
    <col min="12048" max="12050" width="9" style="3"/>
    <col min="12051" max="12051" width="13" style="3" customWidth="1"/>
    <col min="12052" max="12288" width="9" style="3"/>
    <col min="12289" max="12289" width="14.875" style="3" customWidth="1"/>
    <col min="12290" max="12298" width="10" style="3" customWidth="1"/>
    <col min="12299" max="12299" width="11.25" style="3" customWidth="1"/>
    <col min="12300" max="12301" width="10" style="3" customWidth="1"/>
    <col min="12302" max="12302" width="1.5" style="3" customWidth="1"/>
    <col min="12303" max="12303" width="12.625" style="3" bestFit="1" customWidth="1"/>
    <col min="12304" max="12306" width="9" style="3"/>
    <col min="12307" max="12307" width="13" style="3" customWidth="1"/>
    <col min="12308" max="12544" width="9" style="3"/>
    <col min="12545" max="12545" width="14.875" style="3" customWidth="1"/>
    <col min="12546" max="12554" width="10" style="3" customWidth="1"/>
    <col min="12555" max="12555" width="11.25" style="3" customWidth="1"/>
    <col min="12556" max="12557" width="10" style="3" customWidth="1"/>
    <col min="12558" max="12558" width="1.5" style="3" customWidth="1"/>
    <col min="12559" max="12559" width="12.625" style="3" bestFit="1" customWidth="1"/>
    <col min="12560" max="12562" width="9" style="3"/>
    <col min="12563" max="12563" width="13" style="3" customWidth="1"/>
    <col min="12564" max="12800" width="9" style="3"/>
    <col min="12801" max="12801" width="14.875" style="3" customWidth="1"/>
    <col min="12802" max="12810" width="10" style="3" customWidth="1"/>
    <col min="12811" max="12811" width="11.25" style="3" customWidth="1"/>
    <col min="12812" max="12813" width="10" style="3" customWidth="1"/>
    <col min="12814" max="12814" width="1.5" style="3" customWidth="1"/>
    <col min="12815" max="12815" width="12.625" style="3" bestFit="1" customWidth="1"/>
    <col min="12816" max="12818" width="9" style="3"/>
    <col min="12819" max="12819" width="13" style="3" customWidth="1"/>
    <col min="12820" max="13056" width="9" style="3"/>
    <col min="13057" max="13057" width="14.875" style="3" customWidth="1"/>
    <col min="13058" max="13066" width="10" style="3" customWidth="1"/>
    <col min="13067" max="13067" width="11.25" style="3" customWidth="1"/>
    <col min="13068" max="13069" width="10" style="3" customWidth="1"/>
    <col min="13070" max="13070" width="1.5" style="3" customWidth="1"/>
    <col min="13071" max="13071" width="12.625" style="3" bestFit="1" customWidth="1"/>
    <col min="13072" max="13074" width="9" style="3"/>
    <col min="13075" max="13075" width="13" style="3" customWidth="1"/>
    <col min="13076" max="13312" width="9" style="3"/>
    <col min="13313" max="13313" width="14.875" style="3" customWidth="1"/>
    <col min="13314" max="13322" width="10" style="3" customWidth="1"/>
    <col min="13323" max="13323" width="11.25" style="3" customWidth="1"/>
    <col min="13324" max="13325" width="10" style="3" customWidth="1"/>
    <col min="13326" max="13326" width="1.5" style="3" customWidth="1"/>
    <col min="13327" max="13327" width="12.625" style="3" bestFit="1" customWidth="1"/>
    <col min="13328" max="13330" width="9" style="3"/>
    <col min="13331" max="13331" width="13" style="3" customWidth="1"/>
    <col min="13332" max="13568" width="9" style="3"/>
    <col min="13569" max="13569" width="14.875" style="3" customWidth="1"/>
    <col min="13570" max="13578" width="10" style="3" customWidth="1"/>
    <col min="13579" max="13579" width="11.25" style="3" customWidth="1"/>
    <col min="13580" max="13581" width="10" style="3" customWidth="1"/>
    <col min="13582" max="13582" width="1.5" style="3" customWidth="1"/>
    <col min="13583" max="13583" width="12.625" style="3" bestFit="1" customWidth="1"/>
    <col min="13584" max="13586" width="9" style="3"/>
    <col min="13587" max="13587" width="13" style="3" customWidth="1"/>
    <col min="13588" max="13824" width="9" style="3"/>
    <col min="13825" max="13825" width="14.875" style="3" customWidth="1"/>
    <col min="13826" max="13834" width="10" style="3" customWidth="1"/>
    <col min="13835" max="13835" width="11.25" style="3" customWidth="1"/>
    <col min="13836" max="13837" width="10" style="3" customWidth="1"/>
    <col min="13838" max="13838" width="1.5" style="3" customWidth="1"/>
    <col min="13839" max="13839" width="12.625" style="3" bestFit="1" customWidth="1"/>
    <col min="13840" max="13842" width="9" style="3"/>
    <col min="13843" max="13843" width="13" style="3" customWidth="1"/>
    <col min="13844" max="14080" width="9" style="3"/>
    <col min="14081" max="14081" width="14.875" style="3" customWidth="1"/>
    <col min="14082" max="14090" width="10" style="3" customWidth="1"/>
    <col min="14091" max="14091" width="11.25" style="3" customWidth="1"/>
    <col min="14092" max="14093" width="10" style="3" customWidth="1"/>
    <col min="14094" max="14094" width="1.5" style="3" customWidth="1"/>
    <col min="14095" max="14095" width="12.625" style="3" bestFit="1" customWidth="1"/>
    <col min="14096" max="14098" width="9" style="3"/>
    <col min="14099" max="14099" width="13" style="3" customWidth="1"/>
    <col min="14100" max="14336" width="9" style="3"/>
    <col min="14337" max="14337" width="14.875" style="3" customWidth="1"/>
    <col min="14338" max="14346" width="10" style="3" customWidth="1"/>
    <col min="14347" max="14347" width="11.25" style="3" customWidth="1"/>
    <col min="14348" max="14349" width="10" style="3" customWidth="1"/>
    <col min="14350" max="14350" width="1.5" style="3" customWidth="1"/>
    <col min="14351" max="14351" width="12.625" style="3" bestFit="1" customWidth="1"/>
    <col min="14352" max="14354" width="9" style="3"/>
    <col min="14355" max="14355" width="13" style="3" customWidth="1"/>
    <col min="14356" max="14592" width="9" style="3"/>
    <col min="14593" max="14593" width="14.875" style="3" customWidth="1"/>
    <col min="14594" max="14602" width="10" style="3" customWidth="1"/>
    <col min="14603" max="14603" width="11.25" style="3" customWidth="1"/>
    <col min="14604" max="14605" width="10" style="3" customWidth="1"/>
    <col min="14606" max="14606" width="1.5" style="3" customWidth="1"/>
    <col min="14607" max="14607" width="12.625" style="3" bestFit="1" customWidth="1"/>
    <col min="14608" max="14610" width="9" style="3"/>
    <col min="14611" max="14611" width="13" style="3" customWidth="1"/>
    <col min="14612" max="14848" width="9" style="3"/>
    <col min="14849" max="14849" width="14.875" style="3" customWidth="1"/>
    <col min="14850" max="14858" width="10" style="3" customWidth="1"/>
    <col min="14859" max="14859" width="11.25" style="3" customWidth="1"/>
    <col min="14860" max="14861" width="10" style="3" customWidth="1"/>
    <col min="14862" max="14862" width="1.5" style="3" customWidth="1"/>
    <col min="14863" max="14863" width="12.625" style="3" bestFit="1" customWidth="1"/>
    <col min="14864" max="14866" width="9" style="3"/>
    <col min="14867" max="14867" width="13" style="3" customWidth="1"/>
    <col min="14868" max="15104" width="9" style="3"/>
    <col min="15105" max="15105" width="14.875" style="3" customWidth="1"/>
    <col min="15106" max="15114" width="10" style="3" customWidth="1"/>
    <col min="15115" max="15115" width="11.25" style="3" customWidth="1"/>
    <col min="15116" max="15117" width="10" style="3" customWidth="1"/>
    <col min="15118" max="15118" width="1.5" style="3" customWidth="1"/>
    <col min="15119" max="15119" width="12.625" style="3" bestFit="1" customWidth="1"/>
    <col min="15120" max="15122" width="9" style="3"/>
    <col min="15123" max="15123" width="13" style="3" customWidth="1"/>
    <col min="15124" max="15360" width="9" style="3"/>
    <col min="15361" max="15361" width="14.875" style="3" customWidth="1"/>
    <col min="15362" max="15370" width="10" style="3" customWidth="1"/>
    <col min="15371" max="15371" width="11.25" style="3" customWidth="1"/>
    <col min="15372" max="15373" width="10" style="3" customWidth="1"/>
    <col min="15374" max="15374" width="1.5" style="3" customWidth="1"/>
    <col min="15375" max="15375" width="12.625" style="3" bestFit="1" customWidth="1"/>
    <col min="15376" max="15378" width="9" style="3"/>
    <col min="15379" max="15379" width="13" style="3" customWidth="1"/>
    <col min="15380" max="15616" width="9" style="3"/>
    <col min="15617" max="15617" width="14.875" style="3" customWidth="1"/>
    <col min="15618" max="15626" width="10" style="3" customWidth="1"/>
    <col min="15627" max="15627" width="11.25" style="3" customWidth="1"/>
    <col min="15628" max="15629" width="10" style="3" customWidth="1"/>
    <col min="15630" max="15630" width="1.5" style="3" customWidth="1"/>
    <col min="15631" max="15631" width="12.625" style="3" bestFit="1" customWidth="1"/>
    <col min="15632" max="15634" width="9" style="3"/>
    <col min="15635" max="15635" width="13" style="3" customWidth="1"/>
    <col min="15636" max="15872" width="9" style="3"/>
    <col min="15873" max="15873" width="14.875" style="3" customWidth="1"/>
    <col min="15874" max="15882" width="10" style="3" customWidth="1"/>
    <col min="15883" max="15883" width="11.25" style="3" customWidth="1"/>
    <col min="15884" max="15885" width="10" style="3" customWidth="1"/>
    <col min="15886" max="15886" width="1.5" style="3" customWidth="1"/>
    <col min="15887" max="15887" width="12.625" style="3" bestFit="1" customWidth="1"/>
    <col min="15888" max="15890" width="9" style="3"/>
    <col min="15891" max="15891" width="13" style="3" customWidth="1"/>
    <col min="15892" max="16128" width="9" style="3"/>
    <col min="16129" max="16129" width="14.875" style="3" customWidth="1"/>
    <col min="16130" max="16138" width="10" style="3" customWidth="1"/>
    <col min="16139" max="16139" width="11.25" style="3" customWidth="1"/>
    <col min="16140" max="16141" width="10" style="3" customWidth="1"/>
    <col min="16142" max="16142" width="1.5" style="3" customWidth="1"/>
    <col min="16143" max="16143" width="12.625" style="3" bestFit="1" customWidth="1"/>
    <col min="16144" max="16146" width="9" style="3"/>
    <col min="16147" max="16147" width="13" style="3" customWidth="1"/>
    <col min="16148" max="16384" width="9" style="3"/>
  </cols>
  <sheetData>
    <row r="1" spans="1:19" ht="18.75" x14ac:dyDescent="0.15">
      <c r="A1" s="73">
        <f>[1]表紙!A1</f>
        <v>2014</v>
      </c>
      <c r="B1" s="75">
        <f>[1]表紙!B1</f>
        <v>11</v>
      </c>
      <c r="C1" s="1"/>
      <c r="D1" s="1"/>
      <c r="E1" s="77" t="s">
        <v>0</v>
      </c>
      <c r="F1" s="77"/>
      <c r="G1" s="77"/>
      <c r="H1" s="77"/>
      <c r="I1" s="77"/>
      <c r="J1" s="77"/>
      <c r="K1" s="77"/>
      <c r="L1" s="2"/>
      <c r="M1" s="2"/>
    </row>
    <row r="2" spans="1:19" ht="19.5" thickBot="1" x14ac:dyDescent="0.2">
      <c r="A2" s="74"/>
      <c r="B2" s="76"/>
      <c r="C2" s="4"/>
      <c r="D2" s="4"/>
      <c r="E2" s="77"/>
      <c r="F2" s="77"/>
      <c r="G2" s="77"/>
      <c r="H2" s="77"/>
      <c r="I2" s="77"/>
      <c r="J2" s="77"/>
      <c r="K2" s="77"/>
      <c r="L2" s="2"/>
      <c r="M2" s="2"/>
    </row>
    <row r="3" spans="1:19" ht="14.25" thickTop="1" x14ac:dyDescent="0.15">
      <c r="A3" s="5" t="s">
        <v>1</v>
      </c>
      <c r="B3" s="78" t="s">
        <v>32</v>
      </c>
      <c r="C3" s="79"/>
      <c r="D3" s="6"/>
      <c r="E3" s="80" t="s">
        <v>3</v>
      </c>
      <c r="F3" s="7" t="s">
        <v>4</v>
      </c>
      <c r="G3" s="8">
        <v>0.20833333333333334</v>
      </c>
      <c r="H3" s="9"/>
      <c r="I3" s="10" t="s">
        <v>5</v>
      </c>
      <c r="J3" s="11">
        <f>COUNTA($B$8:$B$38)</f>
        <v>6</v>
      </c>
      <c r="K3" s="82" t="s">
        <v>6</v>
      </c>
      <c r="L3" s="55">
        <f>SUM($K$8:$K$38)</f>
        <v>11000</v>
      </c>
      <c r="M3" s="56"/>
    </row>
    <row r="4" spans="1:19" ht="14.25" thickBot="1" x14ac:dyDescent="0.2">
      <c r="A4" s="12" t="s">
        <v>25</v>
      </c>
      <c r="B4" s="84">
        <v>1000</v>
      </c>
      <c r="C4" s="85"/>
      <c r="E4" s="81"/>
      <c r="F4" s="14" t="s">
        <v>7</v>
      </c>
      <c r="G4" s="15">
        <v>0.875</v>
      </c>
      <c r="H4" s="9"/>
      <c r="I4" s="16" t="s">
        <v>8</v>
      </c>
      <c r="J4" s="17">
        <f>SUM($J$8:$J$38)</f>
        <v>24.5</v>
      </c>
      <c r="K4" s="83"/>
      <c r="L4" s="57"/>
      <c r="M4" s="58"/>
    </row>
    <row r="5" spans="1:19" ht="15" thickTop="1" thickBot="1" x14ac:dyDescent="0.2">
      <c r="L5" s="19"/>
      <c r="M5" s="19"/>
    </row>
    <row r="6" spans="1:19" x14ac:dyDescent="0.15">
      <c r="A6" s="61" t="s">
        <v>9</v>
      </c>
      <c r="B6" s="63" t="s">
        <v>10</v>
      </c>
      <c r="C6" s="63"/>
      <c r="D6" s="63"/>
      <c r="E6" s="64"/>
      <c r="F6" s="61" t="s">
        <v>11</v>
      </c>
      <c r="G6" s="65"/>
      <c r="H6" s="61" t="s">
        <v>12</v>
      </c>
      <c r="I6" s="63" t="s">
        <v>13</v>
      </c>
      <c r="J6" s="67" t="s">
        <v>14</v>
      </c>
      <c r="K6" s="69" t="s">
        <v>15</v>
      </c>
      <c r="L6" s="71"/>
      <c r="M6" s="53"/>
      <c r="O6" s="20"/>
    </row>
    <row r="7" spans="1:19" x14ac:dyDescent="0.15">
      <c r="A7" s="62"/>
      <c r="B7" s="21" t="s">
        <v>16</v>
      </c>
      <c r="C7" s="21" t="s">
        <v>17</v>
      </c>
      <c r="D7" s="21" t="s">
        <v>18</v>
      </c>
      <c r="E7" s="22" t="s">
        <v>19</v>
      </c>
      <c r="F7" s="23" t="s">
        <v>20</v>
      </c>
      <c r="G7" s="24" t="s">
        <v>21</v>
      </c>
      <c r="H7" s="62"/>
      <c r="I7" s="66"/>
      <c r="J7" s="68"/>
      <c r="K7" s="70"/>
      <c r="L7" s="72"/>
      <c r="M7" s="54"/>
    </row>
    <row r="8" spans="1:19" x14ac:dyDescent="0.15">
      <c r="A8" s="25">
        <v>41944</v>
      </c>
      <c r="B8" s="26"/>
      <c r="C8" s="26"/>
      <c r="D8" s="26"/>
      <c r="E8" s="27"/>
      <c r="F8" s="28" t="s">
        <v>22</v>
      </c>
      <c r="G8" s="29" t="s">
        <v>22</v>
      </c>
      <c r="H8" s="28" t="s">
        <v>22</v>
      </c>
      <c r="I8" s="30" t="s">
        <v>22</v>
      </c>
      <c r="J8" s="31" t="s">
        <v>22</v>
      </c>
      <c r="K8" s="32" t="s">
        <v>22</v>
      </c>
      <c r="L8" s="33"/>
      <c r="M8" s="34"/>
      <c r="O8" s="35"/>
      <c r="P8" s="36"/>
      <c r="Q8" s="36"/>
      <c r="R8" s="36"/>
      <c r="S8" s="36"/>
    </row>
    <row r="9" spans="1:19" x14ac:dyDescent="0.15">
      <c r="A9" s="25">
        <v>41945</v>
      </c>
      <c r="B9" s="37"/>
      <c r="C9" s="26"/>
      <c r="D9" s="26"/>
      <c r="E9" s="38"/>
      <c r="F9" s="28" t="s">
        <v>22</v>
      </c>
      <c r="G9" s="29" t="s">
        <v>22</v>
      </c>
      <c r="H9" s="39" t="s">
        <v>22</v>
      </c>
      <c r="I9" s="30" t="s">
        <v>22</v>
      </c>
      <c r="J9" s="31" t="s">
        <v>22</v>
      </c>
      <c r="K9" s="32" t="s">
        <v>22</v>
      </c>
      <c r="L9" s="33"/>
      <c r="M9" s="34"/>
      <c r="O9" s="35"/>
      <c r="P9" s="36"/>
      <c r="Q9" s="36"/>
      <c r="R9" s="36"/>
      <c r="S9" s="36"/>
    </row>
    <row r="10" spans="1:19" x14ac:dyDescent="0.15">
      <c r="A10" s="25">
        <v>41946</v>
      </c>
      <c r="B10" s="37"/>
      <c r="C10" s="37"/>
      <c r="D10" s="37"/>
      <c r="E10" s="38"/>
      <c r="F10" s="28" t="s">
        <v>22</v>
      </c>
      <c r="G10" s="29" t="s">
        <v>22</v>
      </c>
      <c r="H10" s="39" t="s">
        <v>22</v>
      </c>
      <c r="I10" s="30" t="s">
        <v>22</v>
      </c>
      <c r="J10" s="31" t="s">
        <v>22</v>
      </c>
      <c r="K10" s="32" t="s">
        <v>22</v>
      </c>
      <c r="L10" s="33"/>
      <c r="M10" s="34"/>
      <c r="O10" s="35"/>
      <c r="P10" s="36"/>
      <c r="Q10" s="36"/>
      <c r="R10" s="36"/>
      <c r="S10" s="36"/>
    </row>
    <row r="11" spans="1:19" x14ac:dyDescent="0.15">
      <c r="A11" s="25">
        <v>41947</v>
      </c>
      <c r="B11" s="37"/>
      <c r="C11" s="37"/>
      <c r="D11" s="37"/>
      <c r="E11" s="38"/>
      <c r="F11" s="28" t="s">
        <v>22</v>
      </c>
      <c r="G11" s="29" t="s">
        <v>22</v>
      </c>
      <c r="H11" s="39" t="s">
        <v>22</v>
      </c>
      <c r="I11" s="30" t="s">
        <v>22</v>
      </c>
      <c r="J11" s="31" t="s">
        <v>22</v>
      </c>
      <c r="K11" s="32" t="s">
        <v>22</v>
      </c>
      <c r="L11" s="33"/>
      <c r="M11" s="34"/>
      <c r="O11" s="35"/>
      <c r="P11" s="36"/>
      <c r="Q11" s="36"/>
      <c r="R11" s="36"/>
      <c r="S11" s="36"/>
    </row>
    <row r="12" spans="1:19" x14ac:dyDescent="0.15">
      <c r="A12" s="25">
        <v>41948</v>
      </c>
      <c r="B12" s="37"/>
      <c r="C12" s="37"/>
      <c r="D12" s="37"/>
      <c r="E12" s="38"/>
      <c r="F12" s="28" t="s">
        <v>22</v>
      </c>
      <c r="G12" s="29" t="s">
        <v>22</v>
      </c>
      <c r="H12" s="39" t="s">
        <v>22</v>
      </c>
      <c r="I12" s="30" t="s">
        <v>22</v>
      </c>
      <c r="J12" s="31" t="s">
        <v>22</v>
      </c>
      <c r="K12" s="32" t="s">
        <v>22</v>
      </c>
      <c r="L12" s="33"/>
      <c r="M12" s="34"/>
      <c r="O12" s="35"/>
      <c r="P12" s="36"/>
      <c r="Q12" s="36"/>
      <c r="R12" s="36"/>
      <c r="S12" s="36"/>
    </row>
    <row r="13" spans="1:19" x14ac:dyDescent="0.15">
      <c r="A13" s="25">
        <v>41949</v>
      </c>
      <c r="B13" s="37"/>
      <c r="C13" s="37"/>
      <c r="D13" s="37"/>
      <c r="E13" s="38"/>
      <c r="F13" s="28" t="s">
        <v>22</v>
      </c>
      <c r="G13" s="29" t="s">
        <v>22</v>
      </c>
      <c r="H13" s="39" t="s">
        <v>22</v>
      </c>
      <c r="I13" s="30" t="s">
        <v>22</v>
      </c>
      <c r="J13" s="31" t="s">
        <v>22</v>
      </c>
      <c r="K13" s="32" t="s">
        <v>22</v>
      </c>
      <c r="L13" s="33"/>
      <c r="M13" s="34"/>
      <c r="O13" s="35"/>
      <c r="P13" s="36"/>
      <c r="Q13" s="36"/>
      <c r="R13" s="36"/>
      <c r="S13" s="36"/>
    </row>
    <row r="14" spans="1:19" x14ac:dyDescent="0.15">
      <c r="A14" s="25">
        <v>41950</v>
      </c>
      <c r="B14" s="37"/>
      <c r="C14" s="37"/>
      <c r="D14" s="37"/>
      <c r="E14" s="38"/>
      <c r="F14" s="28" t="s">
        <v>22</v>
      </c>
      <c r="G14" s="29" t="s">
        <v>22</v>
      </c>
      <c r="H14" s="39" t="s">
        <v>22</v>
      </c>
      <c r="I14" s="30" t="s">
        <v>22</v>
      </c>
      <c r="J14" s="31" t="s">
        <v>22</v>
      </c>
      <c r="K14" s="32" t="s">
        <v>22</v>
      </c>
      <c r="L14" s="33"/>
      <c r="M14" s="34"/>
      <c r="O14" s="40"/>
      <c r="P14" s="41"/>
      <c r="Q14" s="41"/>
      <c r="R14" s="41"/>
      <c r="S14" s="41"/>
    </row>
    <row r="15" spans="1:19" x14ac:dyDescent="0.15">
      <c r="A15" s="25">
        <v>41951</v>
      </c>
      <c r="B15" s="37"/>
      <c r="C15" s="26"/>
      <c r="D15" s="26"/>
      <c r="E15" s="38"/>
      <c r="F15" s="28" t="s">
        <v>22</v>
      </c>
      <c r="G15" s="29" t="s">
        <v>22</v>
      </c>
      <c r="H15" s="39" t="s">
        <v>22</v>
      </c>
      <c r="I15" s="30" t="s">
        <v>22</v>
      </c>
      <c r="J15" s="31" t="s">
        <v>22</v>
      </c>
      <c r="K15" s="32" t="s">
        <v>22</v>
      </c>
      <c r="L15" s="33"/>
      <c r="M15" s="34"/>
      <c r="O15" s="35"/>
      <c r="P15" s="36"/>
      <c r="Q15" s="36"/>
      <c r="R15" s="36"/>
      <c r="S15" s="36"/>
    </row>
    <row r="16" spans="1:19" x14ac:dyDescent="0.15">
      <c r="A16" s="25">
        <v>41952</v>
      </c>
      <c r="B16" s="37"/>
      <c r="C16" s="26"/>
      <c r="D16" s="26"/>
      <c r="E16" s="38"/>
      <c r="F16" s="28" t="s">
        <v>22</v>
      </c>
      <c r="G16" s="29" t="s">
        <v>22</v>
      </c>
      <c r="H16" s="39" t="s">
        <v>22</v>
      </c>
      <c r="I16" s="30" t="s">
        <v>22</v>
      </c>
      <c r="J16" s="31" t="s">
        <v>22</v>
      </c>
      <c r="K16" s="32" t="s">
        <v>22</v>
      </c>
      <c r="L16" s="33"/>
      <c r="M16" s="34"/>
      <c r="O16" s="35"/>
      <c r="P16" s="36"/>
      <c r="Q16" s="36"/>
      <c r="R16" s="36"/>
      <c r="S16" s="36"/>
    </row>
    <row r="17" spans="1:19" x14ac:dyDescent="0.15">
      <c r="A17" s="25">
        <v>41953</v>
      </c>
      <c r="B17" s="37"/>
      <c r="C17" s="37"/>
      <c r="D17" s="37"/>
      <c r="E17" s="38"/>
      <c r="F17" s="28" t="s">
        <v>22</v>
      </c>
      <c r="G17" s="29" t="s">
        <v>22</v>
      </c>
      <c r="H17" s="39" t="s">
        <v>22</v>
      </c>
      <c r="I17" s="30" t="s">
        <v>22</v>
      </c>
      <c r="J17" s="31" t="s">
        <v>22</v>
      </c>
      <c r="K17" s="32" t="s">
        <v>22</v>
      </c>
      <c r="L17" s="33"/>
      <c r="M17" s="34"/>
      <c r="O17" s="35"/>
      <c r="P17" s="36"/>
      <c r="Q17" s="36"/>
      <c r="R17" s="36"/>
      <c r="S17" s="36"/>
    </row>
    <row r="18" spans="1:19" x14ac:dyDescent="0.15">
      <c r="A18" s="25">
        <v>41954</v>
      </c>
      <c r="B18" s="37"/>
      <c r="C18" s="37"/>
      <c r="D18" s="37"/>
      <c r="E18" s="38"/>
      <c r="F18" s="28" t="s">
        <v>22</v>
      </c>
      <c r="G18" s="29" t="s">
        <v>22</v>
      </c>
      <c r="H18" s="39" t="s">
        <v>22</v>
      </c>
      <c r="I18" s="30" t="s">
        <v>22</v>
      </c>
      <c r="J18" s="31" t="s">
        <v>22</v>
      </c>
      <c r="K18" s="32" t="s">
        <v>22</v>
      </c>
      <c r="L18" s="33"/>
      <c r="M18" s="34"/>
      <c r="O18" s="35"/>
      <c r="P18" s="36"/>
      <c r="Q18" s="36"/>
      <c r="R18" s="36"/>
      <c r="S18" s="36"/>
    </row>
    <row r="19" spans="1:19" x14ac:dyDescent="0.15">
      <c r="A19" s="25">
        <v>41955</v>
      </c>
      <c r="B19" s="37"/>
      <c r="C19" s="26"/>
      <c r="D19" s="26"/>
      <c r="E19" s="38"/>
      <c r="F19" s="28" t="s">
        <v>22</v>
      </c>
      <c r="G19" s="29" t="s">
        <v>22</v>
      </c>
      <c r="H19" s="39" t="s">
        <v>22</v>
      </c>
      <c r="I19" s="30" t="s">
        <v>22</v>
      </c>
      <c r="J19" s="31" t="s">
        <v>22</v>
      </c>
      <c r="K19" s="32" t="s">
        <v>22</v>
      </c>
      <c r="L19" s="33"/>
      <c r="M19" s="34"/>
    </row>
    <row r="20" spans="1:19" x14ac:dyDescent="0.15">
      <c r="A20" s="25">
        <v>41956</v>
      </c>
      <c r="B20" s="37"/>
      <c r="C20" s="26"/>
      <c r="D20" s="26"/>
      <c r="E20" s="38"/>
      <c r="F20" s="28" t="s">
        <v>22</v>
      </c>
      <c r="G20" s="29" t="s">
        <v>22</v>
      </c>
      <c r="H20" s="39" t="s">
        <v>22</v>
      </c>
      <c r="I20" s="30" t="s">
        <v>22</v>
      </c>
      <c r="J20" s="31" t="s">
        <v>22</v>
      </c>
      <c r="K20" s="32" t="s">
        <v>22</v>
      </c>
      <c r="L20" s="33"/>
      <c r="M20" s="34"/>
    </row>
    <row r="21" spans="1:19" x14ac:dyDescent="0.15">
      <c r="A21" s="25">
        <v>41957</v>
      </c>
      <c r="B21" s="37"/>
      <c r="C21" s="26"/>
      <c r="D21" s="37"/>
      <c r="E21" s="38"/>
      <c r="F21" s="28" t="s">
        <v>22</v>
      </c>
      <c r="G21" s="29" t="s">
        <v>22</v>
      </c>
      <c r="H21" s="39" t="s">
        <v>22</v>
      </c>
      <c r="I21" s="30" t="s">
        <v>22</v>
      </c>
      <c r="J21" s="31" t="s">
        <v>22</v>
      </c>
      <c r="K21" s="32" t="s">
        <v>22</v>
      </c>
      <c r="L21" s="33"/>
      <c r="M21" s="34"/>
    </row>
    <row r="22" spans="1:19" x14ac:dyDescent="0.15">
      <c r="A22" s="25">
        <v>41958</v>
      </c>
      <c r="B22" s="37"/>
      <c r="C22" s="37"/>
      <c r="D22" s="26"/>
      <c r="E22" s="38"/>
      <c r="F22" s="28" t="s">
        <v>22</v>
      </c>
      <c r="G22" s="29" t="s">
        <v>22</v>
      </c>
      <c r="H22" s="39" t="s">
        <v>22</v>
      </c>
      <c r="I22" s="30" t="s">
        <v>22</v>
      </c>
      <c r="J22" s="31" t="s">
        <v>22</v>
      </c>
      <c r="K22" s="32" t="s">
        <v>22</v>
      </c>
      <c r="L22" s="33"/>
      <c r="M22" s="34"/>
    </row>
    <row r="23" spans="1:19" x14ac:dyDescent="0.15">
      <c r="A23" s="25">
        <v>41959</v>
      </c>
      <c r="B23" s="37"/>
      <c r="C23" s="26"/>
      <c r="D23" s="26"/>
      <c r="E23" s="38"/>
      <c r="F23" s="28" t="s">
        <v>22</v>
      </c>
      <c r="G23" s="29" t="s">
        <v>22</v>
      </c>
      <c r="H23" s="39" t="s">
        <v>22</v>
      </c>
      <c r="I23" s="30" t="s">
        <v>22</v>
      </c>
      <c r="J23" s="31" t="s">
        <v>22</v>
      </c>
      <c r="K23" s="32" t="s">
        <v>22</v>
      </c>
      <c r="L23" s="33"/>
      <c r="M23" s="34"/>
    </row>
    <row r="24" spans="1:19" x14ac:dyDescent="0.15">
      <c r="A24" s="25">
        <v>41960</v>
      </c>
      <c r="B24" s="37">
        <v>0.39583333333333331</v>
      </c>
      <c r="C24" s="26">
        <v>0.5</v>
      </c>
      <c r="D24" s="26">
        <v>0.54166666666666663</v>
      </c>
      <c r="E24" s="38">
        <v>0.6333333333333333</v>
      </c>
      <c r="F24" s="28">
        <v>0.39583333333333331</v>
      </c>
      <c r="G24" s="29">
        <v>0.625</v>
      </c>
      <c r="H24" s="39">
        <v>0.22916666666666669</v>
      </c>
      <c r="I24" s="30">
        <v>4.1666666666666664E-2</v>
      </c>
      <c r="J24" s="31">
        <v>4.5000000000000009</v>
      </c>
      <c r="K24" s="32">
        <v>1000</v>
      </c>
      <c r="L24" s="33"/>
      <c r="M24" s="34"/>
    </row>
    <row r="25" spans="1:19" x14ac:dyDescent="0.15">
      <c r="A25" s="25">
        <v>41961</v>
      </c>
      <c r="B25" s="37"/>
      <c r="C25" s="26"/>
      <c r="D25" s="26"/>
      <c r="E25" s="38"/>
      <c r="F25" s="28" t="s">
        <v>22</v>
      </c>
      <c r="G25" s="29" t="s">
        <v>22</v>
      </c>
      <c r="H25" s="39" t="s">
        <v>22</v>
      </c>
      <c r="I25" s="30" t="s">
        <v>22</v>
      </c>
      <c r="J25" s="31" t="s">
        <v>22</v>
      </c>
      <c r="K25" s="32" t="s">
        <v>22</v>
      </c>
      <c r="L25" s="33"/>
      <c r="M25" s="34"/>
    </row>
    <row r="26" spans="1:19" x14ac:dyDescent="0.15">
      <c r="A26" s="25">
        <v>41962</v>
      </c>
      <c r="B26" s="37"/>
      <c r="C26" s="37"/>
      <c r="D26" s="37"/>
      <c r="E26" s="38"/>
      <c r="F26" s="28" t="s">
        <v>22</v>
      </c>
      <c r="G26" s="29" t="s">
        <v>22</v>
      </c>
      <c r="H26" s="39" t="s">
        <v>22</v>
      </c>
      <c r="I26" s="30" t="s">
        <v>22</v>
      </c>
      <c r="J26" s="31" t="s">
        <v>22</v>
      </c>
      <c r="K26" s="32" t="s">
        <v>22</v>
      </c>
      <c r="L26" s="33"/>
      <c r="M26" s="34"/>
    </row>
    <row r="27" spans="1:19" x14ac:dyDescent="0.15">
      <c r="A27" s="25">
        <v>41963</v>
      </c>
      <c r="B27" s="37">
        <v>0.40763888888888888</v>
      </c>
      <c r="C27" s="26">
        <v>0.5</v>
      </c>
      <c r="D27" s="26">
        <v>0.54166666666666663</v>
      </c>
      <c r="E27" s="38">
        <v>0.64583333333333337</v>
      </c>
      <c r="F27" s="28">
        <v>0.41666666666666663</v>
      </c>
      <c r="G27" s="29">
        <v>0.64583333333333326</v>
      </c>
      <c r="H27" s="39">
        <v>0.22916666666666663</v>
      </c>
      <c r="I27" s="30">
        <v>4.1666666666666664E-2</v>
      </c>
      <c r="J27" s="31">
        <v>4.4999999999999991</v>
      </c>
      <c r="K27" s="32">
        <v>1000</v>
      </c>
      <c r="L27" s="33"/>
      <c r="M27" s="34"/>
    </row>
    <row r="28" spans="1:19" x14ac:dyDescent="0.15">
      <c r="A28" s="25">
        <v>41964</v>
      </c>
      <c r="B28" s="37"/>
      <c r="C28" s="26"/>
      <c r="D28" s="26"/>
      <c r="E28" s="38"/>
      <c r="F28" s="28" t="s">
        <v>22</v>
      </c>
      <c r="G28" s="29" t="s">
        <v>22</v>
      </c>
      <c r="H28" s="39" t="s">
        <v>22</v>
      </c>
      <c r="I28" s="30" t="s">
        <v>22</v>
      </c>
      <c r="J28" s="31" t="s">
        <v>22</v>
      </c>
      <c r="K28" s="32" t="s">
        <v>22</v>
      </c>
      <c r="L28" s="33"/>
      <c r="M28" s="34"/>
    </row>
    <row r="29" spans="1:19" x14ac:dyDescent="0.15">
      <c r="A29" s="25">
        <v>41965</v>
      </c>
      <c r="B29" s="37"/>
      <c r="C29" s="26"/>
      <c r="D29" s="26"/>
      <c r="E29" s="38"/>
      <c r="F29" s="28" t="s">
        <v>22</v>
      </c>
      <c r="G29" s="29" t="s">
        <v>22</v>
      </c>
      <c r="H29" s="39" t="s">
        <v>22</v>
      </c>
      <c r="I29" s="30" t="s">
        <v>22</v>
      </c>
      <c r="J29" s="31" t="s">
        <v>22</v>
      </c>
      <c r="K29" s="32" t="s">
        <v>22</v>
      </c>
      <c r="L29" s="33"/>
      <c r="M29" s="34"/>
    </row>
    <row r="30" spans="1:19" x14ac:dyDescent="0.15">
      <c r="A30" s="25">
        <v>41966</v>
      </c>
      <c r="B30" s="37"/>
      <c r="C30" s="26"/>
      <c r="D30" s="26"/>
      <c r="E30" s="38"/>
      <c r="F30" s="28" t="s">
        <v>22</v>
      </c>
      <c r="G30" s="29" t="s">
        <v>22</v>
      </c>
      <c r="H30" s="39" t="s">
        <v>22</v>
      </c>
      <c r="I30" s="30" t="s">
        <v>22</v>
      </c>
      <c r="J30" s="31" t="s">
        <v>22</v>
      </c>
      <c r="K30" s="32" t="s">
        <v>22</v>
      </c>
      <c r="L30" s="33"/>
      <c r="M30" s="34"/>
    </row>
    <row r="31" spans="1:19" x14ac:dyDescent="0.15">
      <c r="A31" s="25">
        <v>41967</v>
      </c>
      <c r="B31" s="37"/>
      <c r="C31" s="37"/>
      <c r="D31" s="37"/>
      <c r="E31" s="38"/>
      <c r="F31" s="28" t="s">
        <v>22</v>
      </c>
      <c r="G31" s="29" t="s">
        <v>22</v>
      </c>
      <c r="H31" s="39" t="s">
        <v>22</v>
      </c>
      <c r="I31" s="30" t="s">
        <v>22</v>
      </c>
      <c r="J31" s="31" t="s">
        <v>22</v>
      </c>
      <c r="K31" s="32" t="s">
        <v>22</v>
      </c>
      <c r="L31" s="33"/>
      <c r="M31" s="34"/>
    </row>
    <row r="32" spans="1:19" x14ac:dyDescent="0.15">
      <c r="A32" s="25">
        <v>41968</v>
      </c>
      <c r="B32" s="37">
        <v>0.39374999999999999</v>
      </c>
      <c r="C32" s="26">
        <v>0.5</v>
      </c>
      <c r="D32" s="26">
        <v>0.54166666666666663</v>
      </c>
      <c r="E32" s="38">
        <v>0.64652777777777781</v>
      </c>
      <c r="F32" s="28">
        <v>0.39583333333333331</v>
      </c>
      <c r="G32" s="29">
        <v>0.64583333333333326</v>
      </c>
      <c r="H32" s="39">
        <v>0.24999999999999994</v>
      </c>
      <c r="I32" s="30">
        <v>4.1666666666666664E-2</v>
      </c>
      <c r="J32" s="31">
        <v>4.9999999999999991</v>
      </c>
      <c r="K32" s="32">
        <v>999.99999999999977</v>
      </c>
      <c r="L32" s="33"/>
      <c r="M32" s="34"/>
    </row>
    <row r="33" spans="1:13" x14ac:dyDescent="0.15">
      <c r="A33" s="25">
        <v>41969</v>
      </c>
      <c r="B33" s="37">
        <v>0.39097222222222222</v>
      </c>
      <c r="C33" s="26"/>
      <c r="D33" s="26"/>
      <c r="E33" s="38">
        <v>0.47638888888888892</v>
      </c>
      <c r="F33" s="28">
        <v>0.39583333333333331</v>
      </c>
      <c r="G33" s="29">
        <v>0.46875</v>
      </c>
      <c r="H33" s="39">
        <v>7.2916666666666685E-2</v>
      </c>
      <c r="I33" s="30" t="s">
        <v>22</v>
      </c>
      <c r="J33" s="31">
        <v>1.7500000000000004</v>
      </c>
      <c r="K33" s="32">
        <v>1000</v>
      </c>
      <c r="L33" s="33"/>
      <c r="M33" s="34"/>
    </row>
    <row r="34" spans="1:13" x14ac:dyDescent="0.15">
      <c r="A34" s="25">
        <v>41970</v>
      </c>
      <c r="B34" s="37">
        <v>0.39652777777777781</v>
      </c>
      <c r="C34" s="26">
        <v>0.5</v>
      </c>
      <c r="D34" s="26">
        <v>0.54166666666666663</v>
      </c>
      <c r="E34" s="38">
        <v>0.63611111111111118</v>
      </c>
      <c r="F34" s="28">
        <v>0.40625</v>
      </c>
      <c r="G34" s="29">
        <v>0.63541666666666663</v>
      </c>
      <c r="H34" s="39">
        <v>0.22916666666666663</v>
      </c>
      <c r="I34" s="30">
        <v>4.1666666666666664E-2</v>
      </c>
      <c r="J34" s="31">
        <v>4.4999999999999991</v>
      </c>
      <c r="K34" s="32">
        <v>1000</v>
      </c>
      <c r="L34" s="33"/>
      <c r="M34" s="34"/>
    </row>
    <row r="35" spans="1:13" x14ac:dyDescent="0.15">
      <c r="A35" s="25">
        <v>41971</v>
      </c>
      <c r="B35" s="37">
        <v>0.3923611111111111</v>
      </c>
      <c r="C35" s="26">
        <v>0.5</v>
      </c>
      <c r="D35" s="26">
        <v>0.54166666666666663</v>
      </c>
      <c r="E35" s="38">
        <v>0.62222222222222223</v>
      </c>
      <c r="F35" s="28">
        <v>0.39583333333333331</v>
      </c>
      <c r="G35" s="29">
        <v>0.61458333333333326</v>
      </c>
      <c r="H35" s="39">
        <v>0.21874999999999994</v>
      </c>
      <c r="I35" s="30">
        <v>4.1666666666666664E-2</v>
      </c>
      <c r="J35" s="31">
        <v>4.2499999999999991</v>
      </c>
      <c r="K35" s="32">
        <v>1000</v>
      </c>
      <c r="L35" s="33"/>
      <c r="M35" s="34"/>
    </row>
    <row r="36" spans="1:13" x14ac:dyDescent="0.15">
      <c r="A36" s="25">
        <v>41972</v>
      </c>
      <c r="B36" s="37"/>
      <c r="C36" s="37"/>
      <c r="D36" s="37"/>
      <c r="E36" s="38"/>
      <c r="F36" s="28" t="s">
        <v>22</v>
      </c>
      <c r="G36" s="29" t="s">
        <v>22</v>
      </c>
      <c r="H36" s="39" t="s">
        <v>22</v>
      </c>
      <c r="I36" s="30" t="s">
        <v>22</v>
      </c>
      <c r="J36" s="31" t="s">
        <v>22</v>
      </c>
      <c r="K36" s="32" t="s">
        <v>22</v>
      </c>
      <c r="L36" s="33"/>
      <c r="M36" s="34"/>
    </row>
    <row r="37" spans="1:13" x14ac:dyDescent="0.15">
      <c r="A37" s="25">
        <v>41973</v>
      </c>
      <c r="B37" s="37"/>
      <c r="C37" s="26"/>
      <c r="D37" s="26"/>
      <c r="E37" s="38"/>
      <c r="F37" s="28" t="s">
        <v>22</v>
      </c>
      <c r="G37" s="29" t="s">
        <v>22</v>
      </c>
      <c r="H37" s="39" t="s">
        <v>22</v>
      </c>
      <c r="I37" s="30" t="s">
        <v>22</v>
      </c>
      <c r="J37" s="31" t="s">
        <v>22</v>
      </c>
      <c r="K37" s="32" t="s">
        <v>22</v>
      </c>
      <c r="L37" s="33"/>
      <c r="M37" s="34"/>
    </row>
    <row r="38" spans="1:13" ht="14.25" thickBot="1" x14ac:dyDescent="0.2">
      <c r="A38" s="42" t="s">
        <v>22</v>
      </c>
      <c r="B38" s="43"/>
      <c r="C38" s="43"/>
      <c r="D38" s="43"/>
      <c r="E38" s="15"/>
      <c r="F38" s="44" t="s">
        <v>22</v>
      </c>
      <c r="G38" s="45" t="s">
        <v>22</v>
      </c>
      <c r="H38" s="46" t="s">
        <v>22</v>
      </c>
      <c r="I38" s="47" t="s">
        <v>22</v>
      </c>
      <c r="J38" s="48" t="s">
        <v>31</v>
      </c>
      <c r="K38" s="49">
        <v>5000</v>
      </c>
      <c r="L38" s="50"/>
      <c r="M38" s="51"/>
    </row>
    <row r="39" spans="1:13" x14ac:dyDescent="0.15">
      <c r="K39" s="52"/>
    </row>
  </sheetData>
  <mergeCells count="17">
    <mergeCell ref="A1:A2"/>
    <mergeCell ref="B1:B2"/>
    <mergeCell ref="E1:K2"/>
    <mergeCell ref="B3:C3"/>
    <mergeCell ref="E3:E4"/>
    <mergeCell ref="K3:K4"/>
    <mergeCell ref="M6:M7"/>
    <mergeCell ref="L3:M4"/>
    <mergeCell ref="B4:C4"/>
    <mergeCell ref="A6:A7"/>
    <mergeCell ref="B6:E6"/>
    <mergeCell ref="F6:G6"/>
    <mergeCell ref="H6:H7"/>
    <mergeCell ref="I6:I7"/>
    <mergeCell ref="J6:J7"/>
    <mergeCell ref="K6:K7"/>
    <mergeCell ref="L6:L7"/>
  </mergeCells>
  <phoneticPr fontId="3"/>
  <conditionalFormatting sqref="A8:M23 A24:A27 F24:M27 A28:M38">
    <cfRule type="expression" dxfId="21" priority="17" stopIfTrue="1">
      <formula>MATCH($A8,休日,0)&gt;0</formula>
    </cfRule>
    <cfRule type="expression" dxfId="20" priority="18" stopIfTrue="1">
      <formula>WEEKDAY($A8)=1</formula>
    </cfRule>
    <cfRule type="expression" dxfId="19" priority="19" stopIfTrue="1">
      <formula>WEEKDAY($A8)=7</formula>
    </cfRule>
  </conditionalFormatting>
  <conditionalFormatting sqref="E8:E23 E28:E38">
    <cfRule type="cellIs" dxfId="18" priority="21" stopIfTrue="1" operator="greaterThan">
      <formula>0.916666666666667</formula>
    </cfRule>
  </conditionalFormatting>
  <conditionalFormatting sqref="J8:J38">
    <cfRule type="expression" dxfId="17" priority="20" stopIfTrue="1">
      <formula>$B8=""</formula>
    </cfRule>
    <cfRule type="expression" dxfId="16" priority="22" stopIfTrue="1">
      <formula>$J8&gt;8</formula>
    </cfRule>
  </conditionalFormatting>
  <conditionalFormatting sqref="I8:I38">
    <cfRule type="expression" dxfId="15" priority="14" stopIfTrue="1">
      <formula>MATCH($A8,休日,0)&gt;0</formula>
    </cfRule>
    <cfRule type="expression" dxfId="14" priority="15" stopIfTrue="1">
      <formula>WEEKDAY($A8)=1</formula>
    </cfRule>
    <cfRule type="expression" dxfId="13" priority="16" stopIfTrue="1">
      <formula>WEEKDAY($A8)=7</formula>
    </cfRule>
  </conditionalFormatting>
  <conditionalFormatting sqref="I8:I38">
    <cfRule type="expression" dxfId="12" priority="11" stopIfTrue="1">
      <formula>MATCH($A8,休日,0)&gt;0</formula>
    </cfRule>
    <cfRule type="expression" dxfId="11" priority="12" stopIfTrue="1">
      <formula>WEEKDAY($A8)=1</formula>
    </cfRule>
    <cfRule type="expression" dxfId="10" priority="13" stopIfTrue="1">
      <formula>WEEKDAY($A8)=7</formula>
    </cfRule>
  </conditionalFormatting>
  <conditionalFormatting sqref="B26:E26 B24:B25 E24:E25 B27 E27">
    <cfRule type="expression" dxfId="9" priority="7" stopIfTrue="1">
      <formula>MATCH($A24,休日,0)&gt;0</formula>
    </cfRule>
    <cfRule type="expression" dxfId="8" priority="8" stopIfTrue="1">
      <formula>WEEKDAY($A24)=1</formula>
    </cfRule>
    <cfRule type="expression" dxfId="7" priority="9" stopIfTrue="1">
      <formula>WEEKDAY($A24)=7</formula>
    </cfRule>
  </conditionalFormatting>
  <conditionalFormatting sqref="E24:E27">
    <cfRule type="cellIs" dxfId="6" priority="10" stopIfTrue="1" operator="greaterThan">
      <formula>0.916666666666667</formula>
    </cfRule>
  </conditionalFormatting>
  <conditionalFormatting sqref="C24:D25">
    <cfRule type="expression" dxfId="5" priority="4" stopIfTrue="1">
      <formula>MATCH($A24,休日,0)&gt;0</formula>
    </cfRule>
    <cfRule type="expression" dxfId="4" priority="5" stopIfTrue="1">
      <formula>WEEKDAY($A24)=1</formula>
    </cfRule>
    <cfRule type="expression" dxfId="3" priority="6" stopIfTrue="1">
      <formula>WEEKDAY($A24)=7</formula>
    </cfRule>
  </conditionalFormatting>
  <conditionalFormatting sqref="C27:D27">
    <cfRule type="expression" dxfId="2" priority="1" stopIfTrue="1">
      <formula>MATCH($A27,休日,0)&gt;0</formula>
    </cfRule>
    <cfRule type="expression" dxfId="1" priority="2" stopIfTrue="1">
      <formula>WEEKDAY($A27)=1</formula>
    </cfRule>
    <cfRule type="expression" dxfId="0" priority="3" stopIfTrue="1">
      <formula>WEEKDAY($A27)=7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番田</vt:lpstr>
      <vt:lpstr>川上</vt:lpstr>
      <vt:lpstr>木原</vt:lpstr>
      <vt:lpstr>上原正和</vt:lpstr>
      <vt:lpstr>上原浩二</vt:lpstr>
      <vt:lpstr>山内龍一</vt:lpstr>
      <vt:lpstr>山下</vt:lpstr>
      <vt:lpstr>Sheet8</vt:lpstr>
      <vt:lpstr>Sheet9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2014-12-22T05:29:59Z</cp:lastPrinted>
  <dcterms:created xsi:type="dcterms:W3CDTF">2014-12-22T05:03:35Z</dcterms:created>
  <dcterms:modified xsi:type="dcterms:W3CDTF">2015-01-05T00:53:02Z</dcterms:modified>
</cp:coreProperties>
</file>