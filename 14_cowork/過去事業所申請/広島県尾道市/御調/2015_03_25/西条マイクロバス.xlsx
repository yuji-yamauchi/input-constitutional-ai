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325" windowHeight="14250"/>
  </bookViews>
  <sheets>
    <sheet name="Sheet1" sheetId="1" r:id="rId1"/>
  </sheets>
  <definedNames>
    <definedName name="_xlnm.Print_Area" localSheetId="0">Sheet1!$A$1:$G$54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1" l="1"/>
  <c r="C49" i="1"/>
  <c r="C50" i="1"/>
  <c r="C47" i="1"/>
  <c r="C43" i="1"/>
  <c r="E50" i="1"/>
  <c r="E49" i="1"/>
  <c r="E48" i="1"/>
  <c r="E47" i="1"/>
  <c r="C40" i="1"/>
  <c r="C34" i="1"/>
  <c r="C33" i="1"/>
  <c r="C32" i="1"/>
  <c r="C31" i="1"/>
  <c r="E20" i="1"/>
  <c r="E21" i="1"/>
  <c r="E22" i="1"/>
  <c r="E23" i="1"/>
  <c r="C16" i="1"/>
  <c r="C21" i="1" s="1"/>
  <c r="C10" i="1"/>
  <c r="C9" i="1"/>
  <c r="C22" i="1" s="1"/>
  <c r="C8" i="1"/>
  <c r="C7" i="1"/>
  <c r="C20" i="1" s="1"/>
  <c r="C23" i="1" l="1"/>
</calcChain>
</file>

<file path=xl/sharedStrings.xml><?xml version="1.0" encoding="utf-8"?>
<sst xmlns="http://schemas.openxmlformats.org/spreadsheetml/2006/main" count="52" uniqueCount="25">
  <si>
    <t>送迎手当</t>
    <rPh sb="0" eb="2">
      <t>ソウゲイ</t>
    </rPh>
    <rPh sb="2" eb="4">
      <t>テア</t>
    </rPh>
    <phoneticPr fontId="2"/>
  </si>
  <si>
    <t>往復/日人</t>
    <rPh sb="0" eb="2">
      <t>オウフク</t>
    </rPh>
    <rPh sb="3" eb="4">
      <t>ニチ</t>
    </rPh>
    <rPh sb="4" eb="5">
      <t>ヒト</t>
    </rPh>
    <phoneticPr fontId="2"/>
  </si>
  <si>
    <t>8人/月</t>
    <rPh sb="1" eb="2">
      <t>ニン</t>
    </rPh>
    <rPh sb="3" eb="4">
      <t>ツキ</t>
    </rPh>
    <phoneticPr fontId="2"/>
  </si>
  <si>
    <t>10人/月</t>
    <rPh sb="2" eb="3">
      <t>ニン</t>
    </rPh>
    <rPh sb="4" eb="5">
      <t>ツキ</t>
    </rPh>
    <phoneticPr fontId="2"/>
  </si>
  <si>
    <t>15人/月</t>
    <rPh sb="2" eb="3">
      <t>ニン</t>
    </rPh>
    <rPh sb="4" eb="5">
      <t>ツキ</t>
    </rPh>
    <phoneticPr fontId="2"/>
  </si>
  <si>
    <t>20人/月</t>
    <rPh sb="2" eb="3">
      <t>ニン</t>
    </rPh>
    <rPh sb="4" eb="5">
      <t>ツキ</t>
    </rPh>
    <phoneticPr fontId="2"/>
  </si>
  <si>
    <t>今治菊間⇔カイト西条間</t>
    <rPh sb="0" eb="2">
      <t>イマバリ</t>
    </rPh>
    <rPh sb="2" eb="4">
      <t>キクマ</t>
    </rPh>
    <rPh sb="8" eb="10">
      <t>サイジョウ</t>
    </rPh>
    <rPh sb="10" eb="11">
      <t>アイダ</t>
    </rPh>
    <phoneticPr fontId="2"/>
  </si>
  <si>
    <t>　7km/l</t>
    <phoneticPr fontId="2"/>
  </si>
  <si>
    <t>マイクロバス　燃費（仮）</t>
    <rPh sb="7" eb="9">
      <t>ネンピ</t>
    </rPh>
    <rPh sb="10" eb="11">
      <t>カリ</t>
    </rPh>
    <phoneticPr fontId="2"/>
  </si>
  <si>
    <t>軽油　１L</t>
    <rPh sb="0" eb="2">
      <t>ケイユ</t>
    </rPh>
    <phoneticPr fontId="2"/>
  </si>
  <si>
    <t>20日往復</t>
    <rPh sb="2" eb="3">
      <t>カ</t>
    </rPh>
    <rPh sb="3" eb="5">
      <t>オウフク</t>
    </rPh>
    <phoneticPr fontId="2"/>
  </si>
  <si>
    <t>35ｋｍ</t>
    <phoneticPr fontId="2"/>
  </si>
  <si>
    <t>130円</t>
    <rPh sb="3" eb="4">
      <t>エン</t>
    </rPh>
    <phoneticPr fontId="2"/>
  </si>
  <si>
    <t>燃料費</t>
    <rPh sb="0" eb="3">
      <t>ネンリョウヒ</t>
    </rPh>
    <phoneticPr fontId="2"/>
  </si>
  <si>
    <t>人件費</t>
    <rPh sb="0" eb="3">
      <t>ジンケンヒ</t>
    </rPh>
    <phoneticPr fontId="2"/>
  </si>
  <si>
    <t>マイクロバス（諸費用込）</t>
    <rPh sb="7" eb="8">
      <t>ショ</t>
    </rPh>
    <rPh sb="8" eb="10">
      <t>ヒヨウ</t>
    </rPh>
    <rPh sb="10" eb="11">
      <t>コ</t>
    </rPh>
    <phoneticPr fontId="2"/>
  </si>
  <si>
    <t>返済原資</t>
    <rPh sb="0" eb="2">
      <t>ヘンサイ</t>
    </rPh>
    <rPh sb="2" eb="4">
      <t>ゲンシ</t>
    </rPh>
    <phoneticPr fontId="2"/>
  </si>
  <si>
    <t>人数</t>
    <rPh sb="0" eb="2">
      <t>ニンズウ</t>
    </rPh>
    <phoneticPr fontId="2"/>
  </si>
  <si>
    <t>手当－燃料費</t>
    <rPh sb="0" eb="2">
      <t>テアテ</t>
    </rPh>
    <rPh sb="3" eb="6">
      <t>ネンリョウヒ</t>
    </rPh>
    <phoneticPr fontId="2"/>
  </si>
  <si>
    <t>月額返済</t>
    <rPh sb="0" eb="2">
      <t>ゲツガク</t>
    </rPh>
    <rPh sb="2" eb="4">
      <t>ヘンサイ</t>
    </rPh>
    <phoneticPr fontId="2"/>
  </si>
  <si>
    <t>返済月</t>
    <rPh sb="0" eb="2">
      <t>ヘンサイ</t>
    </rPh>
    <rPh sb="2" eb="3">
      <t>ツキ</t>
    </rPh>
    <phoneticPr fontId="2"/>
  </si>
  <si>
    <t>西条（人件費除く）</t>
    <rPh sb="0" eb="2">
      <t>サイジョウ</t>
    </rPh>
    <rPh sb="3" eb="6">
      <t>ジンケンヒ</t>
    </rPh>
    <rPh sb="6" eb="7">
      <t>ノゾ</t>
    </rPh>
    <phoneticPr fontId="2"/>
  </si>
  <si>
    <t>西条（人件費込）</t>
    <rPh sb="0" eb="2">
      <t>サイジョウ</t>
    </rPh>
    <rPh sb="3" eb="6">
      <t>ジンケンヒ</t>
    </rPh>
    <rPh sb="6" eb="7">
      <t>コ</t>
    </rPh>
    <phoneticPr fontId="2"/>
  </si>
  <si>
    <t>濱田さん20日×4時間×680円</t>
    <rPh sb="0" eb="2">
      <t>ハマダ</t>
    </rPh>
    <rPh sb="6" eb="7">
      <t>ニチ</t>
    </rPh>
    <rPh sb="9" eb="11">
      <t>ジカン</t>
    </rPh>
    <rPh sb="15" eb="16">
      <t>エン</t>
    </rPh>
    <phoneticPr fontId="2"/>
  </si>
  <si>
    <t>手当－燃料費-人件費</t>
    <rPh sb="0" eb="2">
      <t>テアテ</t>
    </rPh>
    <rPh sb="3" eb="6">
      <t>ネンリョウヒ</t>
    </rPh>
    <rPh sb="7" eb="10">
      <t>ジンケンヒ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</si>
</sst>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¥&quot;#,##0;[Red]&quot;¥&quot;\-#,##0"/>
    <numFmt numFmtId="177" formatCode="General&quot;ヶ月&quot;"/>
  </numFmts>
  <fonts count="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6" fontId="0" fillId="0" borderId="0" xfId="2" applyFont="1">
      <alignment vertical="center"/>
    </xf>
    <xf numFmtId="6" fontId="0" fillId="0" borderId="1" xfId="2" applyFont="1" applyBorder="1">
      <alignment vertical="center"/>
    </xf>
    <xf numFmtId="6" fontId="0" fillId="0" borderId="1" xfId="2" applyFont="1" applyBorder="1" applyAlignment="1">
      <alignment horizontal="right" vertical="center"/>
    </xf>
    <xf numFmtId="177" fontId="0" fillId="0" borderId="1" xfId="1" applyNumberFormat="1" applyFont="1" applyBorder="1">
      <alignment vertical="center"/>
    </xf>
    <xf numFmtId="6" fontId="0" fillId="0" borderId="3" xfId="2" applyFont="1" applyBorder="1">
      <alignment vertical="center"/>
    </xf>
    <xf numFmtId="177" fontId="0" fillId="0" borderId="3" xfId="1" applyNumberFormat="1" applyFont="1" applyBorder="1">
      <alignment vertical="center"/>
    </xf>
    <xf numFmtId="6" fontId="0" fillId="0" borderId="2" xfId="2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right" vertical="center" shrinkToFit="1"/>
    </xf>
    <xf numFmtId="0" fontId="0" fillId="0" borderId="0" xfId="0" applyFill="1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right" vertical="center" shrinkToFit="1"/>
    </xf>
    <xf numFmtId="0" fontId="0" fillId="0" borderId="0" xfId="0" applyBorder="1" applyAlignment="1">
      <alignment vertical="center" shrinkToFit="1"/>
    </xf>
    <xf numFmtId="6" fontId="0" fillId="0" borderId="0" xfId="2" applyFont="1" applyBorder="1">
      <alignment vertical="center"/>
    </xf>
    <xf numFmtId="6" fontId="0" fillId="0" borderId="2" xfId="2" applyFont="1" applyBorder="1" applyAlignment="1">
      <alignment horizontal="center" vertical="center" shrinkToFi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0"/>
  <sheetViews>
    <sheetView tabSelected="1" view="pageBreakPreview" zoomScale="145" zoomScaleNormal="100" zoomScaleSheetLayoutView="145" workbookViewId="0">
      <selection activeCell="D50" sqref="D50"/>
    </sheetView>
  </sheetViews>
  <sheetFormatPr defaultRowHeight="13.5" x14ac:dyDescent="0.15"/>
  <cols>
    <col min="1" max="1" width="3.375" customWidth="1"/>
    <col min="2" max="2" width="18.625" style="8" customWidth="1"/>
    <col min="3" max="3" width="15.5" style="1" customWidth="1"/>
    <col min="4" max="4" width="12.375" style="1" customWidth="1"/>
    <col min="5" max="5" width="10.5" style="1" customWidth="1"/>
    <col min="6" max="9" width="9" style="1"/>
  </cols>
  <sheetData>
    <row r="2" spans="2:3" x14ac:dyDescent="0.15">
      <c r="B2" s="8" t="s">
        <v>21</v>
      </c>
    </row>
    <row r="3" spans="2:3" x14ac:dyDescent="0.15">
      <c r="B3" s="8" t="s">
        <v>15</v>
      </c>
      <c r="C3" s="1">
        <v>1500000</v>
      </c>
    </row>
    <row r="5" spans="2:3" x14ac:dyDescent="0.15">
      <c r="B5" s="8" t="s">
        <v>0</v>
      </c>
    </row>
    <row r="6" spans="2:3" x14ac:dyDescent="0.15">
      <c r="B6" s="9" t="s">
        <v>1</v>
      </c>
      <c r="C6" s="2">
        <v>540</v>
      </c>
    </row>
    <row r="7" spans="2:3" x14ac:dyDescent="0.15">
      <c r="B7" s="10" t="s">
        <v>2</v>
      </c>
      <c r="C7" s="2">
        <f>$C$6*8*20</f>
        <v>86400</v>
      </c>
    </row>
    <row r="8" spans="2:3" x14ac:dyDescent="0.15">
      <c r="B8" s="10" t="s">
        <v>3</v>
      </c>
      <c r="C8" s="2">
        <f>$C$6*10*20</f>
        <v>108000</v>
      </c>
    </row>
    <row r="9" spans="2:3" x14ac:dyDescent="0.15">
      <c r="B9" s="10" t="s">
        <v>4</v>
      </c>
      <c r="C9" s="2">
        <f>$C$6*15*20</f>
        <v>162000</v>
      </c>
    </row>
    <row r="10" spans="2:3" x14ac:dyDescent="0.15">
      <c r="B10" s="10" t="s">
        <v>5</v>
      </c>
      <c r="C10" s="2">
        <f>$C$6*20*20</f>
        <v>216000</v>
      </c>
    </row>
    <row r="12" spans="2:3" x14ac:dyDescent="0.15">
      <c r="B12" s="11" t="s">
        <v>13</v>
      </c>
    </row>
    <row r="13" spans="2:3" x14ac:dyDescent="0.15">
      <c r="B13" s="12" t="s">
        <v>6</v>
      </c>
      <c r="C13" s="3" t="s">
        <v>11</v>
      </c>
    </row>
    <row r="14" spans="2:3" x14ac:dyDescent="0.15">
      <c r="B14" s="12" t="s">
        <v>8</v>
      </c>
      <c r="C14" s="3" t="s">
        <v>7</v>
      </c>
    </row>
    <row r="15" spans="2:3" x14ac:dyDescent="0.15">
      <c r="B15" s="12" t="s">
        <v>9</v>
      </c>
      <c r="C15" s="3" t="s">
        <v>12</v>
      </c>
    </row>
    <row r="16" spans="2:3" x14ac:dyDescent="0.15">
      <c r="B16" s="12" t="s">
        <v>10</v>
      </c>
      <c r="C16" s="2">
        <f>(35*2*20)/7*130</f>
        <v>26000</v>
      </c>
    </row>
    <row r="18" spans="2:5" x14ac:dyDescent="0.15">
      <c r="B18" s="8" t="s">
        <v>16</v>
      </c>
    </row>
    <row r="19" spans="2:5" ht="14.25" thickBot="1" x14ac:dyDescent="0.2">
      <c r="B19" s="13" t="s">
        <v>17</v>
      </c>
      <c r="C19" s="7" t="s">
        <v>18</v>
      </c>
      <c r="D19" s="7" t="s">
        <v>19</v>
      </c>
      <c r="E19" s="7" t="s">
        <v>20</v>
      </c>
    </row>
    <row r="20" spans="2:5" ht="14.25" thickTop="1" x14ac:dyDescent="0.15">
      <c r="B20" s="14" t="s">
        <v>2</v>
      </c>
      <c r="C20" s="5">
        <f>C7-$C$16</f>
        <v>60400</v>
      </c>
      <c r="D20" s="5">
        <v>50000</v>
      </c>
      <c r="E20" s="6">
        <f>ROUNDUP($C$3/D20,0)</f>
        <v>30</v>
      </c>
    </row>
    <row r="21" spans="2:5" x14ac:dyDescent="0.15">
      <c r="B21" s="10" t="s">
        <v>3</v>
      </c>
      <c r="C21" s="2">
        <f t="shared" ref="C21:C23" si="0">C8-$C$16</f>
        <v>82000</v>
      </c>
      <c r="D21" s="2">
        <v>70000</v>
      </c>
      <c r="E21" s="4">
        <f t="shared" ref="E21:E23" si="1">ROUNDUP($C$3/D21,0)</f>
        <v>22</v>
      </c>
    </row>
    <row r="22" spans="2:5" x14ac:dyDescent="0.15">
      <c r="B22" s="10" t="s">
        <v>4</v>
      </c>
      <c r="C22" s="2">
        <f t="shared" si="0"/>
        <v>136000</v>
      </c>
      <c r="D22" s="2">
        <v>120000</v>
      </c>
      <c r="E22" s="4">
        <f t="shared" si="1"/>
        <v>13</v>
      </c>
    </row>
    <row r="23" spans="2:5" x14ac:dyDescent="0.15">
      <c r="B23" s="10" t="s">
        <v>5</v>
      </c>
      <c r="C23" s="2">
        <f t="shared" si="0"/>
        <v>190000</v>
      </c>
      <c r="D23" s="2">
        <v>170000</v>
      </c>
      <c r="E23" s="4">
        <f t="shared" si="1"/>
        <v>9</v>
      </c>
    </row>
    <row r="26" spans="2:5" x14ac:dyDescent="0.15">
      <c r="B26" s="8" t="s">
        <v>22</v>
      </c>
    </row>
    <row r="27" spans="2:5" x14ac:dyDescent="0.15">
      <c r="B27" s="8" t="s">
        <v>15</v>
      </c>
      <c r="C27" s="1">
        <v>1500000</v>
      </c>
    </row>
    <row r="29" spans="2:5" x14ac:dyDescent="0.15">
      <c r="B29" s="8" t="s">
        <v>0</v>
      </c>
    </row>
    <row r="30" spans="2:5" x14ac:dyDescent="0.15">
      <c r="B30" s="9" t="s">
        <v>1</v>
      </c>
      <c r="C30" s="2">
        <v>540</v>
      </c>
    </row>
    <row r="31" spans="2:5" x14ac:dyDescent="0.15">
      <c r="B31" s="10" t="s">
        <v>2</v>
      </c>
      <c r="C31" s="2">
        <f>$C$6*8*20</f>
        <v>86400</v>
      </c>
    </row>
    <row r="32" spans="2:5" x14ac:dyDescent="0.15">
      <c r="B32" s="10" t="s">
        <v>3</v>
      </c>
      <c r="C32" s="2">
        <f>$C$6*10*20</f>
        <v>108000</v>
      </c>
    </row>
    <row r="33" spans="2:5" x14ac:dyDescent="0.15">
      <c r="B33" s="10" t="s">
        <v>4</v>
      </c>
      <c r="C33" s="2">
        <f>$C$6*15*20</f>
        <v>162000</v>
      </c>
    </row>
    <row r="34" spans="2:5" x14ac:dyDescent="0.15">
      <c r="B34" s="10" t="s">
        <v>5</v>
      </c>
      <c r="C34" s="2">
        <f>$C$6*20*20</f>
        <v>216000</v>
      </c>
    </row>
    <row r="36" spans="2:5" x14ac:dyDescent="0.15">
      <c r="B36" s="11" t="s">
        <v>13</v>
      </c>
    </row>
    <row r="37" spans="2:5" x14ac:dyDescent="0.15">
      <c r="B37" s="12" t="s">
        <v>6</v>
      </c>
      <c r="C37" s="3" t="s">
        <v>11</v>
      </c>
    </row>
    <row r="38" spans="2:5" x14ac:dyDescent="0.15">
      <c r="B38" s="12" t="s">
        <v>8</v>
      </c>
      <c r="C38" s="3" t="s">
        <v>7</v>
      </c>
    </row>
    <row r="39" spans="2:5" x14ac:dyDescent="0.15">
      <c r="B39" s="12" t="s">
        <v>9</v>
      </c>
      <c r="C39" s="3" t="s">
        <v>12</v>
      </c>
    </row>
    <row r="40" spans="2:5" x14ac:dyDescent="0.15">
      <c r="B40" s="12" t="s">
        <v>10</v>
      </c>
      <c r="C40" s="2">
        <f>(35*2*20)/7*130</f>
        <v>26000</v>
      </c>
    </row>
    <row r="41" spans="2:5" x14ac:dyDescent="0.15">
      <c r="B41" s="15"/>
      <c r="C41" s="16"/>
    </row>
    <row r="42" spans="2:5" x14ac:dyDescent="0.15">
      <c r="B42" s="8" t="s">
        <v>14</v>
      </c>
    </row>
    <row r="43" spans="2:5" x14ac:dyDescent="0.15">
      <c r="B43" s="12" t="s">
        <v>23</v>
      </c>
      <c r="C43" s="2">
        <f>680*4*20</f>
        <v>54400</v>
      </c>
    </row>
    <row r="45" spans="2:5" x14ac:dyDescent="0.15">
      <c r="B45" s="8" t="s">
        <v>16</v>
      </c>
    </row>
    <row r="46" spans="2:5" ht="14.25" thickBot="1" x14ac:dyDescent="0.2">
      <c r="B46" s="13" t="s">
        <v>17</v>
      </c>
      <c r="C46" s="17" t="s">
        <v>24</v>
      </c>
      <c r="D46" s="7" t="s">
        <v>19</v>
      </c>
      <c r="E46" s="7" t="s">
        <v>20</v>
      </c>
    </row>
    <row r="47" spans="2:5" ht="14.25" thickTop="1" x14ac:dyDescent="0.15">
      <c r="B47" s="14" t="s">
        <v>2</v>
      </c>
      <c r="C47" s="5">
        <f>C31-$C$16-$C$43</f>
        <v>6000</v>
      </c>
      <c r="D47" s="5">
        <v>5000</v>
      </c>
      <c r="E47" s="6">
        <f>ROUNDUP($C$3/D47,0)</f>
        <v>300</v>
      </c>
    </row>
    <row r="48" spans="2:5" x14ac:dyDescent="0.15">
      <c r="B48" s="10" t="s">
        <v>3</v>
      </c>
      <c r="C48" s="2">
        <f t="shared" ref="C48:C50" si="2">C32-$C$16-$C$43</f>
        <v>27600</v>
      </c>
      <c r="D48" s="2">
        <v>25000</v>
      </c>
      <c r="E48" s="4">
        <f t="shared" ref="E48:E50" si="3">ROUNDUP($C$3/D48,0)</f>
        <v>60</v>
      </c>
    </row>
    <row r="49" spans="2:5" x14ac:dyDescent="0.15">
      <c r="B49" s="10" t="s">
        <v>4</v>
      </c>
      <c r="C49" s="2">
        <f t="shared" si="2"/>
        <v>81600</v>
      </c>
      <c r="D49" s="2">
        <v>75000</v>
      </c>
      <c r="E49" s="4">
        <f t="shared" si="3"/>
        <v>20</v>
      </c>
    </row>
    <row r="50" spans="2:5" x14ac:dyDescent="0.15">
      <c r="B50" s="10" t="s">
        <v>5</v>
      </c>
      <c r="C50" s="2">
        <f t="shared" si="2"/>
        <v>135600</v>
      </c>
      <c r="D50" s="2">
        <v>120000</v>
      </c>
      <c r="E50" s="4">
        <f t="shared" si="3"/>
        <v>13</v>
      </c>
    </row>
  </sheetData>
  <phoneticPr fontId="2"/>
  <pageMargins left="0.7" right="0.7" top="0.75" bottom="0.75" header="0.3" footer="0.3"/>
  <pageSetup paperSize="9" orientation="portrait" horizontalDpi="4294967293" verticalDpi="0" r:id="rId1"/>
  <rowBreaks count="1" manualBreakCount="1">
    <brk id="2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2015-03-19T00:44:30Z</dcterms:created>
  <dcterms:modified xsi:type="dcterms:W3CDTF">2015-03-19T01:32:09Z</dcterms:modified>
</cp:coreProperties>
</file>