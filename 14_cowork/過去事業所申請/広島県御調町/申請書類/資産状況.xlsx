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2.総合プロジェクト\04.尾道\福祉施設申請\申請書類\"/>
    </mc:Choice>
  </mc:AlternateContent>
  <bookViews>
    <workbookView xWindow="480" yWindow="15" windowWidth="18180" windowHeight="12120" firstSheet="1" activeTab="4"/>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52511"/>
</workbook>
</file>

<file path=xl/calcChain.xml><?xml version="1.0" encoding="utf-8"?>
<calcChain xmlns="http://schemas.openxmlformats.org/spreadsheetml/2006/main">
  <c r="D19" i="2" l="1"/>
  <c r="D16" i="2"/>
  <c r="D5" i="2"/>
  <c r="D19" i="1"/>
  <c r="D16" i="1"/>
  <c r="D9" i="1"/>
  <c r="B31" i="4" l="1"/>
  <c r="B28" i="4"/>
  <c r="B16" i="4"/>
  <c r="B13" i="4"/>
  <c r="C20" i="4" s="1"/>
  <c r="C8" i="4"/>
  <c r="B8" i="4"/>
  <c r="D36" i="3"/>
  <c r="B31" i="3"/>
  <c r="B28" i="3"/>
  <c r="B16" i="3"/>
  <c r="B13" i="3"/>
  <c r="C8" i="3"/>
  <c r="B8" i="3"/>
  <c r="D25" i="2"/>
  <c r="D23" i="2"/>
  <c r="E36" i="2"/>
  <c r="E17" i="2"/>
  <c r="D9" i="2"/>
  <c r="E11" i="2"/>
  <c r="E12" i="2" s="1"/>
  <c r="E6" i="2"/>
  <c r="E36" i="1"/>
  <c r="E17" i="1"/>
  <c r="E11" i="1"/>
  <c r="E6" i="1"/>
  <c r="E12" i="1" s="1"/>
  <c r="E38" i="1" l="1"/>
  <c r="E38" i="2"/>
  <c r="C35" i="4" s="1"/>
  <c r="D36" i="4" s="1"/>
  <c r="C20" i="3"/>
  <c r="D32" i="3"/>
  <c r="D37" i="3" s="1"/>
  <c r="D21" i="4"/>
  <c r="D32" i="4"/>
  <c r="D21" i="3"/>
  <c r="D37" i="4" l="1"/>
</calcChain>
</file>

<file path=xl/sharedStrings.xml><?xml version="1.0" encoding="utf-8"?>
<sst xmlns="http://schemas.openxmlformats.org/spreadsheetml/2006/main" count="286" uniqueCount="164">
  <si>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</si>
  <si>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</si>
  <si>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</si>
  <si>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</si>
  <si>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</si>
  <si>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</si>
  <si>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</si>
  <si>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</si>
  <si>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</si>
  <si>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</si>
  <si>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</si>
  <si>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</si>
  <si>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</si>
  <si>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</si>
  <si>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</si>
  <si>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</si>
  <si>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</si>
  <si>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</si>
  <si>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</si>
  <si>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</si>
  <si>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</si>
  <si>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ｼｽﾃﾑ利用料</t>
    <rPh sb="4" eb="6">
      <t>リヨウ</t>
    </rPh>
    <rPh sb="6" eb="7">
      <t>リョウ</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</si>
  <si>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</si>
  <si>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</si>
  <si>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</si>
  <si>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</si>
  <si>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</si>
  <si>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</si>
  <si>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</si>
  <si>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</si>
  <si>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</si>
  <si>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</si>
  <si>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</si>
  <si>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</si>
  <si>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</si>
  <si>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</si>
  <si>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</si>
  <si>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</si>
  <si>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</si>
  <si>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</si>
  <si>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</si>
  <si>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</si>
  <si>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</si>
  <si>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</si>
  <si>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</si>
  <si>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</si>
  <si>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</si>
  <si>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</si>
  <si>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</si>
  <si>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</si>
  <si>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</si>
  <si>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</si>
  <si>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</si>
  <si>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</si>
  <si>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</si>
  <si>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</si>
  <si>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</si>
  <si>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</si>
  <si>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</si>
  <si>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</si>
  <si>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</si>
  <si>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</si>
  <si>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</si>
  <si>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</si>
  <si>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</si>
  <si>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</si>
  <si>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</si>
  <si>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</si>
  <si>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</si>
  <si>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</si>
  <si>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</si>
  <si>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</si>
  <si>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</si>
  <si>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</si>
  <si>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</si>
  <si>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</si>
  <si>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</si>
  <si>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</si>
  <si>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</si>
  <si>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</si>
  <si>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</si>
  <si>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</si>
  <si>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</si>
  <si>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</si>
  <si>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</si>
  <si>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</si>
  <si>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</si>
  <si>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</si>
  <si>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</si>
  <si>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</si>
  <si>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</si>
  <si>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</si>
  <si>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</si>
  <si>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</si>
  <si>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</si>
  <si>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</si>
  <si>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</si>
  <si>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</si>
  <si>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</si>
  <si>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</si>
  <si>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</si>
  <si>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</si>
  <si>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</si>
  <si>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</si>
  <si>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</si>
  <si>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</si>
  <si>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</si>
  <si>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</si>
  <si>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</si>
  <si>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</si>
  <si>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</si>
  <si>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</si>
  <si>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</si>
  <si>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</si>
  <si>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</si>
  <si>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</si>
  <si>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</si>
  <si>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</si>
  <si>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</si>
  <si>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</si>
  <si>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</si>
  <si>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</si>
  <si>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</si>
  <si>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</si>
  <si>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</si>
  <si>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</si>
  <si>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</si>
  <si>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</si>
  <si>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</si>
  <si>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</si>
  <si>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</si>
  <si>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</si>
  <si>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</si>
  <si>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</si>
  <si>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</si>
  <si>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</si>
  <si>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平成26年11月1日から平成27年3月31日</t>
    <rPh sb="0" eb="2">
      <t>ヘイセイ</t>
    </rPh>
    <rPh sb="4" eb="5">
      <t>ネン</t>
    </rPh>
    <rPh sb="7" eb="8">
      <t>ガツ</t>
    </rPh>
    <rPh sb="9" eb="10">
      <t>ニチ</t>
    </rPh>
    <rPh sb="12" eb="14">
      <t>ヘイセイ</t>
    </rPh>
    <rPh sb="16" eb="17">
      <t>ネン</t>
    </rPh>
    <rPh sb="18" eb="19">
      <t>ガツ</t>
    </rPh>
    <rPh sb="21" eb="22">
      <t>ニチ</t>
    </rPh>
    <phoneticPr fontId="2"/>
  </si>
  <si>
    <t>利用者１5名×日給1,300円×21日×5か月</t>
    <rPh sb="0" eb="3">
      <t>リヨウシャ</t>
    </rPh>
    <rPh sb="5" eb="6">
      <t>メイ</t>
    </rPh>
    <rPh sb="7" eb="9">
      <t>ニッキュウ</t>
    </rPh>
    <rPh sb="14" eb="15">
      <t>エン</t>
    </rPh>
    <rPh sb="18" eb="19">
      <t>ニチ</t>
    </rPh>
    <rPh sb="22" eb="23">
      <t>ゲツ</t>
    </rPh>
    <phoneticPr fontId="2"/>
  </si>
  <si>
    <t>パチンコ解体作業工賃</t>
    <rPh sb="4" eb="6">
      <t>カイタイ</t>
    </rPh>
    <rPh sb="6" eb="8">
      <t>サギョウ</t>
    </rPh>
    <rPh sb="8" eb="10">
      <t>コウチン</t>
    </rPh>
    <phoneticPr fontId="2"/>
  </si>
  <si>
    <t>15人×5,850円×21日×5か月</t>
    <rPh sb="2" eb="3">
      <t>ニン</t>
    </rPh>
    <rPh sb="9" eb="10">
      <t>エン</t>
    </rPh>
    <rPh sb="13" eb="14">
      <t>ニチ</t>
    </rPh>
    <rPh sb="17" eb="18">
      <t>ゲツ</t>
    </rPh>
    <phoneticPr fontId="2"/>
  </si>
  <si>
    <t>事務員20万円×5ヶ月</t>
    <rPh sb="0" eb="3">
      <t>ジムイン</t>
    </rPh>
    <rPh sb="5" eb="7">
      <t>マンエン</t>
    </rPh>
    <rPh sb="10" eb="11">
      <t>ゲツ</t>
    </rPh>
    <phoneticPr fontId="2"/>
  </si>
  <si>
    <t>電話・インターネット・携帯電話等）2万円/月×5か月</t>
    <rPh sb="0" eb="2">
      <t>デンワ</t>
    </rPh>
    <rPh sb="11" eb="13">
      <t>ケイタイ</t>
    </rPh>
    <rPh sb="13" eb="15">
      <t>デンワ</t>
    </rPh>
    <rPh sb="15" eb="16">
      <t>トウ</t>
    </rPh>
    <rPh sb="18" eb="20">
      <t>マンエン</t>
    </rPh>
    <rPh sb="21" eb="22">
      <t>ツキ</t>
    </rPh>
    <rPh sb="25" eb="26">
      <t>ゲツ</t>
    </rPh>
    <phoneticPr fontId="2"/>
  </si>
  <si>
    <t>介護システムＡＳＰ10万円×5か月</t>
    <rPh sb="0" eb="2">
      <t>カイゴ</t>
    </rPh>
    <rPh sb="11" eb="13">
      <t>マンエン</t>
    </rPh>
    <rPh sb="16" eb="17">
      <t>ゲツ</t>
    </rPh>
    <phoneticPr fontId="2"/>
  </si>
  <si>
    <t>燃料等万円２/月×5か月</t>
    <rPh sb="0" eb="2">
      <t>ネンリョウ</t>
    </rPh>
    <rPh sb="2" eb="3">
      <t>トウ</t>
    </rPh>
    <phoneticPr fontId="2"/>
  </si>
  <si>
    <t>建物修理等２/月×5か月</t>
    <rPh sb="0" eb="2">
      <t>タテモノ</t>
    </rPh>
    <rPh sb="2" eb="4">
      <t>シュウリ</t>
    </rPh>
    <rPh sb="4" eb="5">
      <t>トウ</t>
    </rPh>
    <phoneticPr fontId="2"/>
  </si>
  <si>
    <t>3万円/月×5か月</t>
    <phoneticPr fontId="2"/>
  </si>
  <si>
    <t>社会保険・健康診断等5万円/月×5か月</t>
    <rPh sb="0" eb="2">
      <t>シャカイ</t>
    </rPh>
    <rPh sb="2" eb="4">
      <t>ホケン</t>
    </rPh>
    <rPh sb="5" eb="7">
      <t>ケンコウ</t>
    </rPh>
    <rPh sb="7" eb="9">
      <t>シンダン</t>
    </rPh>
    <rPh sb="9" eb="10">
      <t>トウ</t>
    </rPh>
    <rPh sb="11" eb="13">
      <t>マンエン</t>
    </rPh>
    <rPh sb="14" eb="15">
      <t>ツキ</t>
    </rPh>
    <rPh sb="18" eb="19">
      <t>ゲツ</t>
    </rPh>
    <phoneticPr fontId="2"/>
  </si>
  <si>
    <t>家賃30万円/月×5か月</t>
    <rPh sb="0" eb="2">
      <t>ヤチン</t>
    </rPh>
    <rPh sb="4" eb="6">
      <t>マンエン</t>
    </rPh>
    <rPh sb="7" eb="8">
      <t>ツキ</t>
    </rPh>
    <rPh sb="11" eb="12">
      <t>ゲツ</t>
    </rPh>
    <phoneticPr fontId="2"/>
  </si>
  <si>
    <t>管理者　20万円/月×5か月</t>
    <rPh sb="0" eb="3">
      <t>カンリシャ</t>
    </rPh>
    <rPh sb="6" eb="8">
      <t>マンエン</t>
    </rPh>
    <rPh sb="9" eb="10">
      <t>ツキ</t>
    </rPh>
    <rPh sb="13" eb="14">
      <t>ゲツ</t>
    </rPh>
    <phoneticPr fontId="2"/>
  </si>
  <si>
    <t>ｻｰﾋﾞｽ管理責任者　20万円/月×5か月</t>
    <rPh sb="5" eb="7">
      <t>カンリ</t>
    </rPh>
    <rPh sb="7" eb="9">
      <t>セキニン</t>
    </rPh>
    <rPh sb="9" eb="10">
      <t>シャ</t>
    </rPh>
    <rPh sb="13" eb="15">
      <t>マンエン</t>
    </rPh>
    <rPh sb="16" eb="17">
      <t>ツキ</t>
    </rPh>
    <rPh sb="20" eb="21">
      <t>ゲツ</t>
    </rPh>
    <phoneticPr fontId="2"/>
  </si>
  <si>
    <t>5万円/月×5か月</t>
    <phoneticPr fontId="2"/>
  </si>
  <si>
    <t>支援員・アルバイト50万円/月×5か月</t>
    <rPh sb="0" eb="2">
      <t>シエン</t>
    </rPh>
    <rPh sb="2" eb="3">
      <t>イン</t>
    </rPh>
    <rPh sb="11" eb="13">
      <t>マンエン</t>
    </rPh>
    <rPh sb="14" eb="15">
      <t>ツキ</t>
    </rPh>
    <rPh sb="18" eb="19">
      <t>ゲツ</t>
    </rPh>
    <phoneticPr fontId="2"/>
  </si>
  <si>
    <t>事務用品等2万円/月×5か月</t>
    <rPh sb="0" eb="2">
      <t>ジム</t>
    </rPh>
    <rPh sb="2" eb="4">
      <t>ヨウヒン</t>
    </rPh>
    <rPh sb="4" eb="5">
      <t>トウ</t>
    </rPh>
    <rPh sb="6" eb="8">
      <t>マンエン</t>
    </rPh>
    <phoneticPr fontId="2"/>
  </si>
  <si>
    <t>電気ガス水道5万円/月×5か月</t>
    <rPh sb="0" eb="2">
      <t>デンキ</t>
    </rPh>
    <rPh sb="4" eb="6">
      <t>スイドウ</t>
    </rPh>
    <rPh sb="7" eb="9">
      <t>マンエン</t>
    </rPh>
    <rPh sb="10" eb="11">
      <t>ツキ</t>
    </rPh>
    <rPh sb="14" eb="15">
      <t>ゲツ</t>
    </rPh>
    <phoneticPr fontId="2"/>
  </si>
  <si>
    <t>利用者20名×日給1,300円×21日×12か月（平均）</t>
    <rPh sb="0" eb="3">
      <t>リヨウシャ</t>
    </rPh>
    <rPh sb="5" eb="6">
      <t>メイ</t>
    </rPh>
    <rPh sb="7" eb="9">
      <t>ニッキュウ</t>
    </rPh>
    <rPh sb="14" eb="15">
      <t>エン</t>
    </rPh>
    <rPh sb="18" eb="19">
      <t>ニチ</t>
    </rPh>
    <rPh sb="25" eb="27">
      <t>ヘイキン</t>
    </rPh>
    <phoneticPr fontId="2"/>
  </si>
  <si>
    <t>消耗品</t>
    <rPh sb="0" eb="2">
      <t>ショウモウ</t>
    </rPh>
    <rPh sb="2" eb="3">
      <t>ヒン</t>
    </rPh>
    <phoneticPr fontId="2"/>
  </si>
  <si>
    <t>パチンコ解体作業工賃</t>
    <rPh sb="4" eb="6">
      <t>カイタイ</t>
    </rPh>
    <rPh sb="6" eb="8">
      <t>サギョウ</t>
    </rPh>
    <rPh sb="8" eb="10">
      <t>コウチン</t>
    </rPh>
    <phoneticPr fontId="2"/>
  </si>
  <si>
    <t>20人×5,850円×21日×12か月</t>
    <rPh sb="2" eb="3">
      <t>ニン</t>
    </rPh>
    <rPh sb="9" eb="10">
      <t>エン</t>
    </rPh>
    <rPh sb="13" eb="14">
      <t>ニチ</t>
    </rPh>
    <phoneticPr fontId="2"/>
  </si>
  <si>
    <t xml:space="preserve">（ </t>
    <phoneticPr fontId="2"/>
  </si>
  <si>
    <t>0</t>
    <phoneticPr fontId="2"/>
  </si>
  <si>
    <t>（</t>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</si>
  <si>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　　　　　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</si>
  <si>
    <t>平成２６年１１月１日</t>
    <rPh sb="0" eb="2">
      <t>ヘイセイ</t>
    </rPh>
    <rPh sb="4" eb="5">
      <t>ネン</t>
    </rPh>
    <rPh sb="7" eb="8">
      <t>ガツ</t>
    </rPh>
    <rPh sb="9" eb="10">
      <t>ニチ</t>
    </rPh>
    <phoneticPr fontId="2"/>
  </si>
  <si>
    <t>＜尾道市＞</t>
    <rPh sb="1" eb="3">
      <t>オノミチ</t>
    </rPh>
    <rPh sb="3" eb="4">
      <t>シ</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</si>
</sst>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5">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8" fillId="0" borderId="0" xfId="0" applyFont="1" applyAlignment="1">
      <alignment horizontal="center" wrapText="1"/>
    </xf>
    <xf numFmtId="0" fontId="8" fillId="0" borderId="0" xfId="0" applyFont="1"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1" sqref="A31"/>
    </sheetView>
  </sheetViews>
  <sheetFormatPr defaultRowHeight="16.5" customHeight="1"/>
  <cols>
    <col min="6" max="6" width="9" style="34"/>
  </cols>
  <sheetData>
    <row r="7" spans="1:9" ht="16.5" customHeight="1">
      <c r="A7" s="59" t="s">
        <v>132</v>
      </c>
      <c r="B7" s="60"/>
      <c r="C7" s="60"/>
      <c r="D7" s="60"/>
      <c r="E7" s="60"/>
      <c r="F7" s="60"/>
      <c r="G7" s="60"/>
      <c r="H7" s="60"/>
      <c r="I7" s="60"/>
    </row>
    <row r="8" spans="1:9" ht="16.5" customHeight="1">
      <c r="A8" s="60"/>
      <c r="B8" s="60"/>
      <c r="C8" s="60"/>
      <c r="D8" s="60"/>
      <c r="E8" s="60"/>
      <c r="F8" s="60"/>
      <c r="G8" s="60"/>
      <c r="H8" s="60"/>
      <c r="I8" s="60"/>
    </row>
    <row r="9" spans="1:9" ht="16.5" customHeight="1">
      <c r="A9" s="60"/>
      <c r="B9" s="60"/>
      <c r="C9" s="60"/>
      <c r="D9" s="60"/>
      <c r="E9" s="60"/>
      <c r="F9" s="60"/>
      <c r="G9" s="60"/>
      <c r="H9" s="60"/>
      <c r="I9" s="60"/>
    </row>
    <row r="10" spans="1:9" ht="16.5" customHeight="1">
      <c r="A10" s="60"/>
      <c r="B10" s="60"/>
      <c r="C10" s="60"/>
      <c r="D10" s="60"/>
      <c r="E10" s="60"/>
      <c r="F10" s="60"/>
      <c r="G10" s="60"/>
      <c r="H10" s="60"/>
      <c r="I10" s="60"/>
    </row>
    <row r="11" spans="1:9" ht="16.5" customHeight="1">
      <c r="A11" s="60"/>
      <c r="B11" s="60"/>
      <c r="C11" s="60"/>
      <c r="D11" s="60"/>
      <c r="E11" s="60"/>
      <c r="F11" s="60"/>
      <c r="G11" s="60"/>
      <c r="H11" s="60"/>
      <c r="I11" s="60"/>
    </row>
    <row r="12" spans="1:9" ht="16.5" customHeight="1">
      <c r="A12" s="60"/>
      <c r="B12" s="60"/>
      <c r="C12" s="60"/>
      <c r="D12" s="60"/>
      <c r="E12" s="60"/>
      <c r="F12" s="60"/>
      <c r="G12" s="60"/>
      <c r="H12" s="60"/>
      <c r="I12" s="60"/>
    </row>
    <row r="13" spans="1:9" ht="16.5" customHeight="1">
      <c r="A13" s="60"/>
      <c r="B13" s="60"/>
      <c r="C13" s="60"/>
      <c r="D13" s="60"/>
      <c r="E13" s="60"/>
      <c r="F13" s="60"/>
      <c r="G13" s="60"/>
      <c r="H13" s="60"/>
      <c r="I13" s="60"/>
    </row>
    <row r="14" spans="1:9" ht="16.5" customHeight="1">
      <c r="A14" s="60"/>
      <c r="B14" s="60"/>
      <c r="C14" s="60"/>
      <c r="D14" s="60"/>
      <c r="E14" s="60"/>
      <c r="F14" s="60"/>
      <c r="G14" s="60"/>
      <c r="H14" s="60"/>
      <c r="I14" s="60"/>
    </row>
    <row r="15" spans="1:9" ht="16.5" customHeight="1">
      <c r="A15" s="60"/>
      <c r="B15" s="60"/>
      <c r="C15" s="60"/>
      <c r="D15" s="60"/>
      <c r="E15" s="60"/>
      <c r="F15" s="60"/>
      <c r="G15" s="60"/>
      <c r="H15" s="60"/>
      <c r="I15" s="60"/>
    </row>
    <row r="16" spans="1:9" ht="16.5" customHeight="1">
      <c r="A16" s="60"/>
      <c r="B16" s="60"/>
      <c r="C16" s="60"/>
      <c r="D16" s="60"/>
      <c r="E16" s="60"/>
      <c r="F16" s="60"/>
      <c r="G16" s="60"/>
      <c r="H16" s="60"/>
      <c r="I16" s="60"/>
    </row>
    <row r="17" spans="1:9" ht="16.5" customHeight="1">
      <c r="A17" s="60"/>
      <c r="B17" s="60"/>
      <c r="C17" s="60"/>
      <c r="D17" s="60"/>
      <c r="E17" s="60"/>
      <c r="F17" s="60"/>
      <c r="G17" s="60"/>
      <c r="H17" s="60"/>
      <c r="I17" s="60"/>
    </row>
    <row r="18" spans="1:9" ht="16.5" customHeight="1">
      <c r="A18" s="60"/>
      <c r="B18" s="60"/>
      <c r="C18" s="60"/>
      <c r="D18" s="60"/>
      <c r="E18" s="60"/>
      <c r="F18" s="60"/>
      <c r="G18" s="60"/>
      <c r="H18" s="60"/>
      <c r="I18" s="60"/>
    </row>
    <row r="19" spans="1:9" ht="16.5" customHeight="1">
      <c r="A19" s="60"/>
      <c r="B19" s="60"/>
      <c r="C19" s="60"/>
      <c r="D19" s="60"/>
      <c r="E19" s="60"/>
      <c r="F19" s="60"/>
      <c r="G19" s="60"/>
      <c r="H19" s="60"/>
      <c r="I19" s="60"/>
    </row>
    <row r="20" spans="1:9" ht="16.5" customHeight="1">
      <c r="A20" s="60"/>
      <c r="B20" s="60"/>
      <c r="C20" s="60"/>
      <c r="D20" s="60"/>
      <c r="E20" s="60"/>
      <c r="F20" s="60"/>
      <c r="G20" s="60"/>
      <c r="H20" s="60"/>
      <c r="I20" s="60"/>
    </row>
    <row r="21" spans="1:9" ht="16.5" customHeight="1">
      <c r="A21" s="60"/>
      <c r="B21" s="60"/>
      <c r="C21" s="60"/>
      <c r="D21" s="60"/>
      <c r="E21" s="60"/>
      <c r="F21" s="60"/>
      <c r="G21" s="60"/>
      <c r="H21" s="60"/>
      <c r="I21" s="60"/>
    </row>
    <row r="22" spans="1:9" ht="16.5" customHeight="1">
      <c r="A22" s="60"/>
      <c r="B22" s="60"/>
      <c r="C22" s="60"/>
      <c r="D22" s="60"/>
      <c r="E22" s="60"/>
      <c r="F22" s="60"/>
      <c r="G22" s="60"/>
      <c r="H22" s="60"/>
      <c r="I22" s="60"/>
    </row>
    <row r="23" spans="1:9" ht="16.5" customHeight="1">
      <c r="A23" s="60"/>
      <c r="B23" s="60"/>
      <c r="C23" s="60"/>
      <c r="D23" s="60"/>
      <c r="E23" s="60"/>
      <c r="F23" s="60"/>
      <c r="G23" s="60"/>
      <c r="H23" s="60"/>
      <c r="I23" s="60"/>
    </row>
    <row r="24" spans="1:9" ht="16.5" customHeight="1">
      <c r="A24" s="60"/>
      <c r="B24" s="60"/>
      <c r="C24" s="60"/>
      <c r="D24" s="60"/>
      <c r="E24" s="60"/>
      <c r="F24" s="60"/>
      <c r="G24" s="60"/>
      <c r="H24" s="60"/>
      <c r="I24" s="60"/>
    </row>
    <row r="25" spans="1:9" ht="16.5" customHeight="1">
      <c r="A25" s="60"/>
      <c r="B25" s="60"/>
      <c r="C25" s="60"/>
      <c r="D25" s="60"/>
      <c r="E25" s="60"/>
      <c r="F25" s="60"/>
      <c r="G25" s="60"/>
      <c r="H25" s="60"/>
      <c r="I25" s="60"/>
    </row>
    <row r="26" spans="1:9" ht="16.5" customHeight="1">
      <c r="A26" s="60"/>
      <c r="B26" s="60"/>
      <c r="C26" s="60"/>
      <c r="D26" s="60"/>
      <c r="E26" s="60"/>
      <c r="F26" s="60"/>
      <c r="G26" s="60"/>
      <c r="H26" s="60"/>
      <c r="I26" s="60"/>
    </row>
    <row r="27" spans="1:9" ht="16.5" customHeight="1">
      <c r="A27" s="60"/>
      <c r="B27" s="60"/>
      <c r="C27" s="60"/>
      <c r="D27" s="60"/>
      <c r="E27" s="60"/>
      <c r="F27" s="60"/>
      <c r="G27" s="60"/>
      <c r="H27" s="60"/>
      <c r="I27" s="60"/>
    </row>
    <row r="28" spans="1:9" ht="16.5" customHeight="1">
      <c r="A28" s="60"/>
      <c r="B28" s="60"/>
      <c r="C28" s="60"/>
      <c r="D28" s="60"/>
      <c r="E28" s="60"/>
      <c r="F28" s="60"/>
      <c r="G28" s="60"/>
      <c r="H28" s="60"/>
      <c r="I28" s="60"/>
    </row>
    <row r="29" spans="1:9" ht="16.5" customHeight="1">
      <c r="A29" s="60"/>
      <c r="B29" s="60"/>
      <c r="C29" s="60"/>
      <c r="D29" s="60"/>
      <c r="E29" s="60"/>
      <c r="F29" s="60"/>
      <c r="G29" s="60"/>
      <c r="H29" s="60"/>
      <c r="I29" s="60"/>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24" zoomScaleNormal="100" workbookViewId="0">
      <selection activeCell="D30" sqref="D30"/>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0" t="s">
        <v>0</v>
      </c>
      <c r="C1" s="70"/>
      <c r="D1" s="70"/>
      <c r="E1" s="70"/>
      <c r="F1" s="70"/>
    </row>
    <row r="2" spans="1:6" ht="16.5" customHeight="1">
      <c r="B2" s="70" t="s">
        <v>136</v>
      </c>
      <c r="C2" s="70"/>
      <c r="D2" s="70"/>
      <c r="E2" s="70"/>
      <c r="F2" s="70"/>
    </row>
    <row r="3" spans="1:6" ht="16.5" customHeight="1">
      <c r="A3" s="1"/>
      <c r="B3" s="71" t="s">
        <v>1</v>
      </c>
      <c r="C3" s="72"/>
      <c r="D3" s="2"/>
      <c r="E3" s="3"/>
      <c r="F3" s="3" t="s">
        <v>2</v>
      </c>
    </row>
    <row r="4" spans="1:6" ht="16.5" customHeight="1">
      <c r="A4" s="73" t="s">
        <v>3</v>
      </c>
      <c r="B4" s="4" t="s">
        <v>4</v>
      </c>
      <c r="C4" s="5"/>
      <c r="D4" s="6"/>
      <c r="E4" s="7"/>
      <c r="F4" s="8"/>
    </row>
    <row r="5" spans="1:6" ht="16.5" customHeight="1">
      <c r="A5" s="74"/>
      <c r="B5" s="9"/>
      <c r="C5" s="10" t="s">
        <v>5</v>
      </c>
      <c r="D5" s="11">
        <v>2347500</v>
      </c>
      <c r="E5" s="12"/>
      <c r="F5" s="13" t="s">
        <v>138</v>
      </c>
    </row>
    <row r="6" spans="1:6" ht="16.5" customHeight="1" thickBot="1">
      <c r="A6" s="74"/>
      <c r="B6" s="9"/>
      <c r="C6" s="10" t="s">
        <v>6</v>
      </c>
      <c r="D6" s="11"/>
      <c r="E6" s="14">
        <f>SUM(D5)</f>
        <v>2347500</v>
      </c>
      <c r="F6" s="13"/>
    </row>
    <row r="7" spans="1:6" ht="16.5" customHeight="1" thickTop="1">
      <c r="A7" s="74"/>
      <c r="B7" s="15"/>
      <c r="C7" s="16"/>
      <c r="D7" s="17"/>
      <c r="E7" s="18"/>
      <c r="F7" s="13"/>
    </row>
    <row r="8" spans="1:6" ht="16.5" customHeight="1">
      <c r="A8" s="74"/>
      <c r="B8" s="19" t="s">
        <v>7</v>
      </c>
      <c r="C8" s="20"/>
      <c r="D8" s="6"/>
      <c r="E8" s="7"/>
      <c r="F8" s="13"/>
    </row>
    <row r="9" spans="1:6" ht="16.5" customHeight="1">
      <c r="A9" s="74"/>
      <c r="B9" s="9"/>
      <c r="C9" s="10" t="s">
        <v>8</v>
      </c>
      <c r="D9" s="11">
        <f>15*1300*21*5</f>
        <v>2047500</v>
      </c>
      <c r="E9" s="12"/>
      <c r="F9" s="21" t="s">
        <v>137</v>
      </c>
    </row>
    <row r="10" spans="1:6" ht="16.5" customHeight="1">
      <c r="A10" s="74"/>
      <c r="B10" s="9"/>
      <c r="C10" s="10" t="s">
        <v>9</v>
      </c>
      <c r="D10" s="11">
        <v>300000</v>
      </c>
      <c r="E10" s="12"/>
      <c r="F10" s="21" t="s">
        <v>10</v>
      </c>
    </row>
    <row r="11" spans="1:6" ht="16.5" customHeight="1" thickBot="1">
      <c r="A11" s="74"/>
      <c r="B11" s="9"/>
      <c r="C11" s="10" t="s">
        <v>11</v>
      </c>
      <c r="D11" s="11"/>
      <c r="E11" s="14">
        <f>SUM(D9:D10)</f>
        <v>2347500</v>
      </c>
      <c r="F11" s="21"/>
    </row>
    <row r="12" spans="1:6" ht="16.5" customHeight="1" thickTop="1">
      <c r="A12" s="74"/>
      <c r="B12" s="9"/>
      <c r="C12" s="22" t="s">
        <v>12</v>
      </c>
      <c r="D12" s="11"/>
      <c r="E12" s="18">
        <f>E6-E11</f>
        <v>0</v>
      </c>
      <c r="F12" s="21"/>
    </row>
    <row r="13" spans="1:6" ht="16.5" customHeight="1">
      <c r="A13" s="75"/>
      <c r="B13" s="15"/>
      <c r="C13" s="16"/>
      <c r="D13" s="17"/>
      <c r="E13" s="23"/>
      <c r="F13" s="24"/>
    </row>
    <row r="14" spans="1:6" ht="16.5" customHeight="1">
      <c r="A14" s="61" t="s">
        <v>13</v>
      </c>
      <c r="B14" s="64" t="s">
        <v>135</v>
      </c>
      <c r="C14" s="65"/>
      <c r="D14" s="7"/>
      <c r="E14" s="7"/>
      <c r="F14" s="25"/>
    </row>
    <row r="15" spans="1:6" ht="16.5" customHeight="1">
      <c r="A15" s="62"/>
      <c r="B15" s="66"/>
      <c r="C15" s="67"/>
      <c r="D15" s="12"/>
      <c r="E15" s="12"/>
      <c r="F15" s="26"/>
    </row>
    <row r="16" spans="1:6" ht="16.5" customHeight="1">
      <c r="A16" s="62"/>
      <c r="B16" s="9"/>
      <c r="C16" s="10" t="s">
        <v>14</v>
      </c>
      <c r="D16" s="12">
        <f>15*5850*21*5</f>
        <v>9213750</v>
      </c>
      <c r="E16" s="12"/>
      <c r="F16" s="26" t="s">
        <v>139</v>
      </c>
    </row>
    <row r="17" spans="1:6" ht="16.5" customHeight="1" thickBot="1">
      <c r="A17" s="62"/>
      <c r="B17" s="9"/>
      <c r="C17" s="22" t="s">
        <v>6</v>
      </c>
      <c r="D17" s="12"/>
      <c r="E17" s="14">
        <f>SUM(D16)</f>
        <v>9213750</v>
      </c>
      <c r="F17" s="26"/>
    </row>
    <row r="18" spans="1:6" ht="16.5" customHeight="1" thickTop="1">
      <c r="A18" s="62"/>
      <c r="B18" s="27" t="s">
        <v>15</v>
      </c>
      <c r="C18" s="28"/>
      <c r="D18" s="12"/>
      <c r="E18" s="18"/>
      <c r="F18" s="26"/>
    </row>
    <row r="19" spans="1:6" ht="12" customHeight="1">
      <c r="A19" s="62"/>
      <c r="B19" s="9"/>
      <c r="C19" s="68" t="s">
        <v>16</v>
      </c>
      <c r="D19" s="69">
        <f>(200000+200000+500000+200000)*5</f>
        <v>5500000</v>
      </c>
      <c r="E19" s="12"/>
      <c r="F19" s="26" t="s">
        <v>148</v>
      </c>
    </row>
    <row r="20" spans="1:6" ht="12" customHeight="1">
      <c r="A20" s="62"/>
      <c r="B20" s="9"/>
      <c r="C20" s="68"/>
      <c r="D20" s="69"/>
      <c r="E20" s="12"/>
      <c r="F20" s="26" t="s">
        <v>149</v>
      </c>
    </row>
    <row r="21" spans="1:6" ht="12" customHeight="1">
      <c r="A21" s="62"/>
      <c r="B21" s="9"/>
      <c r="C21" s="68"/>
      <c r="D21" s="69"/>
      <c r="E21" s="12"/>
      <c r="F21" s="26" t="s">
        <v>151</v>
      </c>
    </row>
    <row r="22" spans="1:6" ht="12" customHeight="1">
      <c r="A22" s="62"/>
      <c r="B22" s="9"/>
      <c r="C22" s="68"/>
      <c r="D22" s="69"/>
      <c r="E22" s="12"/>
      <c r="F22" s="26" t="s">
        <v>140</v>
      </c>
    </row>
    <row r="23" spans="1:6" ht="16.5" customHeight="1">
      <c r="A23" s="62"/>
      <c r="B23" s="9"/>
      <c r="C23" s="28" t="s">
        <v>17</v>
      </c>
      <c r="D23" s="12">
        <v>250000</v>
      </c>
      <c r="E23" s="12"/>
      <c r="F23" s="26" t="s">
        <v>146</v>
      </c>
    </row>
    <row r="24" spans="1:6" ht="16.5" customHeight="1">
      <c r="A24" s="62"/>
      <c r="B24" s="9"/>
      <c r="C24" s="28" t="s">
        <v>18</v>
      </c>
      <c r="D24" s="12">
        <v>100000</v>
      </c>
      <c r="E24" s="29"/>
      <c r="F24" s="26" t="s">
        <v>19</v>
      </c>
    </row>
    <row r="25" spans="1:6" ht="16.5" customHeight="1">
      <c r="A25" s="62"/>
      <c r="B25" s="9"/>
      <c r="C25" s="28" t="s">
        <v>20</v>
      </c>
      <c r="D25" s="12">
        <v>100000</v>
      </c>
      <c r="E25" s="29"/>
      <c r="F25" s="26" t="s">
        <v>141</v>
      </c>
    </row>
    <row r="26" spans="1:6" ht="16.5" customHeight="1">
      <c r="A26" s="62"/>
      <c r="B26" s="9"/>
      <c r="C26" s="28" t="s">
        <v>21</v>
      </c>
      <c r="D26" s="12">
        <v>500000</v>
      </c>
      <c r="E26" s="29"/>
      <c r="F26" s="26" t="s">
        <v>142</v>
      </c>
    </row>
    <row r="27" spans="1:6" ht="16.5" customHeight="1">
      <c r="A27" s="62"/>
      <c r="B27" s="9"/>
      <c r="C27" s="28" t="s">
        <v>22</v>
      </c>
      <c r="D27" s="12">
        <v>1500000</v>
      </c>
      <c r="E27" s="29"/>
      <c r="F27" s="26" t="s">
        <v>147</v>
      </c>
    </row>
    <row r="28" spans="1:6" ht="16.5" customHeight="1">
      <c r="A28" s="62"/>
      <c r="B28" s="9"/>
      <c r="C28" s="28" t="s">
        <v>23</v>
      </c>
      <c r="D28" s="12">
        <v>300000</v>
      </c>
      <c r="E28" s="29"/>
      <c r="F28" s="26" t="s">
        <v>24</v>
      </c>
    </row>
    <row r="29" spans="1:6" ht="16.5" customHeight="1">
      <c r="A29" s="62"/>
      <c r="B29" s="9"/>
      <c r="C29" s="28" t="s">
        <v>25</v>
      </c>
      <c r="D29" s="12">
        <v>250000</v>
      </c>
      <c r="E29" s="29"/>
      <c r="F29" s="26" t="s">
        <v>153</v>
      </c>
    </row>
    <row r="30" spans="1:6" ht="16.5" customHeight="1">
      <c r="A30" s="62"/>
      <c r="B30" s="9"/>
      <c r="C30" s="28" t="s">
        <v>26</v>
      </c>
      <c r="D30" s="12">
        <v>100000</v>
      </c>
      <c r="E30" s="29"/>
      <c r="F30" s="26" t="s">
        <v>152</v>
      </c>
    </row>
    <row r="31" spans="1:6" ht="16.5" customHeight="1">
      <c r="A31" s="62"/>
      <c r="B31" s="9"/>
      <c r="C31" s="28" t="s">
        <v>27</v>
      </c>
      <c r="D31" s="12">
        <v>100000</v>
      </c>
      <c r="E31" s="29"/>
      <c r="F31" s="26" t="s">
        <v>143</v>
      </c>
    </row>
    <row r="32" spans="1:6" ht="16.5" customHeight="1">
      <c r="A32" s="62"/>
      <c r="B32" s="9"/>
      <c r="C32" s="28" t="s">
        <v>28</v>
      </c>
      <c r="D32" s="12">
        <v>100000</v>
      </c>
      <c r="E32" s="29"/>
      <c r="F32" s="26" t="s">
        <v>144</v>
      </c>
    </row>
    <row r="33" spans="1:6" ht="16.5" customHeight="1">
      <c r="A33" s="62"/>
      <c r="B33" s="9"/>
      <c r="C33" s="28" t="s">
        <v>29</v>
      </c>
      <c r="D33" s="12">
        <v>250000</v>
      </c>
      <c r="E33" s="29"/>
      <c r="F33" s="30" t="s">
        <v>150</v>
      </c>
    </row>
    <row r="34" spans="1:6" ht="16.5" customHeight="1">
      <c r="A34" s="62"/>
      <c r="B34" s="9"/>
      <c r="C34" s="28" t="s">
        <v>30</v>
      </c>
      <c r="D34" s="12">
        <v>150000</v>
      </c>
      <c r="E34" s="29"/>
      <c r="F34" s="30" t="s">
        <v>145</v>
      </c>
    </row>
    <row r="35" spans="1:6" ht="16.5" customHeight="1">
      <c r="A35" s="62"/>
      <c r="B35" s="9"/>
      <c r="C35" s="28"/>
      <c r="D35" s="12"/>
      <c r="E35" s="29"/>
      <c r="F35" s="30"/>
    </row>
    <row r="36" spans="1:6" ht="16.5" customHeight="1" thickBot="1">
      <c r="A36" s="62"/>
      <c r="B36" s="9"/>
      <c r="C36" s="10" t="s">
        <v>11</v>
      </c>
      <c r="D36" s="12"/>
      <c r="E36" s="14">
        <f>SUM(D19:D34)</f>
        <v>9200000</v>
      </c>
      <c r="F36" s="30"/>
    </row>
    <row r="37" spans="1:6" ht="16.5" customHeight="1" thickTop="1">
      <c r="A37" s="62"/>
      <c r="B37" s="9"/>
      <c r="C37" s="28"/>
      <c r="D37" s="12"/>
      <c r="E37" s="18"/>
      <c r="F37" s="30"/>
    </row>
    <row r="38" spans="1:6" ht="16.5" customHeight="1">
      <c r="A38" s="63"/>
      <c r="B38" s="15"/>
      <c r="C38" s="31" t="s">
        <v>31</v>
      </c>
      <c r="D38" s="23"/>
      <c r="E38" s="32">
        <f>E17-E36</f>
        <v>13750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election activeCell="D28" sqref="D28"/>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0" t="s">
        <v>32</v>
      </c>
      <c r="C1" s="70"/>
      <c r="D1" s="70"/>
      <c r="E1" s="70"/>
      <c r="F1" s="70"/>
    </row>
    <row r="2" spans="1:6" ht="16.5" customHeight="1">
      <c r="B2" s="70" t="s">
        <v>33</v>
      </c>
      <c r="C2" s="70"/>
      <c r="D2" s="70"/>
      <c r="E2" s="70"/>
      <c r="F2" s="70"/>
    </row>
    <row r="3" spans="1:6" ht="16.5" customHeight="1">
      <c r="A3" s="1"/>
      <c r="B3" s="71" t="s">
        <v>1</v>
      </c>
      <c r="C3" s="72"/>
      <c r="D3" s="2"/>
      <c r="E3" s="3"/>
      <c r="F3" s="3" t="s">
        <v>2</v>
      </c>
    </row>
    <row r="4" spans="1:6" ht="16.5" customHeight="1">
      <c r="A4" s="73" t="s">
        <v>3</v>
      </c>
      <c r="B4" s="4" t="s">
        <v>4</v>
      </c>
      <c r="C4" s="5"/>
      <c r="D4" s="6"/>
      <c r="E4" s="7"/>
      <c r="F4" s="8"/>
    </row>
    <row r="5" spans="1:6" ht="16.5" customHeight="1">
      <c r="A5" s="74"/>
      <c r="B5" s="9"/>
      <c r="C5" s="10" t="s">
        <v>5</v>
      </c>
      <c r="D5" s="11">
        <f>E11</f>
        <v>6496800</v>
      </c>
      <c r="E5" s="12"/>
      <c r="F5" s="13" t="s">
        <v>156</v>
      </c>
    </row>
    <row r="6" spans="1:6" ht="16.5" customHeight="1" thickBot="1">
      <c r="A6" s="74"/>
      <c r="B6" s="9"/>
      <c r="C6" s="10" t="s">
        <v>6</v>
      </c>
      <c r="D6" s="11"/>
      <c r="E6" s="14">
        <f>SUM(D5)</f>
        <v>6496800</v>
      </c>
      <c r="F6" s="13"/>
    </row>
    <row r="7" spans="1:6" ht="16.5" customHeight="1" thickTop="1">
      <c r="A7" s="74"/>
      <c r="B7" s="15"/>
      <c r="C7" s="16"/>
      <c r="D7" s="17"/>
      <c r="E7" s="18"/>
      <c r="F7" s="13"/>
    </row>
    <row r="8" spans="1:6" ht="16.5" customHeight="1">
      <c r="A8" s="74"/>
      <c r="B8" s="19" t="s">
        <v>7</v>
      </c>
      <c r="C8" s="20"/>
      <c r="D8" s="6"/>
      <c r="E8" s="7"/>
      <c r="F8" s="13"/>
    </row>
    <row r="9" spans="1:6" ht="16.5" customHeight="1">
      <c r="A9" s="74"/>
      <c r="B9" s="9"/>
      <c r="C9" s="10" t="s">
        <v>8</v>
      </c>
      <c r="D9" s="11">
        <f>18*1300*21*12</f>
        <v>5896800</v>
      </c>
      <c r="E9" s="12"/>
      <c r="F9" s="21" t="s">
        <v>154</v>
      </c>
    </row>
    <row r="10" spans="1:6" ht="16.5" customHeight="1">
      <c r="A10" s="74"/>
      <c r="B10" s="9"/>
      <c r="C10" s="10" t="s">
        <v>9</v>
      </c>
      <c r="D10" s="11">
        <v>600000</v>
      </c>
      <c r="E10" s="12"/>
      <c r="F10" s="21" t="s">
        <v>155</v>
      </c>
    </row>
    <row r="11" spans="1:6" ht="16.5" customHeight="1" thickBot="1">
      <c r="A11" s="74"/>
      <c r="B11" s="9"/>
      <c r="C11" s="10" t="s">
        <v>11</v>
      </c>
      <c r="D11" s="11"/>
      <c r="E11" s="14">
        <f>SUM(D9:D10)</f>
        <v>6496800</v>
      </c>
      <c r="F11" s="21"/>
    </row>
    <row r="12" spans="1:6" ht="16.5" customHeight="1" thickTop="1">
      <c r="A12" s="74"/>
      <c r="B12" s="9"/>
      <c r="C12" s="22" t="s">
        <v>12</v>
      </c>
      <c r="D12" s="11"/>
      <c r="E12" s="18">
        <f>E6-E11</f>
        <v>0</v>
      </c>
      <c r="F12" s="21"/>
    </row>
    <row r="13" spans="1:6" ht="16.5" customHeight="1">
      <c r="A13" s="75"/>
      <c r="B13" s="15"/>
      <c r="C13" s="16"/>
      <c r="D13" s="17"/>
      <c r="E13" s="23"/>
      <c r="F13" s="24"/>
    </row>
    <row r="14" spans="1:6" ht="16.5" customHeight="1">
      <c r="A14" s="61" t="s">
        <v>13</v>
      </c>
      <c r="B14" s="64" t="s">
        <v>135</v>
      </c>
      <c r="C14" s="65"/>
      <c r="D14" s="7"/>
      <c r="E14" s="7"/>
      <c r="F14" s="25"/>
    </row>
    <row r="15" spans="1:6" ht="16.5" customHeight="1">
      <c r="A15" s="62"/>
      <c r="B15" s="66"/>
      <c r="C15" s="67"/>
      <c r="D15" s="12"/>
      <c r="E15" s="12"/>
      <c r="F15" s="26"/>
    </row>
    <row r="16" spans="1:6" ht="16.5" customHeight="1">
      <c r="A16" s="62"/>
      <c r="B16" s="9"/>
      <c r="C16" s="10" t="s">
        <v>14</v>
      </c>
      <c r="D16" s="12">
        <f>20*5850*21*12</f>
        <v>29484000</v>
      </c>
      <c r="E16" s="12"/>
      <c r="F16" s="26" t="s">
        <v>157</v>
      </c>
    </row>
    <row r="17" spans="1:6" ht="16.5" customHeight="1" thickBot="1">
      <c r="A17" s="62"/>
      <c r="B17" s="9"/>
      <c r="C17" s="22" t="s">
        <v>6</v>
      </c>
      <c r="D17" s="12"/>
      <c r="E17" s="14">
        <f>SUM(D16)</f>
        <v>29484000</v>
      </c>
      <c r="F17" s="26"/>
    </row>
    <row r="18" spans="1:6" ht="16.5" customHeight="1" thickTop="1">
      <c r="A18" s="62"/>
      <c r="B18" s="27" t="s">
        <v>15</v>
      </c>
      <c r="C18" s="28"/>
      <c r="D18" s="12"/>
      <c r="E18" s="18"/>
      <c r="F18" s="26"/>
    </row>
    <row r="19" spans="1:6" ht="12" customHeight="1">
      <c r="A19" s="62"/>
      <c r="B19" s="9"/>
      <c r="C19" s="68" t="s">
        <v>16</v>
      </c>
      <c r="D19" s="69">
        <f>(320000+300000+800000+200000)*12</f>
        <v>19440000</v>
      </c>
      <c r="E19" s="12"/>
      <c r="F19" s="26" t="s">
        <v>34</v>
      </c>
    </row>
    <row r="20" spans="1:6" ht="12" customHeight="1">
      <c r="A20" s="62"/>
      <c r="B20" s="9"/>
      <c r="C20" s="68"/>
      <c r="D20" s="69"/>
      <c r="E20" s="12"/>
      <c r="F20" s="26" t="s">
        <v>35</v>
      </c>
    </row>
    <row r="21" spans="1:6" ht="12" customHeight="1">
      <c r="A21" s="62"/>
      <c r="B21" s="9"/>
      <c r="C21" s="68"/>
      <c r="D21" s="69"/>
      <c r="E21" s="12"/>
      <c r="F21" s="26" t="s">
        <v>36</v>
      </c>
    </row>
    <row r="22" spans="1:6" ht="12" customHeight="1">
      <c r="A22" s="62"/>
      <c r="B22" s="9"/>
      <c r="C22" s="68"/>
      <c r="D22" s="69"/>
      <c r="E22" s="12"/>
      <c r="F22" s="26" t="s">
        <v>37</v>
      </c>
    </row>
    <row r="23" spans="1:6" ht="16.5" customHeight="1">
      <c r="A23" s="62"/>
      <c r="B23" s="9"/>
      <c r="C23" s="28" t="s">
        <v>17</v>
      </c>
      <c r="D23" s="12">
        <f>80000*12</f>
        <v>960000</v>
      </c>
      <c r="E23" s="12"/>
      <c r="F23" s="26" t="s">
        <v>38</v>
      </c>
    </row>
    <row r="24" spans="1:6" ht="16.5" customHeight="1">
      <c r="A24" s="62"/>
      <c r="B24" s="9"/>
      <c r="C24" s="28" t="s">
        <v>18</v>
      </c>
      <c r="D24" s="12">
        <v>120000</v>
      </c>
      <c r="E24" s="29"/>
      <c r="F24" s="26" t="s">
        <v>19</v>
      </c>
    </row>
    <row r="25" spans="1:6" ht="16.5" customHeight="1">
      <c r="A25" s="62"/>
      <c r="B25" s="9"/>
      <c r="C25" s="28" t="s">
        <v>20</v>
      </c>
      <c r="D25" s="12">
        <f>30000*12</f>
        <v>360000</v>
      </c>
      <c r="E25" s="29"/>
      <c r="F25" s="26" t="s">
        <v>39</v>
      </c>
    </row>
    <row r="26" spans="1:6" ht="16.5" customHeight="1">
      <c r="A26" s="62"/>
      <c r="B26" s="9"/>
      <c r="C26" s="28" t="s">
        <v>21</v>
      </c>
      <c r="D26" s="12">
        <v>2400000</v>
      </c>
      <c r="E26" s="29"/>
      <c r="F26" s="26" t="s">
        <v>40</v>
      </c>
    </row>
    <row r="27" spans="1:6" ht="16.5" customHeight="1">
      <c r="A27" s="62"/>
      <c r="B27" s="9"/>
      <c r="C27" s="28" t="s">
        <v>22</v>
      </c>
      <c r="D27" s="12">
        <v>3600000</v>
      </c>
      <c r="E27" s="29"/>
      <c r="F27" s="26" t="s">
        <v>41</v>
      </c>
    </row>
    <row r="28" spans="1:6" ht="16.5" customHeight="1">
      <c r="A28" s="62"/>
      <c r="B28" s="9"/>
      <c r="C28" s="28" t="s">
        <v>23</v>
      </c>
      <c r="D28" s="12">
        <v>300000</v>
      </c>
      <c r="E28" s="29"/>
      <c r="F28" s="26" t="s">
        <v>24</v>
      </c>
    </row>
    <row r="29" spans="1:6" ht="16.5" customHeight="1">
      <c r="A29" s="62"/>
      <c r="B29" s="9"/>
      <c r="C29" s="28" t="s">
        <v>25</v>
      </c>
      <c r="D29" s="12">
        <v>360000</v>
      </c>
      <c r="E29" s="29"/>
      <c r="F29" s="26" t="s">
        <v>42</v>
      </c>
    </row>
    <row r="30" spans="1:6" ht="16.5" customHeight="1">
      <c r="A30" s="62"/>
      <c r="B30" s="9"/>
      <c r="C30" s="28" t="s">
        <v>26</v>
      </c>
      <c r="D30" s="12">
        <v>240000</v>
      </c>
      <c r="E30" s="29"/>
      <c r="F30" s="26" t="s">
        <v>43</v>
      </c>
    </row>
    <row r="31" spans="1:6" ht="16.5" customHeight="1">
      <c r="A31" s="62"/>
      <c r="B31" s="9"/>
      <c r="C31" s="28" t="s">
        <v>27</v>
      </c>
      <c r="D31" s="12">
        <v>360000</v>
      </c>
      <c r="E31" s="29"/>
      <c r="F31" s="26" t="s">
        <v>44</v>
      </c>
    </row>
    <row r="32" spans="1:6" ht="16.5" customHeight="1">
      <c r="A32" s="62"/>
      <c r="B32" s="9"/>
      <c r="C32" s="28" t="s">
        <v>28</v>
      </c>
      <c r="D32" s="12">
        <v>360000</v>
      </c>
      <c r="E32" s="29"/>
      <c r="F32" s="26" t="s">
        <v>45</v>
      </c>
    </row>
    <row r="33" spans="1:6" ht="16.5" customHeight="1">
      <c r="A33" s="62"/>
      <c r="B33" s="9"/>
      <c r="C33" s="28" t="s">
        <v>29</v>
      </c>
      <c r="D33" s="12">
        <v>240000</v>
      </c>
      <c r="E33" s="29"/>
      <c r="F33" s="30" t="s">
        <v>46</v>
      </c>
    </row>
    <row r="34" spans="1:6" ht="16.5" customHeight="1">
      <c r="A34" s="62"/>
      <c r="B34" s="9"/>
      <c r="C34" s="28" t="s">
        <v>30</v>
      </c>
      <c r="D34" s="12">
        <v>360000</v>
      </c>
      <c r="E34" s="29"/>
      <c r="F34" s="30" t="s">
        <v>47</v>
      </c>
    </row>
    <row r="35" spans="1:6" ht="16.5" customHeight="1">
      <c r="A35" s="62"/>
      <c r="B35" s="9"/>
      <c r="C35" s="28"/>
      <c r="D35" s="12"/>
      <c r="E35" s="29"/>
      <c r="F35" s="30"/>
    </row>
    <row r="36" spans="1:6" ht="16.5" customHeight="1" thickBot="1">
      <c r="A36" s="62"/>
      <c r="B36" s="9"/>
      <c r="C36" s="10" t="s">
        <v>11</v>
      </c>
      <c r="D36" s="12"/>
      <c r="E36" s="14">
        <f>SUM(D19:D34)</f>
        <v>29100000</v>
      </c>
      <c r="F36" s="30"/>
    </row>
    <row r="37" spans="1:6" ht="16.5" customHeight="1" thickTop="1">
      <c r="A37" s="62"/>
      <c r="B37" s="9"/>
      <c r="C37" s="28"/>
      <c r="D37" s="12"/>
      <c r="E37" s="18"/>
      <c r="F37" s="30"/>
    </row>
    <row r="38" spans="1:6" ht="16.5" customHeight="1">
      <c r="A38" s="63"/>
      <c r="B38" s="15"/>
      <c r="C38" s="31" t="s">
        <v>12</v>
      </c>
      <c r="D38" s="23"/>
      <c r="E38" s="32">
        <f>E17-E36</f>
        <v>384000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22" workbookViewId="0">
      <selection activeCell="C20" sqref="C20"/>
    </sheetView>
  </sheetViews>
  <sheetFormatPr defaultRowHeight="13.5"/>
  <cols>
    <col min="1" max="1" width="30.125" customWidth="1"/>
    <col min="2" max="4" width="19.125" style="35" customWidth="1"/>
    <col min="5" max="8" width="9" style="35"/>
  </cols>
  <sheetData>
    <row r="1" spans="1:4">
      <c r="A1" s="76" t="s">
        <v>48</v>
      </c>
      <c r="B1" s="76"/>
      <c r="C1" s="76"/>
      <c r="D1" s="76"/>
    </row>
    <row r="2" spans="1:4">
      <c r="A2" s="77">
        <v>42094</v>
      </c>
      <c r="B2" s="78"/>
      <c r="C2" s="78"/>
      <c r="D2" s="78"/>
    </row>
    <row r="3" spans="1:4">
      <c r="A3" s="36" t="s">
        <v>1</v>
      </c>
      <c r="B3" s="79" t="s">
        <v>49</v>
      </c>
      <c r="C3" s="80"/>
      <c r="D3" s="80"/>
    </row>
    <row r="4" spans="1:4">
      <c r="A4" s="29" t="s">
        <v>50</v>
      </c>
      <c r="B4" s="7"/>
      <c r="C4" s="7"/>
      <c r="D4" s="7"/>
    </row>
    <row r="5" spans="1:4">
      <c r="A5" s="37" t="s">
        <v>51</v>
      </c>
      <c r="B5" s="12"/>
      <c r="C5" s="12"/>
      <c r="D5" s="12"/>
    </row>
    <row r="6" spans="1:4">
      <c r="A6" s="38" t="s">
        <v>52</v>
      </c>
      <c r="B6" s="12">
        <v>100000</v>
      </c>
      <c r="C6" s="12"/>
      <c r="D6" s="12"/>
    </row>
    <row r="7" spans="1:4">
      <c r="A7" s="38" t="s">
        <v>53</v>
      </c>
      <c r="B7" s="23">
        <v>300000</v>
      </c>
      <c r="C7" s="12"/>
      <c r="D7" s="12"/>
    </row>
    <row r="8" spans="1:4">
      <c r="A8" s="38" t="s">
        <v>54</v>
      </c>
      <c r="B8" s="12">
        <f>SUM(B6:B7)</f>
        <v>400000</v>
      </c>
      <c r="C8" s="12">
        <f>SUM(B6:B7)</f>
        <v>400000</v>
      </c>
      <c r="D8" s="12"/>
    </row>
    <row r="9" spans="1:4">
      <c r="A9" s="37" t="s">
        <v>55</v>
      </c>
      <c r="B9" s="12"/>
      <c r="C9" s="12"/>
      <c r="D9" s="12"/>
    </row>
    <row r="10" spans="1:4">
      <c r="A10" s="37" t="s">
        <v>56</v>
      </c>
      <c r="B10" s="12"/>
      <c r="C10" s="12"/>
      <c r="D10" s="12"/>
    </row>
    <row r="11" spans="1:4">
      <c r="A11" s="38" t="s">
        <v>57</v>
      </c>
      <c r="B11" s="12"/>
      <c r="C11" s="12"/>
      <c r="D11" s="12"/>
    </row>
    <row r="12" spans="1:4">
      <c r="A12" s="38" t="s">
        <v>58</v>
      </c>
      <c r="B12" s="23">
        <v>300000</v>
      </c>
      <c r="C12" s="12"/>
      <c r="D12" s="12"/>
    </row>
    <row r="13" spans="1:4">
      <c r="A13" s="38" t="s">
        <v>59</v>
      </c>
      <c r="B13" s="12">
        <f>SUM(B11:B12)</f>
        <v>300000</v>
      </c>
      <c r="C13" s="12"/>
      <c r="D13" s="12"/>
    </row>
    <row r="14" spans="1:4">
      <c r="A14" s="37" t="s">
        <v>60</v>
      </c>
      <c r="B14" s="12"/>
      <c r="C14" s="12"/>
      <c r="D14" s="12"/>
    </row>
    <row r="15" spans="1:4">
      <c r="A15" s="38" t="s">
        <v>61</v>
      </c>
      <c r="B15" s="23">
        <v>0</v>
      </c>
      <c r="C15" s="12"/>
      <c r="D15" s="12"/>
    </row>
    <row r="16" spans="1:4">
      <c r="A16" s="38" t="s">
        <v>62</v>
      </c>
      <c r="B16" s="12">
        <f>SUM(B15)</f>
        <v>0</v>
      </c>
      <c r="C16" s="12"/>
      <c r="D16" s="12"/>
    </row>
    <row r="17" spans="1:4">
      <c r="A17" s="37" t="s">
        <v>63</v>
      </c>
      <c r="B17" s="12"/>
      <c r="C17" s="12"/>
      <c r="D17" s="12"/>
    </row>
    <row r="18" spans="1:4">
      <c r="A18" s="38" t="s">
        <v>64</v>
      </c>
      <c r="B18" s="23">
        <v>0</v>
      </c>
      <c r="C18" s="12"/>
      <c r="D18" s="12"/>
    </row>
    <row r="19" spans="1:4">
      <c r="A19" s="38" t="s">
        <v>65</v>
      </c>
      <c r="B19" s="12">
        <v>0</v>
      </c>
      <c r="C19" s="12"/>
      <c r="D19" s="12"/>
    </row>
    <row r="20" spans="1:4">
      <c r="A20" s="37" t="s">
        <v>66</v>
      </c>
      <c r="B20" s="12"/>
      <c r="C20" s="23">
        <f>B13+B16</f>
        <v>300000</v>
      </c>
      <c r="D20" s="12"/>
    </row>
    <row r="21" spans="1:4" ht="14.25" thickBot="1">
      <c r="A21" s="29" t="s">
        <v>67</v>
      </c>
      <c r="B21" s="12"/>
      <c r="C21" s="12"/>
      <c r="D21" s="39">
        <f>C8+C20</f>
        <v>700000</v>
      </c>
    </row>
    <row r="22" spans="1:4" ht="14.25" thickTop="1">
      <c r="A22" s="29"/>
      <c r="B22" s="12"/>
      <c r="C22" s="12"/>
      <c r="D22" s="12"/>
    </row>
    <row r="23" spans="1:4">
      <c r="A23" s="29" t="s">
        <v>68</v>
      </c>
      <c r="B23" s="12"/>
      <c r="C23" s="12"/>
      <c r="D23" s="12"/>
    </row>
    <row r="24" spans="1:4">
      <c r="A24" s="37" t="s">
        <v>69</v>
      </c>
      <c r="B24" s="12"/>
      <c r="C24" s="12"/>
      <c r="D24" s="12"/>
    </row>
    <row r="25" spans="1:4">
      <c r="A25" s="38" t="s">
        <v>70</v>
      </c>
      <c r="B25" s="12">
        <v>0</v>
      </c>
      <c r="C25" s="12"/>
      <c r="D25" s="12"/>
    </row>
    <row r="26" spans="1:4">
      <c r="A26" s="38" t="s">
        <v>71</v>
      </c>
      <c r="B26" s="12">
        <v>0</v>
      </c>
      <c r="C26" s="12"/>
      <c r="D26" s="12"/>
    </row>
    <row r="27" spans="1:4">
      <c r="A27" s="38" t="s">
        <v>72</v>
      </c>
      <c r="B27" s="23">
        <v>50000</v>
      </c>
      <c r="C27" s="12"/>
      <c r="D27" s="12"/>
    </row>
    <row r="28" spans="1:4">
      <c r="A28" s="38" t="s">
        <v>73</v>
      </c>
      <c r="B28" s="12">
        <f>SUM(B25:B27)</f>
        <v>50000</v>
      </c>
      <c r="C28" s="12"/>
      <c r="D28" s="12"/>
    </row>
    <row r="29" spans="1:4">
      <c r="A29" s="37" t="s">
        <v>74</v>
      </c>
      <c r="B29" s="12"/>
      <c r="C29" s="12"/>
      <c r="D29" s="12"/>
    </row>
    <row r="30" spans="1:4">
      <c r="A30" s="38" t="s">
        <v>75</v>
      </c>
      <c r="B30" s="23"/>
      <c r="C30" s="12"/>
      <c r="D30" s="12"/>
    </row>
    <row r="31" spans="1:4">
      <c r="A31" s="38" t="s">
        <v>76</v>
      </c>
      <c r="B31" s="12">
        <f>SUM(B30)</f>
        <v>0</v>
      </c>
      <c r="C31" s="12"/>
      <c r="D31" s="12"/>
    </row>
    <row r="32" spans="1:4">
      <c r="A32" s="29" t="s">
        <v>77</v>
      </c>
      <c r="B32" s="12"/>
      <c r="C32" s="12"/>
      <c r="D32" s="12">
        <f>B28+B31</f>
        <v>50000</v>
      </c>
    </row>
    <row r="33" spans="1:4">
      <c r="A33" s="29" t="s">
        <v>78</v>
      </c>
      <c r="B33" s="12"/>
      <c r="C33" s="12"/>
      <c r="D33" s="12"/>
    </row>
    <row r="34" spans="1:4">
      <c r="A34" s="37" t="s">
        <v>79</v>
      </c>
      <c r="B34" s="12"/>
      <c r="C34" s="12">
        <v>0</v>
      </c>
      <c r="D34" s="12"/>
    </row>
    <row r="35" spans="1:4">
      <c r="A35" s="37" t="s">
        <v>80</v>
      </c>
      <c r="B35" s="12"/>
      <c r="C35" s="23">
        <v>113500</v>
      </c>
      <c r="D35" s="12"/>
    </row>
    <row r="36" spans="1:4">
      <c r="A36" s="37" t="s">
        <v>81</v>
      </c>
      <c r="B36" s="12"/>
      <c r="C36" s="12"/>
      <c r="D36" s="23">
        <f>SUM(C34:C35)</f>
        <v>113500</v>
      </c>
    </row>
    <row r="37" spans="1:4">
      <c r="A37" s="40" t="s">
        <v>82</v>
      </c>
      <c r="B37" s="23"/>
      <c r="C37" s="23"/>
      <c r="D37" s="23">
        <f>D32+D36</f>
        <v>163500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workbookViewId="0">
      <selection activeCell="B11" sqref="B11"/>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6" t="s">
        <v>48</v>
      </c>
      <c r="B1" s="76"/>
      <c r="C1" s="76"/>
      <c r="D1" s="76"/>
    </row>
    <row r="2" spans="1:4">
      <c r="A2" s="77">
        <v>42460</v>
      </c>
      <c r="B2" s="78"/>
      <c r="C2" s="78"/>
      <c r="D2" s="78"/>
    </row>
    <row r="3" spans="1:4">
      <c r="A3" s="36" t="s">
        <v>1</v>
      </c>
      <c r="B3" s="79" t="s">
        <v>49</v>
      </c>
      <c r="C3" s="80"/>
      <c r="D3" s="80"/>
    </row>
    <row r="4" spans="1:4">
      <c r="A4" s="29" t="s">
        <v>50</v>
      </c>
      <c r="B4" s="7"/>
      <c r="C4" s="7"/>
      <c r="D4" s="7"/>
    </row>
    <row r="5" spans="1:4">
      <c r="A5" s="37" t="s">
        <v>51</v>
      </c>
      <c r="B5" s="12"/>
      <c r="C5" s="12"/>
      <c r="D5" s="12"/>
    </row>
    <row r="6" spans="1:4">
      <c r="A6" s="38" t="s">
        <v>52</v>
      </c>
      <c r="B6" s="12">
        <v>100000</v>
      </c>
      <c r="C6" s="12"/>
      <c r="D6" s="12"/>
    </row>
    <row r="7" spans="1:4">
      <c r="A7" s="38" t="s">
        <v>53</v>
      </c>
      <c r="B7" s="23">
        <v>300000</v>
      </c>
      <c r="C7" s="12"/>
      <c r="D7" s="12"/>
    </row>
    <row r="8" spans="1:4">
      <c r="A8" s="38" t="s">
        <v>54</v>
      </c>
      <c r="B8" s="12">
        <f>SUM(B6:B7)</f>
        <v>400000</v>
      </c>
      <c r="C8" s="12">
        <f>SUM(B6:B7)</f>
        <v>400000</v>
      </c>
      <c r="D8" s="12"/>
    </row>
    <row r="9" spans="1:4">
      <c r="A9" s="37" t="s">
        <v>55</v>
      </c>
      <c r="B9" s="12"/>
      <c r="C9" s="12"/>
      <c r="D9" s="12"/>
    </row>
    <row r="10" spans="1:4">
      <c r="A10" s="37" t="s">
        <v>56</v>
      </c>
      <c r="B10" s="12"/>
      <c r="C10" s="12"/>
      <c r="D10" s="12"/>
    </row>
    <row r="11" spans="1:4">
      <c r="A11" s="38" t="s">
        <v>57</v>
      </c>
      <c r="B11" s="12">
        <v>0</v>
      </c>
      <c r="C11" s="12"/>
      <c r="D11" s="12"/>
    </row>
    <row r="12" spans="1:4">
      <c r="A12" s="38" t="s">
        <v>58</v>
      </c>
      <c r="B12" s="23">
        <v>300000</v>
      </c>
      <c r="C12" s="12"/>
      <c r="D12" s="12"/>
    </row>
    <row r="13" spans="1:4">
      <c r="A13" s="38" t="s">
        <v>59</v>
      </c>
      <c r="B13" s="12">
        <f>SUM(B11:B12)</f>
        <v>300000</v>
      </c>
      <c r="C13" s="12"/>
      <c r="D13" s="12"/>
    </row>
    <row r="14" spans="1:4">
      <c r="A14" s="37" t="s">
        <v>60</v>
      </c>
      <c r="B14" s="12"/>
      <c r="C14" s="12"/>
      <c r="D14" s="12"/>
    </row>
    <row r="15" spans="1:4">
      <c r="A15" s="38" t="s">
        <v>83</v>
      </c>
      <c r="B15" s="23">
        <v>300000</v>
      </c>
      <c r="C15" s="12"/>
      <c r="D15" s="12"/>
    </row>
    <row r="16" spans="1:4">
      <c r="A16" s="38" t="s">
        <v>62</v>
      </c>
      <c r="B16" s="12">
        <f>SUM(B15)</f>
        <v>300000</v>
      </c>
      <c r="C16" s="12"/>
      <c r="D16" s="12"/>
    </row>
    <row r="17" spans="1:4">
      <c r="A17" s="37" t="s">
        <v>63</v>
      </c>
      <c r="B17" s="12"/>
      <c r="C17" s="12"/>
      <c r="D17" s="12"/>
    </row>
    <row r="18" spans="1:4">
      <c r="A18" s="38" t="s">
        <v>64</v>
      </c>
      <c r="B18" s="23">
        <v>0</v>
      </c>
      <c r="C18" s="12"/>
      <c r="D18" s="12"/>
    </row>
    <row r="19" spans="1:4">
      <c r="A19" s="38" t="s">
        <v>65</v>
      </c>
      <c r="B19" s="12">
        <v>0</v>
      </c>
      <c r="C19" s="12"/>
      <c r="D19" s="12"/>
    </row>
    <row r="20" spans="1:4">
      <c r="A20" s="37" t="s">
        <v>66</v>
      </c>
      <c r="B20" s="12"/>
      <c r="C20" s="23">
        <f>B13+B16</f>
        <v>600000</v>
      </c>
      <c r="D20" s="12"/>
    </row>
    <row r="21" spans="1:4" ht="14.25" thickBot="1">
      <c r="A21" s="29" t="s">
        <v>67</v>
      </c>
      <c r="B21" s="12"/>
      <c r="C21" s="12"/>
      <c r="D21" s="39">
        <f>C8+C20</f>
        <v>1000000</v>
      </c>
    </row>
    <row r="22" spans="1:4" ht="14.25" thickTop="1">
      <c r="A22" s="29"/>
      <c r="B22" s="12"/>
      <c r="C22" s="12"/>
      <c r="D22" s="12"/>
    </row>
    <row r="23" spans="1:4">
      <c r="A23" s="29" t="s">
        <v>68</v>
      </c>
      <c r="B23" s="12"/>
      <c r="C23" s="12"/>
      <c r="D23" s="12"/>
    </row>
    <row r="24" spans="1:4">
      <c r="A24" s="37" t="s">
        <v>69</v>
      </c>
      <c r="B24" s="12"/>
      <c r="C24" s="12"/>
      <c r="D24" s="12"/>
    </row>
    <row r="25" spans="1:4">
      <c r="A25" s="38" t="s">
        <v>70</v>
      </c>
      <c r="B25" s="12">
        <v>0</v>
      </c>
      <c r="C25" s="12"/>
      <c r="D25" s="12"/>
    </row>
    <row r="26" spans="1:4">
      <c r="A26" s="38" t="s">
        <v>71</v>
      </c>
      <c r="B26" s="12">
        <v>0</v>
      </c>
      <c r="C26" s="12"/>
      <c r="D26" s="12"/>
    </row>
    <row r="27" spans="1:4">
      <c r="A27" s="38" t="s">
        <v>72</v>
      </c>
      <c r="B27" s="23">
        <v>150000</v>
      </c>
      <c r="C27" s="12"/>
      <c r="D27" s="12"/>
    </row>
    <row r="28" spans="1:4">
      <c r="A28" s="38" t="s">
        <v>73</v>
      </c>
      <c r="B28" s="12">
        <f>SUM(B25:B27)</f>
        <v>150000</v>
      </c>
      <c r="C28" s="12"/>
      <c r="D28" s="12"/>
    </row>
    <row r="29" spans="1:4">
      <c r="A29" s="37" t="s">
        <v>74</v>
      </c>
      <c r="B29" s="12"/>
      <c r="C29" s="12"/>
      <c r="D29" s="12"/>
    </row>
    <row r="30" spans="1:4">
      <c r="A30" s="38" t="s">
        <v>75</v>
      </c>
      <c r="B30" s="23">
        <v>2980900</v>
      </c>
      <c r="C30" s="12"/>
      <c r="D30" s="12"/>
    </row>
    <row r="31" spans="1:4">
      <c r="A31" s="38" t="s">
        <v>76</v>
      </c>
      <c r="B31" s="12">
        <f>SUM(B30)</f>
        <v>2980900</v>
      </c>
      <c r="C31" s="12"/>
      <c r="D31" s="12"/>
    </row>
    <row r="32" spans="1:4">
      <c r="A32" s="29" t="s">
        <v>77</v>
      </c>
      <c r="B32" s="12"/>
      <c r="C32" s="12"/>
      <c r="D32" s="12">
        <f>B28+B31</f>
        <v>3130900</v>
      </c>
    </row>
    <row r="33" spans="1:4">
      <c r="A33" s="29" t="s">
        <v>78</v>
      </c>
      <c r="B33" s="12"/>
      <c r="C33" s="12"/>
      <c r="D33" s="12"/>
    </row>
    <row r="34" spans="1:4">
      <c r="A34" s="37" t="s">
        <v>79</v>
      </c>
      <c r="B34" s="12"/>
      <c r="C34" s="12">
        <v>113500</v>
      </c>
      <c r="D34" s="12"/>
    </row>
    <row r="35" spans="1:4">
      <c r="A35" s="37" t="s">
        <v>80</v>
      </c>
      <c r="B35" s="12"/>
      <c r="C35" s="23">
        <f>平成27年度!E38</f>
        <v>384000</v>
      </c>
      <c r="D35" s="12"/>
    </row>
    <row r="36" spans="1:4">
      <c r="A36" s="37" t="s">
        <v>81</v>
      </c>
      <c r="B36" s="12"/>
      <c r="C36" s="12"/>
      <c r="D36" s="23">
        <f>SUM(C34:C35)</f>
        <v>497500</v>
      </c>
    </row>
    <row r="37" spans="1:4">
      <c r="A37" s="40" t="s">
        <v>82</v>
      </c>
      <c r="B37" s="23"/>
      <c r="C37" s="23"/>
      <c r="D37" s="23">
        <f>D32+D36</f>
        <v>3628400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topLeftCell="A14" zoomScaleNormal="100" workbookViewId="0">
      <selection activeCell="U23" sqref="U23"/>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2" t="s">
        <v>85</v>
      </c>
      <c r="F3" s="82"/>
      <c r="G3" s="82"/>
      <c r="H3" s="82"/>
      <c r="I3" s="82"/>
      <c r="J3" s="82"/>
      <c r="K3" s="82"/>
      <c r="L3" s="82"/>
      <c r="M3" s="82"/>
      <c r="N3" s="82"/>
      <c r="O3" s="82"/>
      <c r="P3" s="82"/>
      <c r="Q3" s="82"/>
      <c r="R3" s="82"/>
      <c r="S3" s="82"/>
      <c r="T3" s="82"/>
      <c r="U3" s="82"/>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86</v>
      </c>
      <c r="E6" s="41"/>
      <c r="F6" s="41"/>
      <c r="G6" s="41"/>
      <c r="H6" s="41"/>
      <c r="I6" s="41" t="s">
        <v>87</v>
      </c>
      <c r="J6" s="41"/>
      <c r="K6" s="41"/>
      <c r="L6" s="41"/>
      <c r="M6" s="41"/>
      <c r="N6" s="41"/>
      <c r="O6" s="41"/>
      <c r="P6" s="41"/>
      <c r="Q6" s="41"/>
      <c r="R6" s="41"/>
      <c r="S6" s="41"/>
      <c r="T6" s="41"/>
      <c r="U6" s="41"/>
      <c r="V6" s="41"/>
      <c r="W6" s="41" t="s">
        <v>88</v>
      </c>
      <c r="X6" s="41"/>
    </row>
    <row r="7" spans="1:24" ht="25.5" customHeight="1">
      <c r="A7" s="41"/>
      <c r="B7" s="41"/>
      <c r="C7" s="41"/>
      <c r="D7" s="41" t="s">
        <v>89</v>
      </c>
      <c r="E7" s="41"/>
      <c r="F7" s="41"/>
      <c r="G7" s="41"/>
      <c r="H7" s="41"/>
      <c r="I7" s="41" t="s">
        <v>158</v>
      </c>
      <c r="J7" s="41"/>
      <c r="K7" s="41"/>
      <c r="L7" s="41"/>
      <c r="M7" s="41"/>
      <c r="N7" s="41"/>
      <c r="O7" s="41"/>
      <c r="P7" s="41"/>
      <c r="Q7" s="41"/>
      <c r="R7" s="41"/>
      <c r="S7" s="41"/>
      <c r="T7" s="41"/>
      <c r="U7" s="41"/>
      <c r="V7" s="41"/>
      <c r="W7" s="41" t="s">
        <v>88</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50</v>
      </c>
      <c r="D10" s="47"/>
      <c r="E10" s="47"/>
      <c r="F10" s="47"/>
      <c r="G10" s="47"/>
      <c r="H10" s="47"/>
      <c r="I10" s="47"/>
      <c r="J10" s="47"/>
      <c r="K10" s="47"/>
      <c r="L10" s="47"/>
      <c r="M10" s="47"/>
      <c r="N10" s="47"/>
      <c r="O10" s="47"/>
      <c r="P10" s="47"/>
      <c r="Q10" s="47"/>
      <c r="R10" s="47"/>
      <c r="S10" s="47"/>
      <c r="T10" s="47"/>
      <c r="U10" s="47"/>
      <c r="W10" s="47" t="s">
        <v>90</v>
      </c>
      <c r="X10" s="48"/>
    </row>
    <row r="11" spans="1:24" ht="25.5" customHeight="1">
      <c r="A11" s="41"/>
      <c r="B11" s="9"/>
      <c r="C11" s="47"/>
      <c r="D11" s="47"/>
      <c r="E11" s="47" t="s">
        <v>91</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92</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93</v>
      </c>
      <c r="G13" s="47"/>
      <c r="H13" s="47" t="s">
        <v>94</v>
      </c>
      <c r="I13" s="47"/>
      <c r="J13" s="47"/>
      <c r="K13" s="47"/>
      <c r="L13" s="47"/>
      <c r="M13" s="47"/>
      <c r="N13" s="47"/>
      <c r="O13" s="47"/>
      <c r="P13" s="81"/>
      <c r="Q13" s="81"/>
      <c r="R13" s="81"/>
      <c r="S13" s="81"/>
      <c r="T13" s="81"/>
      <c r="U13" s="81"/>
      <c r="V13" s="81"/>
      <c r="W13" s="47" t="s">
        <v>90</v>
      </c>
      <c r="X13" s="48"/>
    </row>
    <row r="14" spans="1:24" ht="25.5" customHeight="1">
      <c r="A14" s="41"/>
      <c r="B14" s="9"/>
      <c r="C14" s="47"/>
      <c r="D14" s="47"/>
      <c r="E14" s="47"/>
      <c r="F14" s="47" t="s">
        <v>95</v>
      </c>
      <c r="G14" s="47"/>
      <c r="H14" s="47" t="s">
        <v>96</v>
      </c>
      <c r="I14" s="47"/>
      <c r="J14" s="47"/>
      <c r="K14" s="47"/>
      <c r="L14" s="47"/>
      <c r="M14" s="47"/>
      <c r="N14" s="47"/>
      <c r="O14" s="47"/>
      <c r="P14" s="81" t="s">
        <v>97</v>
      </c>
      <c r="Q14" s="81"/>
      <c r="R14" s="81"/>
      <c r="S14" s="81"/>
      <c r="T14" s="81"/>
      <c r="U14" s="81"/>
      <c r="V14" s="81"/>
      <c r="W14" s="47" t="s">
        <v>90</v>
      </c>
      <c r="X14" s="48"/>
    </row>
    <row r="15" spans="1:24" ht="25.5" customHeight="1">
      <c r="A15" s="41"/>
      <c r="B15" s="9"/>
      <c r="C15" s="47"/>
      <c r="D15" s="47"/>
      <c r="E15" s="47" t="s">
        <v>98</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92</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93</v>
      </c>
      <c r="G17" s="47"/>
      <c r="H17" s="47" t="s">
        <v>99</v>
      </c>
      <c r="I17" s="47"/>
      <c r="J17" s="47"/>
      <c r="K17" s="47"/>
      <c r="L17" s="47"/>
      <c r="M17" s="47"/>
      <c r="N17" s="47"/>
      <c r="O17" s="47"/>
      <c r="P17" s="81" t="s">
        <v>133</v>
      </c>
      <c r="Q17" s="81"/>
      <c r="R17" s="81"/>
      <c r="S17" s="81"/>
      <c r="T17" s="81"/>
      <c r="U17" s="81"/>
      <c r="V17" s="81"/>
      <c r="W17" s="47" t="s">
        <v>90</v>
      </c>
      <c r="X17" s="48"/>
    </row>
    <row r="18" spans="1:24" ht="25.5" customHeight="1">
      <c r="A18" s="41"/>
      <c r="B18" s="49"/>
      <c r="C18" s="47"/>
      <c r="D18" s="47"/>
      <c r="E18" s="47"/>
      <c r="F18" s="47" t="s">
        <v>95</v>
      </c>
      <c r="G18" s="47"/>
      <c r="H18" s="47" t="s">
        <v>100</v>
      </c>
      <c r="I18" s="47"/>
      <c r="J18" s="47"/>
      <c r="K18" s="47"/>
      <c r="L18" s="47"/>
      <c r="M18" s="47"/>
      <c r="N18" s="47"/>
      <c r="O18" s="47"/>
      <c r="P18" s="47"/>
      <c r="Q18" s="47"/>
      <c r="R18" s="47"/>
      <c r="S18" s="47"/>
      <c r="T18" s="47"/>
      <c r="U18" s="47"/>
      <c r="W18" s="47" t="s">
        <v>90</v>
      </c>
      <c r="X18" s="48"/>
    </row>
    <row r="19" spans="1:24" ht="25.5" customHeight="1">
      <c r="A19" s="41"/>
      <c r="B19" s="49"/>
      <c r="C19" s="47"/>
      <c r="D19" s="47"/>
      <c r="E19" s="47"/>
      <c r="F19" s="47" t="s">
        <v>101</v>
      </c>
      <c r="G19" s="47"/>
      <c r="H19" s="47" t="s">
        <v>96</v>
      </c>
      <c r="I19" s="47"/>
      <c r="J19" s="47"/>
      <c r="K19" s="47"/>
      <c r="L19" s="47"/>
      <c r="M19" s="47"/>
      <c r="N19" s="47"/>
      <c r="O19" s="47"/>
      <c r="P19" s="47"/>
      <c r="Q19" s="47"/>
      <c r="R19" s="47"/>
      <c r="S19" s="47"/>
      <c r="T19" s="47"/>
      <c r="U19" s="47"/>
      <c r="W19" s="47" t="s">
        <v>90</v>
      </c>
      <c r="X19" s="48"/>
    </row>
    <row r="20" spans="1:24" ht="25.5" customHeight="1">
      <c r="A20" s="41"/>
      <c r="B20" s="49"/>
      <c r="C20" s="47" t="s">
        <v>68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102</v>
      </c>
      <c r="F21" s="47"/>
      <c r="G21" s="47"/>
      <c r="H21" s="47"/>
      <c r="I21" s="47"/>
      <c r="J21" s="47"/>
      <c r="K21" s="47"/>
      <c r="L21" s="47"/>
      <c r="M21" s="47"/>
      <c r="N21" s="47"/>
      <c r="O21" s="47"/>
      <c r="P21" s="81" t="s">
        <v>133</v>
      </c>
      <c r="Q21" s="81"/>
      <c r="R21" s="81"/>
      <c r="S21" s="81"/>
      <c r="T21" s="81"/>
      <c r="U21" s="81"/>
      <c r="V21" s="81"/>
      <c r="W21" s="47" t="s">
        <v>90</v>
      </c>
      <c r="X21" s="48"/>
    </row>
    <row r="22" spans="1:24" ht="25.5" customHeight="1">
      <c r="A22" s="41"/>
      <c r="B22" s="49"/>
      <c r="C22" s="47" t="s">
        <v>103</v>
      </c>
      <c r="D22" s="47"/>
      <c r="E22" s="47"/>
      <c r="F22" s="47"/>
      <c r="G22" s="47"/>
      <c r="H22" s="47"/>
      <c r="I22" s="47"/>
      <c r="J22" s="47"/>
      <c r="K22" s="47"/>
      <c r="L22" s="47"/>
      <c r="M22" s="47"/>
      <c r="N22" s="47"/>
      <c r="O22" s="47"/>
      <c r="P22" s="81" t="s">
        <v>159</v>
      </c>
      <c r="Q22" s="81"/>
      <c r="R22" s="81"/>
      <c r="S22" s="81"/>
      <c r="T22" s="81"/>
      <c r="U22" s="81"/>
      <c r="V22" s="81"/>
      <c r="W22" s="47" t="s">
        <v>90</v>
      </c>
      <c r="X22" s="48"/>
    </row>
    <row r="23" spans="1:24" ht="25.5" customHeight="1">
      <c r="A23" s="41"/>
      <c r="B23" s="49"/>
      <c r="C23" s="47"/>
      <c r="D23" s="47"/>
      <c r="E23" s="47" t="s">
        <v>104</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84</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82" t="s">
        <v>85</v>
      </c>
      <c r="F33" s="82"/>
      <c r="G33" s="82"/>
      <c r="H33" s="82"/>
      <c r="I33" s="82"/>
      <c r="J33" s="82"/>
      <c r="K33" s="82"/>
      <c r="L33" s="82"/>
      <c r="M33" s="82"/>
      <c r="N33" s="82"/>
      <c r="O33" s="82"/>
      <c r="P33" s="82"/>
      <c r="Q33" s="82"/>
      <c r="R33" s="82"/>
      <c r="S33" s="82"/>
      <c r="T33" s="82"/>
      <c r="U33" s="82"/>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86</v>
      </c>
      <c r="E36" s="41"/>
      <c r="F36" s="41"/>
      <c r="G36" s="41"/>
      <c r="H36" s="41"/>
      <c r="I36" s="41" t="s">
        <v>87</v>
      </c>
      <c r="J36" s="41"/>
      <c r="K36" s="41"/>
      <c r="L36" s="41"/>
      <c r="M36" s="41"/>
      <c r="N36" s="41"/>
      <c r="O36" s="41"/>
      <c r="P36" s="41"/>
      <c r="Q36" s="41"/>
      <c r="R36" s="41"/>
      <c r="S36" s="41"/>
      <c r="T36" s="41"/>
      <c r="U36" s="41"/>
      <c r="V36" s="41"/>
      <c r="W36" s="41" t="s">
        <v>105</v>
      </c>
      <c r="X36" s="41"/>
    </row>
    <row r="37" spans="1:24" ht="25.5" customHeight="1">
      <c r="A37" s="41"/>
      <c r="B37" s="41"/>
      <c r="C37" s="41"/>
      <c r="D37" s="41" t="s">
        <v>89</v>
      </c>
      <c r="E37" s="41"/>
      <c r="F37" s="41"/>
      <c r="G37" s="41"/>
      <c r="H37" s="41"/>
      <c r="I37" s="41" t="s">
        <v>106</v>
      </c>
      <c r="J37" s="41"/>
      <c r="K37" s="41"/>
      <c r="L37" s="41"/>
      <c r="M37" s="41"/>
      <c r="N37" s="41"/>
      <c r="O37" s="41"/>
      <c r="P37" s="41"/>
      <c r="Q37" s="41"/>
      <c r="R37" s="41"/>
      <c r="S37" s="41"/>
      <c r="T37" s="41"/>
      <c r="U37" s="41"/>
      <c r="V37" s="41"/>
      <c r="W37" s="41" t="s">
        <v>105</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50</v>
      </c>
      <c r="D40" s="47"/>
      <c r="E40" s="47"/>
      <c r="F40" s="47"/>
      <c r="G40" s="47"/>
      <c r="H40" s="47"/>
      <c r="I40" s="47"/>
      <c r="J40" s="47"/>
      <c r="K40" s="47"/>
      <c r="L40" s="47"/>
      <c r="M40" s="47"/>
      <c r="N40" s="47"/>
      <c r="O40" s="47"/>
      <c r="P40" s="47"/>
      <c r="Q40" s="47"/>
      <c r="R40" s="47"/>
      <c r="S40" s="47"/>
      <c r="T40" s="47"/>
      <c r="U40" s="47"/>
      <c r="W40" s="47" t="s">
        <v>90</v>
      </c>
      <c r="X40" s="48"/>
    </row>
    <row r="41" spans="1:24" ht="25.5" customHeight="1">
      <c r="A41" s="41"/>
      <c r="B41" s="9"/>
      <c r="C41" s="47"/>
      <c r="D41" s="47"/>
      <c r="E41" s="47" t="s">
        <v>91</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92</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93</v>
      </c>
      <c r="G43" s="47"/>
      <c r="H43" s="47" t="s">
        <v>94</v>
      </c>
      <c r="I43" s="47"/>
      <c r="J43" s="47"/>
      <c r="K43" s="47"/>
      <c r="L43" s="47"/>
      <c r="M43" s="47"/>
      <c r="N43" s="47"/>
      <c r="O43" s="47"/>
      <c r="P43" s="81"/>
      <c r="Q43" s="81"/>
      <c r="R43" s="81"/>
      <c r="S43" s="81"/>
      <c r="T43" s="81"/>
      <c r="U43" s="81"/>
      <c r="V43" s="81"/>
      <c r="W43" s="47" t="s">
        <v>90</v>
      </c>
      <c r="X43" s="48"/>
    </row>
    <row r="44" spans="1:24" ht="25.5" customHeight="1">
      <c r="A44" s="41"/>
      <c r="B44" s="9"/>
      <c r="C44" s="47"/>
      <c r="D44" s="47"/>
      <c r="E44" s="47"/>
      <c r="F44" s="47" t="s">
        <v>95</v>
      </c>
      <c r="G44" s="47"/>
      <c r="H44" s="47" t="s">
        <v>96</v>
      </c>
      <c r="I44" s="47"/>
      <c r="J44" s="47"/>
      <c r="K44" s="47"/>
      <c r="L44" s="47"/>
      <c r="M44" s="47"/>
      <c r="N44" s="47"/>
      <c r="O44" s="47"/>
      <c r="P44" s="81"/>
      <c r="Q44" s="81"/>
      <c r="R44" s="81"/>
      <c r="S44" s="81"/>
      <c r="T44" s="81"/>
      <c r="U44" s="81"/>
      <c r="V44" s="81"/>
      <c r="W44" s="47" t="s">
        <v>90</v>
      </c>
      <c r="X44" s="48"/>
    </row>
    <row r="45" spans="1:24" ht="25.5" customHeight="1">
      <c r="A45" s="41"/>
      <c r="B45" s="9"/>
      <c r="C45" s="47"/>
      <c r="D45" s="47"/>
      <c r="E45" s="47" t="s">
        <v>98</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92</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93</v>
      </c>
      <c r="G47" s="47"/>
      <c r="H47" s="47" t="s">
        <v>99</v>
      </c>
      <c r="I47" s="47"/>
      <c r="J47" s="47"/>
      <c r="K47" s="47"/>
      <c r="L47" s="47"/>
      <c r="M47" s="47"/>
      <c r="N47" s="47"/>
      <c r="O47" s="47"/>
      <c r="P47" s="81"/>
      <c r="Q47" s="81"/>
      <c r="R47" s="81"/>
      <c r="S47" s="81"/>
      <c r="T47" s="81"/>
      <c r="U47" s="81"/>
      <c r="V47" s="81"/>
      <c r="W47" s="47" t="s">
        <v>90</v>
      </c>
      <c r="X47" s="48"/>
    </row>
    <row r="48" spans="1:24" ht="25.5" customHeight="1">
      <c r="A48" s="41"/>
      <c r="B48" s="49"/>
      <c r="C48" s="47"/>
      <c r="D48" s="47"/>
      <c r="E48" s="47"/>
      <c r="F48" s="47" t="s">
        <v>95</v>
      </c>
      <c r="G48" s="47"/>
      <c r="H48" s="47" t="s">
        <v>100</v>
      </c>
      <c r="I48" s="47"/>
      <c r="J48" s="47"/>
      <c r="K48" s="47"/>
      <c r="L48" s="47"/>
      <c r="M48" s="47"/>
      <c r="N48" s="47"/>
      <c r="O48" s="47"/>
      <c r="P48" s="47"/>
      <c r="Q48" s="47"/>
      <c r="R48" s="47"/>
      <c r="S48" s="47"/>
      <c r="T48" s="47"/>
      <c r="U48" s="47"/>
      <c r="W48" s="47" t="s">
        <v>90</v>
      </c>
      <c r="X48" s="48"/>
    </row>
    <row r="49" spans="1:24" ht="25.5" customHeight="1">
      <c r="A49" s="41"/>
      <c r="B49" s="49"/>
      <c r="C49" s="47"/>
      <c r="D49" s="47"/>
      <c r="E49" s="47"/>
      <c r="F49" s="47" t="s">
        <v>101</v>
      </c>
      <c r="G49" s="47"/>
      <c r="H49" s="47" t="s">
        <v>96</v>
      </c>
      <c r="I49" s="47"/>
      <c r="J49" s="47"/>
      <c r="K49" s="47"/>
      <c r="L49" s="47"/>
      <c r="M49" s="47"/>
      <c r="N49" s="47"/>
      <c r="O49" s="47"/>
      <c r="P49" s="47"/>
      <c r="Q49" s="47"/>
      <c r="R49" s="47"/>
      <c r="S49" s="47"/>
      <c r="T49" s="47"/>
      <c r="U49" s="47"/>
      <c r="W49" s="47" t="s">
        <v>90</v>
      </c>
      <c r="X49" s="48"/>
    </row>
    <row r="50" spans="1:24" ht="25.5" customHeight="1">
      <c r="A50" s="41"/>
      <c r="B50" s="49"/>
      <c r="C50" s="47" t="s">
        <v>68</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102</v>
      </c>
      <c r="F51" s="47"/>
      <c r="G51" s="47"/>
      <c r="H51" s="47"/>
      <c r="I51" s="47"/>
      <c r="J51" s="47"/>
      <c r="K51" s="47"/>
      <c r="L51" s="47"/>
      <c r="M51" s="47"/>
      <c r="N51" s="47"/>
      <c r="O51" s="47"/>
      <c r="P51" s="81"/>
      <c r="Q51" s="81"/>
      <c r="R51" s="81"/>
      <c r="S51" s="81"/>
      <c r="T51" s="81"/>
      <c r="U51" s="81"/>
      <c r="V51" s="81"/>
      <c r="W51" s="47" t="s">
        <v>90</v>
      </c>
      <c r="X51" s="48"/>
    </row>
    <row r="52" spans="1:24" ht="25.5" customHeight="1">
      <c r="A52" s="41"/>
      <c r="B52" s="49"/>
      <c r="C52" s="47" t="s">
        <v>103</v>
      </c>
      <c r="D52" s="47"/>
      <c r="E52" s="47"/>
      <c r="F52" s="47"/>
      <c r="G52" s="47"/>
      <c r="H52" s="47"/>
      <c r="I52" s="47"/>
      <c r="J52" s="47"/>
      <c r="K52" s="47"/>
      <c r="L52" s="47"/>
      <c r="M52" s="47"/>
      <c r="N52" s="47"/>
      <c r="O52" s="47"/>
      <c r="P52" s="47"/>
      <c r="Q52" s="47"/>
      <c r="R52" s="47"/>
      <c r="S52" s="47"/>
      <c r="T52" s="47"/>
      <c r="U52" s="47"/>
      <c r="W52" s="47" t="s">
        <v>90</v>
      </c>
      <c r="X52" s="48"/>
    </row>
    <row r="53" spans="1:24" ht="25.5" customHeight="1">
      <c r="A53" s="41"/>
      <c r="B53" s="49"/>
      <c r="C53" s="47"/>
      <c r="D53" s="47"/>
      <c r="E53" s="47" t="s">
        <v>104</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1">
    <mergeCell ref="E3:U3"/>
    <mergeCell ref="P13:V13"/>
    <mergeCell ref="P14:V14"/>
    <mergeCell ref="P17:V17"/>
    <mergeCell ref="P43:V43"/>
    <mergeCell ref="P44:V44"/>
    <mergeCell ref="P47:V47"/>
    <mergeCell ref="P51:V51"/>
    <mergeCell ref="P21:V21"/>
    <mergeCell ref="E33:U33"/>
    <mergeCell ref="P22:V22"/>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topLeftCell="A31" zoomScaleNormal="100" workbookViewId="0">
      <selection activeCell="C45" sqref="C45"/>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2" t="s">
        <v>107</v>
      </c>
      <c r="F3" s="82"/>
      <c r="G3" s="82"/>
      <c r="H3" s="82"/>
      <c r="I3" s="82"/>
      <c r="J3" s="82"/>
      <c r="K3" s="82"/>
      <c r="L3" s="82"/>
      <c r="M3" s="82"/>
      <c r="N3" s="82"/>
      <c r="O3" s="82"/>
      <c r="P3" s="82"/>
      <c r="Q3" s="82"/>
      <c r="R3" s="82"/>
      <c r="S3" s="82"/>
      <c r="T3" s="82"/>
      <c r="U3" s="82"/>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86</v>
      </c>
      <c r="E6" s="41"/>
      <c r="F6" s="41"/>
      <c r="G6" s="41"/>
      <c r="H6" s="41"/>
      <c r="I6" s="41" t="s">
        <v>108</v>
      </c>
      <c r="J6" s="41"/>
      <c r="K6" s="41"/>
      <c r="L6" s="41"/>
      <c r="M6" s="41"/>
      <c r="N6" s="41"/>
      <c r="O6" s="41"/>
      <c r="P6" s="41"/>
      <c r="Q6" s="41"/>
      <c r="R6" s="41"/>
      <c r="S6" s="41"/>
      <c r="T6" s="41"/>
      <c r="U6" s="41"/>
      <c r="V6" s="41"/>
      <c r="W6" s="41" t="s">
        <v>109</v>
      </c>
      <c r="X6" s="41"/>
      <c r="Y6" s="41"/>
      <c r="Z6" s="41"/>
    </row>
    <row r="7" spans="1:28" ht="17.100000000000001" customHeight="1">
      <c r="A7" s="41"/>
      <c r="B7" s="41"/>
      <c r="C7" s="41"/>
      <c r="D7" s="41" t="s">
        <v>89</v>
      </c>
      <c r="E7" s="41"/>
      <c r="F7" s="41"/>
      <c r="G7" s="41"/>
      <c r="H7" s="41"/>
      <c r="I7" s="41" t="s">
        <v>160</v>
      </c>
      <c r="J7" s="41"/>
      <c r="K7" s="41"/>
      <c r="L7" s="41"/>
      <c r="M7" s="41"/>
      <c r="N7" s="41"/>
      <c r="O7" s="41"/>
      <c r="P7" s="41"/>
      <c r="Q7" s="41"/>
      <c r="R7" s="41"/>
      <c r="S7" s="41"/>
      <c r="T7" s="41"/>
      <c r="U7" s="41"/>
      <c r="V7" s="41"/>
      <c r="W7" s="41" t="s">
        <v>109</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98" t="s">
        <v>110</v>
      </c>
      <c r="E9" s="98"/>
      <c r="F9" s="98"/>
      <c r="G9" s="98"/>
      <c r="H9" s="98"/>
      <c r="I9" s="45"/>
      <c r="J9" s="46"/>
      <c r="K9" s="45"/>
      <c r="L9" s="45"/>
      <c r="M9" s="45"/>
      <c r="N9" s="45"/>
      <c r="O9" s="98" t="s">
        <v>111</v>
      </c>
      <c r="P9" s="98"/>
      <c r="Q9" s="98"/>
      <c r="R9" s="98"/>
      <c r="S9" s="98"/>
      <c r="T9" s="98"/>
      <c r="U9" s="45"/>
      <c r="V9" s="45"/>
      <c r="W9" s="45"/>
      <c r="X9" s="45"/>
      <c r="Y9" s="46"/>
      <c r="Z9" s="41"/>
    </row>
    <row r="10" spans="1:28" ht="12.75" customHeight="1">
      <c r="A10" s="41"/>
      <c r="B10" s="51"/>
      <c r="C10" s="52"/>
      <c r="D10" s="99"/>
      <c r="E10" s="99"/>
      <c r="F10" s="99"/>
      <c r="G10" s="99"/>
      <c r="H10" s="99"/>
      <c r="I10" s="52"/>
      <c r="J10" s="53"/>
      <c r="K10" s="52"/>
      <c r="L10" s="52"/>
      <c r="M10" s="52"/>
      <c r="N10" s="52"/>
      <c r="O10" s="99"/>
      <c r="P10" s="99"/>
      <c r="Q10" s="99"/>
      <c r="R10" s="99"/>
      <c r="S10" s="99"/>
      <c r="T10" s="99"/>
      <c r="U10" s="52"/>
      <c r="V10" s="52"/>
      <c r="W10" s="52"/>
      <c r="X10" s="52"/>
      <c r="Y10" s="53"/>
      <c r="Z10" s="41"/>
    </row>
    <row r="11" spans="1:28" ht="17.100000000000001" customHeight="1">
      <c r="A11" s="41"/>
      <c r="B11" s="54"/>
      <c r="C11" s="83" t="s">
        <v>112</v>
      </c>
      <c r="D11" s="90"/>
      <c r="E11" s="90"/>
      <c r="F11" s="90"/>
      <c r="G11" s="90"/>
      <c r="H11" s="90"/>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100"/>
      <c r="D12" s="100"/>
      <c r="E12" s="100"/>
      <c r="F12" s="100"/>
      <c r="G12" s="100"/>
      <c r="H12" s="100"/>
      <c r="I12" s="47"/>
      <c r="J12" s="48"/>
      <c r="K12" s="49"/>
      <c r="L12" s="103" t="s">
        <v>134</v>
      </c>
      <c r="M12" s="103"/>
      <c r="N12" s="103"/>
      <c r="O12" s="103"/>
      <c r="P12" s="103"/>
      <c r="Q12" s="103"/>
      <c r="R12" s="103"/>
      <c r="S12" s="103"/>
      <c r="T12" s="103"/>
      <c r="U12" s="103"/>
      <c r="V12" s="103"/>
      <c r="W12" s="103"/>
      <c r="X12" s="103"/>
      <c r="Y12" s="104"/>
      <c r="Z12" s="41"/>
    </row>
    <row r="13" spans="1:28" s="58" customFormat="1" ht="17.100000000000001" customHeight="1">
      <c r="A13" s="41"/>
      <c r="B13" s="49"/>
      <c r="C13" s="57"/>
      <c r="D13" s="57"/>
      <c r="E13" s="57"/>
      <c r="F13" s="57"/>
      <c r="G13" s="57"/>
      <c r="H13" s="57"/>
      <c r="I13" s="47"/>
      <c r="J13" s="48"/>
      <c r="K13" s="49"/>
      <c r="L13" s="103"/>
      <c r="M13" s="103"/>
      <c r="N13" s="103"/>
      <c r="O13" s="103"/>
      <c r="P13" s="103"/>
      <c r="Q13" s="103"/>
      <c r="R13" s="103"/>
      <c r="S13" s="103"/>
      <c r="T13" s="103"/>
      <c r="U13" s="103"/>
      <c r="V13" s="103"/>
      <c r="W13" s="103"/>
      <c r="X13" s="103"/>
      <c r="Y13" s="104"/>
      <c r="Z13" s="41"/>
    </row>
    <row r="14" spans="1:28" ht="17.100000000000001" customHeight="1">
      <c r="A14" s="41"/>
      <c r="B14" s="49"/>
      <c r="C14" s="47"/>
      <c r="D14" s="47"/>
      <c r="E14" s="47"/>
      <c r="F14" s="47"/>
      <c r="G14" s="47"/>
      <c r="H14" s="47"/>
      <c r="I14" s="47"/>
      <c r="J14" s="48"/>
      <c r="K14" s="49"/>
      <c r="L14" s="103"/>
      <c r="M14" s="103"/>
      <c r="N14" s="103"/>
      <c r="O14" s="103"/>
      <c r="P14" s="103"/>
      <c r="Q14" s="103"/>
      <c r="R14" s="103"/>
      <c r="S14" s="103"/>
      <c r="T14" s="103"/>
      <c r="U14" s="103"/>
      <c r="V14" s="103"/>
      <c r="W14" s="103"/>
      <c r="X14" s="103"/>
      <c r="Y14" s="104"/>
      <c r="Z14" s="41"/>
    </row>
    <row r="15" spans="1:28" ht="24.75" customHeight="1">
      <c r="A15" s="41"/>
      <c r="B15" s="49"/>
      <c r="C15" s="47"/>
      <c r="D15" s="47"/>
      <c r="E15" s="47"/>
      <c r="F15" s="47"/>
      <c r="G15" s="47"/>
      <c r="H15" s="47"/>
      <c r="I15" s="47"/>
      <c r="J15" s="48"/>
      <c r="K15" s="49"/>
      <c r="L15" s="101" t="s">
        <v>113</v>
      </c>
      <c r="M15" s="102"/>
      <c r="N15" s="102"/>
      <c r="O15" s="102"/>
      <c r="P15" s="102"/>
      <c r="Q15" s="102"/>
      <c r="R15" s="102"/>
      <c r="S15" s="102"/>
      <c r="T15" s="102"/>
      <c r="U15" s="102"/>
      <c r="V15" s="102"/>
      <c r="W15" s="102"/>
      <c r="X15" s="102"/>
      <c r="Y15" s="48"/>
      <c r="Z15" s="41"/>
    </row>
    <row r="16" spans="1:28" ht="24.75" customHeight="1">
      <c r="A16" s="41"/>
      <c r="B16" s="49"/>
      <c r="C16" s="47"/>
      <c r="D16" s="47"/>
      <c r="E16" s="47"/>
      <c r="F16" s="47"/>
      <c r="G16" s="47"/>
      <c r="H16" s="47"/>
      <c r="I16" s="47"/>
      <c r="J16" s="48"/>
      <c r="K16" s="49"/>
      <c r="L16" s="102"/>
      <c r="M16" s="102"/>
      <c r="N16" s="102"/>
      <c r="O16" s="102"/>
      <c r="P16" s="102"/>
      <c r="Q16" s="102"/>
      <c r="R16" s="102"/>
      <c r="S16" s="102"/>
      <c r="T16" s="102"/>
      <c r="U16" s="102"/>
      <c r="V16" s="102"/>
      <c r="W16" s="102"/>
      <c r="X16" s="102"/>
      <c r="Y16" s="48"/>
      <c r="Z16" s="41"/>
      <c r="AB16" s="55"/>
    </row>
    <row r="17" spans="1:26" ht="24.75" customHeight="1">
      <c r="A17" s="41"/>
      <c r="B17" s="49"/>
      <c r="C17" s="47"/>
      <c r="D17" s="47"/>
      <c r="E17" s="47"/>
      <c r="F17" s="47"/>
      <c r="G17" s="47"/>
      <c r="H17" s="47"/>
      <c r="I17" s="47"/>
      <c r="J17" s="48"/>
      <c r="K17" s="49"/>
      <c r="L17" s="102"/>
      <c r="M17" s="102"/>
      <c r="N17" s="102"/>
      <c r="O17" s="102"/>
      <c r="P17" s="102"/>
      <c r="Q17" s="102"/>
      <c r="R17" s="102"/>
      <c r="S17" s="102"/>
      <c r="T17" s="102"/>
      <c r="U17" s="102"/>
      <c r="V17" s="102"/>
      <c r="W17" s="102"/>
      <c r="X17" s="102"/>
      <c r="Y17" s="48"/>
      <c r="Z17" s="41"/>
    </row>
    <row r="18" spans="1:26" ht="24.75" customHeight="1">
      <c r="A18" s="41"/>
      <c r="B18" s="49"/>
      <c r="C18" s="47"/>
      <c r="D18" s="47"/>
      <c r="E18" s="47"/>
      <c r="F18" s="47"/>
      <c r="G18" s="47"/>
      <c r="H18" s="47"/>
      <c r="I18" s="47"/>
      <c r="J18" s="48"/>
      <c r="K18" s="49"/>
      <c r="L18" s="102"/>
      <c r="M18" s="102"/>
      <c r="N18" s="102"/>
      <c r="O18" s="102"/>
      <c r="P18" s="102"/>
      <c r="Q18" s="102"/>
      <c r="R18" s="102"/>
      <c r="S18" s="102"/>
      <c r="T18" s="102"/>
      <c r="U18" s="102"/>
      <c r="V18" s="102"/>
      <c r="W18" s="102"/>
      <c r="X18" s="102"/>
      <c r="Y18" s="48"/>
      <c r="Z18" s="41"/>
    </row>
    <row r="19" spans="1:26" ht="24.75" customHeight="1">
      <c r="A19" s="41"/>
      <c r="B19" s="49"/>
      <c r="C19" s="47"/>
      <c r="D19" s="47"/>
      <c r="E19" s="47"/>
      <c r="F19" s="47"/>
      <c r="G19" s="47"/>
      <c r="H19" s="47"/>
      <c r="I19" s="47"/>
      <c r="J19" s="48"/>
      <c r="K19" s="49"/>
      <c r="L19" s="102"/>
      <c r="M19" s="102"/>
      <c r="N19" s="102"/>
      <c r="O19" s="102"/>
      <c r="P19" s="102"/>
      <c r="Q19" s="102"/>
      <c r="R19" s="102"/>
      <c r="S19" s="102"/>
      <c r="T19" s="102"/>
      <c r="U19" s="102"/>
      <c r="V19" s="102"/>
      <c r="W19" s="102"/>
      <c r="X19" s="102"/>
      <c r="Y19" s="48"/>
      <c r="Z19" s="41"/>
    </row>
    <row r="20" spans="1:26" ht="24.75" customHeight="1">
      <c r="A20" s="41"/>
      <c r="B20" s="49"/>
      <c r="C20" s="47"/>
      <c r="D20" s="47"/>
      <c r="E20" s="47"/>
      <c r="F20" s="47"/>
      <c r="G20" s="47"/>
      <c r="H20" s="47"/>
      <c r="I20" s="47"/>
      <c r="J20" s="48"/>
      <c r="K20" s="49"/>
      <c r="L20" s="102"/>
      <c r="M20" s="102"/>
      <c r="N20" s="102"/>
      <c r="O20" s="102"/>
      <c r="P20" s="102"/>
      <c r="Q20" s="102"/>
      <c r="R20" s="102"/>
      <c r="S20" s="102"/>
      <c r="T20" s="102"/>
      <c r="U20" s="102"/>
      <c r="V20" s="102"/>
      <c r="W20" s="102"/>
      <c r="X20" s="102"/>
      <c r="Y20" s="48"/>
      <c r="Z20" s="41"/>
    </row>
    <row r="21" spans="1:26" ht="24.75" customHeight="1">
      <c r="A21" s="41"/>
      <c r="B21" s="49"/>
      <c r="C21" s="47"/>
      <c r="D21" s="47"/>
      <c r="E21" s="47"/>
      <c r="F21" s="47"/>
      <c r="G21" s="47"/>
      <c r="H21" s="47"/>
      <c r="I21" s="47"/>
      <c r="J21" s="48"/>
      <c r="K21" s="49"/>
      <c r="L21" s="102"/>
      <c r="M21" s="102"/>
      <c r="N21" s="102"/>
      <c r="O21" s="102"/>
      <c r="P21" s="102"/>
      <c r="Q21" s="102"/>
      <c r="R21" s="102"/>
      <c r="S21" s="102"/>
      <c r="T21" s="102"/>
      <c r="U21" s="102"/>
      <c r="V21" s="102"/>
      <c r="W21" s="102"/>
      <c r="X21" s="102"/>
      <c r="Y21" s="48"/>
      <c r="Z21" s="41"/>
    </row>
    <row r="22" spans="1:26" ht="75" customHeight="1">
      <c r="A22" s="41"/>
      <c r="B22" s="49"/>
      <c r="C22" s="47"/>
      <c r="D22" s="47"/>
      <c r="E22" s="47"/>
      <c r="F22" s="47"/>
      <c r="G22" s="47"/>
      <c r="H22" s="47"/>
      <c r="I22" s="47"/>
      <c r="J22" s="48"/>
      <c r="K22" s="49"/>
      <c r="L22" s="97" t="s">
        <v>161</v>
      </c>
      <c r="M22" s="97"/>
      <c r="N22" s="97"/>
      <c r="O22" s="97"/>
      <c r="P22" s="97"/>
      <c r="Q22" s="97"/>
      <c r="R22" s="97"/>
      <c r="S22" s="97"/>
      <c r="T22" s="97"/>
      <c r="U22" s="97"/>
      <c r="V22" s="97"/>
      <c r="W22" s="97"/>
      <c r="X22" s="97"/>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3" t="s">
        <v>114</v>
      </c>
      <c r="D25" s="83"/>
      <c r="E25" s="83"/>
      <c r="F25" s="83"/>
      <c r="G25" s="83"/>
      <c r="H25" s="83"/>
      <c r="I25" s="83"/>
      <c r="J25" s="46"/>
      <c r="K25" s="54"/>
      <c r="L25" s="83" t="s">
        <v>162</v>
      </c>
      <c r="M25" s="83"/>
      <c r="N25" s="83"/>
      <c r="O25" s="83"/>
      <c r="P25" s="83"/>
      <c r="Q25" s="83"/>
      <c r="R25" s="86"/>
      <c r="S25" s="86"/>
      <c r="T25" s="86"/>
      <c r="U25" s="86"/>
      <c r="V25" s="86"/>
      <c r="W25" s="86"/>
      <c r="X25" s="86"/>
      <c r="Y25" s="87"/>
      <c r="Z25" s="41"/>
    </row>
    <row r="26" spans="1:26" ht="17.100000000000001" customHeight="1">
      <c r="A26" s="41"/>
      <c r="B26" s="51"/>
      <c r="C26" s="84"/>
      <c r="D26" s="85"/>
      <c r="E26" s="85"/>
      <c r="F26" s="85"/>
      <c r="G26" s="85"/>
      <c r="H26" s="85"/>
      <c r="I26" s="85"/>
      <c r="J26" s="53"/>
      <c r="K26" s="51"/>
      <c r="L26" s="85"/>
      <c r="M26" s="85"/>
      <c r="N26" s="85"/>
      <c r="O26" s="85"/>
      <c r="P26" s="85"/>
      <c r="Q26" s="85"/>
      <c r="R26" s="88"/>
      <c r="S26" s="88"/>
      <c r="T26" s="88"/>
      <c r="U26" s="88"/>
      <c r="V26" s="88"/>
      <c r="W26" s="88"/>
      <c r="X26" s="88"/>
      <c r="Y26" s="89"/>
      <c r="Z26" s="41"/>
    </row>
    <row r="27" spans="1:26" ht="17.100000000000001" customHeight="1">
      <c r="A27" s="41"/>
      <c r="B27" s="54"/>
      <c r="C27" s="83" t="s">
        <v>115</v>
      </c>
      <c r="D27" s="90"/>
      <c r="E27" s="90"/>
      <c r="F27" s="90"/>
      <c r="G27" s="90"/>
      <c r="H27" s="90"/>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1"/>
      <c r="D28" s="91"/>
      <c r="E28" s="91"/>
      <c r="F28" s="91"/>
      <c r="G28" s="91"/>
      <c r="H28" s="91"/>
      <c r="I28" s="47"/>
      <c r="J28" s="48"/>
      <c r="K28" s="49"/>
      <c r="L28" s="47" t="s">
        <v>116</v>
      </c>
      <c r="M28" s="47" t="s">
        <v>117</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118</v>
      </c>
      <c r="M29" s="47" t="s">
        <v>119</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120</v>
      </c>
      <c r="M30" s="47" t="s">
        <v>121</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122</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t="s">
        <v>123</v>
      </c>
      <c r="M32" s="47" t="s">
        <v>124</v>
      </c>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92" t="s">
        <v>125</v>
      </c>
      <c r="D34" s="93"/>
      <c r="E34" s="93"/>
      <c r="F34" s="93"/>
      <c r="G34" s="93"/>
      <c r="H34" s="93"/>
      <c r="I34" s="93"/>
      <c r="J34" s="94"/>
      <c r="K34" s="54"/>
      <c r="L34" s="45"/>
      <c r="M34" s="45"/>
      <c r="N34" s="45"/>
      <c r="O34" s="45"/>
      <c r="P34" s="45"/>
      <c r="Q34" s="45"/>
      <c r="R34" s="45"/>
      <c r="S34" s="45"/>
      <c r="T34" s="45"/>
      <c r="U34" s="45"/>
      <c r="V34" s="45"/>
      <c r="W34" s="45"/>
      <c r="X34" s="45"/>
      <c r="Y34" s="46"/>
      <c r="Z34" s="41"/>
    </row>
    <row r="35" spans="1:26" ht="17.100000000000001" customHeight="1">
      <c r="A35" s="41"/>
      <c r="B35" s="49"/>
      <c r="C35" s="95"/>
      <c r="D35" s="95"/>
      <c r="E35" s="95"/>
      <c r="F35" s="95"/>
      <c r="G35" s="95"/>
      <c r="H35" s="95"/>
      <c r="I35" s="95"/>
      <c r="J35" s="96"/>
      <c r="K35" s="49"/>
      <c r="L35" s="47" t="s">
        <v>116</v>
      </c>
      <c r="M35" s="47" t="s">
        <v>126</v>
      </c>
      <c r="N35" s="47"/>
      <c r="O35" s="47"/>
      <c r="P35" s="47"/>
      <c r="Q35" s="47"/>
      <c r="R35" s="47"/>
      <c r="S35" s="47"/>
      <c r="T35" s="47"/>
      <c r="U35" s="47"/>
      <c r="V35" s="47"/>
      <c r="W35" s="47"/>
      <c r="X35" s="47"/>
      <c r="Y35" s="48"/>
      <c r="Z35" s="41"/>
    </row>
    <row r="36" spans="1:26" ht="17.100000000000001" customHeight="1">
      <c r="A36" s="41"/>
      <c r="B36" s="49"/>
      <c r="C36" s="95"/>
      <c r="D36" s="95"/>
      <c r="E36" s="95"/>
      <c r="F36" s="95"/>
      <c r="G36" s="95"/>
      <c r="H36" s="95"/>
      <c r="I36" s="95"/>
      <c r="J36" s="96"/>
      <c r="K36" s="49"/>
      <c r="L36" s="47"/>
      <c r="M36" s="47" t="s">
        <v>127</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128</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129</v>
      </c>
      <c r="M38" s="47" t="s">
        <v>130</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163</v>
      </c>
      <c r="N39" s="47"/>
      <c r="O39" s="47"/>
      <c r="P39" s="81" t="s">
        <v>131</v>
      </c>
      <c r="Q39" s="81"/>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1"/>
      <c r="Q40" s="81"/>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1"/>
      <c r="Q41" s="81"/>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L22:X22"/>
    <mergeCell ref="E3:U3"/>
    <mergeCell ref="D9:H10"/>
    <mergeCell ref="O9:T10"/>
    <mergeCell ref="C11:H12"/>
    <mergeCell ref="L15:X21"/>
    <mergeCell ref="L12:Y14"/>
    <mergeCell ref="P41:Q41"/>
    <mergeCell ref="C25:I26"/>
    <mergeCell ref="L25:Y26"/>
    <mergeCell ref="C27:H28"/>
    <mergeCell ref="C34:J36"/>
    <mergeCell ref="P39:Q39"/>
    <mergeCell ref="P40:Q40"/>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2014-03-29T22:58:51Z</cp:lastPrinted>
  <dcterms:created xsi:type="dcterms:W3CDTF">2014-03-29T00:07:08Z</dcterms:created>
  <dcterms:modified xsi:type="dcterms:W3CDTF">2014-08-29T22:42:14Z</dcterms:modified>
</cp:coreProperties>
</file>