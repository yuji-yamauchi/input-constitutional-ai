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4.尾道\08.カイトイマバリ\"/>
    </mc:Choice>
  </mc:AlternateContent>
  <bookViews>
    <workbookView xWindow="480" yWindow="15" windowWidth="18180" windowHeight="11640" activeTab="1"/>
  </bookViews>
  <sheets>
    <sheet name="表紙" sheetId="7" r:id="rId1"/>
    <sheet name="事業計画書" sheetId="6" r:id="rId2"/>
    <sheet name="財産目録" sheetId="5" r:id="rId3"/>
    <sheet name="平成28年度" sheetId="1" r:id="rId4"/>
    <sheet name="平成29年度" sheetId="2" r:id="rId5"/>
    <sheet name="ＰＬＨ26年度" sheetId="3" r:id="rId6"/>
    <sheet name="ＰＬＨ２７年度" sheetId="4" r:id="rId7"/>
  </sheets>
  <calcPr calcId="152511"/>
</workbook>
</file>

<file path=xl/calcChain.xml><?xml version="1.0" encoding="utf-8"?>
<calcChain xmlns="http://schemas.openxmlformats.org/spreadsheetml/2006/main">
  <c r="C33" i="4" l="1"/>
  <c r="B7" i="3"/>
  <c r="D19" i="1"/>
  <c r="D16" i="1"/>
  <c r="D9" i="1"/>
  <c r="D21" i="2" l="1"/>
  <c r="D19" i="2"/>
  <c r="E33" i="2"/>
  <c r="D16" i="2"/>
  <c r="E17" i="2" s="1"/>
  <c r="D9" i="2"/>
  <c r="E11" i="2"/>
  <c r="E6" i="2"/>
  <c r="E35" i="2" l="1"/>
  <c r="C34" i="4" s="1"/>
  <c r="E12" i="2"/>
  <c r="B18" i="3"/>
  <c r="B30" i="4" l="1"/>
  <c r="B27" i="4"/>
  <c r="B15" i="4"/>
  <c r="B12" i="4"/>
  <c r="C7" i="4"/>
  <c r="B7" i="4"/>
  <c r="B27" i="3"/>
  <c r="B15" i="3"/>
  <c r="B12" i="3"/>
  <c r="C19" i="3" s="1"/>
  <c r="C7" i="3"/>
  <c r="E33" i="1"/>
  <c r="E17" i="1"/>
  <c r="E11" i="1"/>
  <c r="E6" i="1"/>
  <c r="C19" i="4" l="1"/>
  <c r="E12" i="1"/>
  <c r="E35" i="1"/>
  <c r="C34" i="3" s="1"/>
  <c r="D35" i="3" s="1"/>
  <c r="D20" i="4"/>
  <c r="D31" i="4"/>
  <c r="D20" i="3"/>
  <c r="B30" i="3"/>
  <c r="D31" i="3" s="1"/>
  <c r="D36" i="3" l="1"/>
  <c r="D35" i="4" s="1"/>
  <c r="D36" i="4" s="1"/>
</calcChain>
</file>

<file path=xl/sharedStrings.xml><?xml version="1.0" encoding="utf-8"?>
<sst xmlns="http://schemas.openxmlformats.org/spreadsheetml/2006/main" count="246" uniqueCount="154">
  <si>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</si>
  <si>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</si>
  <si>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</si>
  <si>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</si>
  <si>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</si>
  <si>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</si>
  <si>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</si>
  <si>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</si>
  <si>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</si>
  <si>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</si>
  <si>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</si>
  <si>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</si>
  <si>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</si>
  <si>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</si>
  <si>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</si>
  <si>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</si>
  <si>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</si>
  <si>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</si>
  <si>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</si>
  <si>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</si>
  <si>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</si>
  <si>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</si>
  <si>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</si>
  <si>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</si>
  <si>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</si>
  <si>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</si>
  <si>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</si>
  <si>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</si>
  <si>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</si>
  <si>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</si>
  <si>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</si>
  <si>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</si>
  <si>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</si>
  <si>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</si>
  <si>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</si>
  <si>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</si>
  <si>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</si>
  <si>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</si>
  <si>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</si>
  <si>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</si>
  <si>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</si>
  <si>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</si>
  <si>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</si>
  <si>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</si>
  <si>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</si>
  <si>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</si>
  <si>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</si>
  <si>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</si>
  <si>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</si>
  <si>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</si>
  <si>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</si>
  <si>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</si>
  <si>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</si>
  <si>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</si>
  <si>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</si>
  <si>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</si>
  <si>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</si>
  <si>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</si>
  <si>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</si>
  <si>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</si>
  <si>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</si>
  <si>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</si>
  <si>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</si>
  <si>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</si>
  <si>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</si>
  <si>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</si>
  <si>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</si>
  <si>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</si>
  <si>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</si>
  <si>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</si>
  <si>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</si>
  <si>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</si>
  <si>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</si>
  <si>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</si>
  <si>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</si>
  <si>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</si>
  <si>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</si>
  <si>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</si>
  <si>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</si>
  <si>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</si>
  <si>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</si>
  <si>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</si>
  <si>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</si>
  <si>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</si>
  <si>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</si>
  <si>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</si>
  <si>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</si>
  <si>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</si>
  <si>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</si>
  <si>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</si>
  <si>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</si>
  <si>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</si>
  <si>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</si>
  <si>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</si>
  <si>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</si>
  <si>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</si>
  <si>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</si>
  <si>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</si>
  <si>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</si>
  <si>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</si>
  <si>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</si>
  <si>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</si>
  <si>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</si>
  <si>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</si>
  <si>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１００，０００</t>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</si>
  <si>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</si>
  <si>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</si>
  <si>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パチンコ解体作業工賃</t>
    <rPh sb="4" eb="6">
      <t>カイタイ</t>
    </rPh>
    <rPh sb="6" eb="8">
      <t>サギョウ</t>
    </rPh>
    <rPh sb="8" eb="10">
      <t>コウチン</t>
    </rPh>
    <phoneticPr fontId="2"/>
  </si>
  <si>
    <t>0</t>
    <phoneticPr fontId="2"/>
  </si>
  <si>
    <t>就労業務としては、パチンコ台解体作業を準備する。
パチンコ台の確保は一般社団法人遊技機リサイクル協会の指定事業者藤鳶工業㈱より、広島県においては独占的に提供していただける。現在の広島においてのパチンコ台回収実績は月2,000台程度。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ヒロシマ</t>
    </rPh>
    <rPh sb="66" eb="67">
      <t>ケン</t>
    </rPh>
    <rPh sb="72" eb="75">
      <t>ドクセンテキ</t>
    </rPh>
    <rPh sb="76" eb="78">
      <t>テイキョウ</t>
    </rPh>
    <rPh sb="86" eb="88">
      <t>ゲンザイ</t>
    </rPh>
    <rPh sb="89" eb="91">
      <t>ヒロシマ</t>
    </rPh>
    <rPh sb="100" eb="101">
      <t>ダイ</t>
    </rPh>
    <rPh sb="101" eb="103">
      <t>カイシュウ</t>
    </rPh>
    <rPh sb="103" eb="105">
      <t>ジッセキ</t>
    </rPh>
    <rPh sb="106" eb="107">
      <t>ツキ</t>
    </rPh>
    <rPh sb="112" eb="113">
      <t>ダイ</t>
    </rPh>
    <rPh sb="113" eb="115">
      <t>テイド</t>
    </rPh>
    <phoneticPr fontId="2"/>
  </si>
  <si>
    <t>＜西条市＞</t>
    <rPh sb="1" eb="3">
      <t>サイジョウ</t>
    </rPh>
    <rPh sb="3" eb="4">
      <t>シ</t>
    </rPh>
    <phoneticPr fontId="2"/>
  </si>
  <si>
    <t>＜今治市＞</t>
    <rPh sb="1" eb="3">
      <t>イマバリ</t>
    </rPh>
    <rPh sb="3" eb="4">
      <t>シ</t>
    </rPh>
    <phoneticPr fontId="2"/>
  </si>
  <si>
    <t>　上記財産目録に相違ないことを誓います。</t>
    <rPh sb="1" eb="3">
      <t>ジョウキ</t>
    </rPh>
    <rPh sb="3" eb="5">
      <t>ザイサン</t>
    </rPh>
    <rPh sb="5" eb="7">
      <t>モクロク</t>
    </rPh>
    <rPh sb="8" eb="10">
      <t>ソウイ</t>
    </rPh>
    <rPh sb="15" eb="16">
      <t>チカ</t>
    </rPh>
    <phoneticPr fontId="2"/>
  </si>
  <si>
    <t>　　一般社団法人チャレンジド尾道</t>
    <rPh sb="2" eb="4">
      <t>イッパン</t>
    </rPh>
    <rPh sb="4" eb="6">
      <t>シャダン</t>
    </rPh>
    <rPh sb="6" eb="8">
      <t>ホウジン</t>
    </rPh>
    <rPh sb="14" eb="16">
      <t>オノミチ</t>
    </rPh>
    <phoneticPr fontId="2"/>
  </si>
  <si>
    <t>　　　代表理事　藤原照國</t>
    <rPh sb="3" eb="5">
      <t>ダイヒョウ</t>
    </rPh>
    <rPh sb="5" eb="7">
      <t>リジ</t>
    </rPh>
    <rPh sb="8" eb="10">
      <t>フジワラ</t>
    </rPh>
    <rPh sb="10" eb="11">
      <t>テラシ</t>
    </rPh>
    <rPh sb="11" eb="12">
      <t>クニ</t>
    </rPh>
    <phoneticPr fontId="2"/>
  </si>
  <si>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2"/>
  </si>
  <si>
    <t>９０％</t>
    <phoneticPr fontId="2"/>
  </si>
  <si>
    <t>１０％</t>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</si>
  <si>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（１２）送迎サービス
（１３）施設外支援の実施
（１４）施設外就労の実施
（１５）前各号に掲げる便宜に附帯する便宜
（２）から（１４）に附帯するその他必要な介護、訓練、支援、相談、助言。
</t>
    <phoneticPr fontId="2"/>
  </si>
  <si>
    <t>（カイト今治</t>
    <rPh sb="4" eb="6">
      <t>イマバリ</t>
    </rPh>
    <phoneticPr fontId="2"/>
  </si>
  <si>
    <t>（ カイト今治</t>
    <rPh sb="5" eb="7">
      <t>イマバリ</t>
    </rPh>
    <phoneticPr fontId="2"/>
  </si>
  <si>
    <t>平成28年度収支予算書</t>
    <rPh sb="0" eb="2">
      <t>ヘイセイ</t>
    </rPh>
    <rPh sb="4" eb="6">
      <t>ネンド</t>
    </rPh>
    <rPh sb="6" eb="8">
      <t>シュウシ</t>
    </rPh>
    <rPh sb="8" eb="11">
      <t>ヨサンショ</t>
    </rPh>
    <phoneticPr fontId="2"/>
  </si>
  <si>
    <t>他消耗品</t>
    <rPh sb="0" eb="1">
      <t>ホカ</t>
    </rPh>
    <rPh sb="1" eb="3">
      <t>ショウモウ</t>
    </rPh>
    <rPh sb="3" eb="4">
      <t>ヒン</t>
    </rPh>
    <phoneticPr fontId="2"/>
  </si>
  <si>
    <t>利用者20名×日給1,000円×21日×12ヶ月</t>
    <rPh sb="0" eb="3">
      <t>リヨウシャ</t>
    </rPh>
    <rPh sb="5" eb="6">
      <t>メイ</t>
    </rPh>
    <rPh sb="7" eb="9">
      <t>ニッキュウ</t>
    </rPh>
    <rPh sb="14" eb="15">
      <t>エン</t>
    </rPh>
    <rPh sb="18" eb="19">
      <t>ニチ</t>
    </rPh>
    <phoneticPr fontId="2"/>
  </si>
  <si>
    <t>管理者・サービス管理責任者　20万円/月×12ヶ月</t>
    <rPh sb="0" eb="3">
      <t>カンリシャ</t>
    </rPh>
    <rPh sb="8" eb="10">
      <t>カンリ</t>
    </rPh>
    <rPh sb="10" eb="12">
      <t>セキニン</t>
    </rPh>
    <rPh sb="12" eb="13">
      <t>シャ</t>
    </rPh>
    <rPh sb="16" eb="18">
      <t>マンエン</t>
    </rPh>
    <rPh sb="19" eb="20">
      <t>ツキ</t>
    </rPh>
    <phoneticPr fontId="2"/>
  </si>
  <si>
    <t>電話・インターネット・携帯電話等）2万円/月×12ヶ月</t>
    <rPh sb="0" eb="2">
      <t>デンワ</t>
    </rPh>
    <rPh sb="11" eb="13">
      <t>ケイタイ</t>
    </rPh>
    <rPh sb="13" eb="15">
      <t>デンワ</t>
    </rPh>
    <rPh sb="15" eb="16">
      <t>トウ</t>
    </rPh>
    <rPh sb="18" eb="20">
      <t>マンエン</t>
    </rPh>
    <rPh sb="21" eb="22">
      <t>ツキ</t>
    </rPh>
    <phoneticPr fontId="2"/>
  </si>
  <si>
    <t>家賃30万円/月×12ヶ月</t>
    <rPh sb="0" eb="2">
      <t>ヤチン</t>
    </rPh>
    <rPh sb="4" eb="6">
      <t>マンエン</t>
    </rPh>
    <rPh sb="7" eb="8">
      <t>ツキ</t>
    </rPh>
    <phoneticPr fontId="2"/>
  </si>
  <si>
    <t>電気ガス水道10万円/月×12ヶ月</t>
    <rPh sb="0" eb="2">
      <t>デンキ</t>
    </rPh>
    <rPh sb="4" eb="6">
      <t>スイドウ</t>
    </rPh>
    <rPh sb="8" eb="10">
      <t>マンエン</t>
    </rPh>
    <rPh sb="11" eb="12">
      <t>ツキ</t>
    </rPh>
    <phoneticPr fontId="2"/>
  </si>
  <si>
    <t>事務用品等2万円/月×12ヶ月</t>
    <rPh sb="0" eb="2">
      <t>ジム</t>
    </rPh>
    <rPh sb="2" eb="4">
      <t>ヨウヒン</t>
    </rPh>
    <rPh sb="4" eb="5">
      <t>トウ</t>
    </rPh>
    <rPh sb="6" eb="8">
      <t>マンエン</t>
    </rPh>
    <phoneticPr fontId="2"/>
  </si>
  <si>
    <t>燃料等10万円/月×12ヶ月</t>
    <rPh sb="0" eb="2">
      <t>ネンリョウ</t>
    </rPh>
    <rPh sb="2" eb="3">
      <t>トウ</t>
    </rPh>
    <phoneticPr fontId="2"/>
  </si>
  <si>
    <t>建物修理等1万円/月×12ヶ月</t>
    <rPh sb="0" eb="2">
      <t>タテモノ</t>
    </rPh>
    <rPh sb="2" eb="4">
      <t>シュウリ</t>
    </rPh>
    <rPh sb="4" eb="5">
      <t>トウ</t>
    </rPh>
    <rPh sb="6" eb="8">
      <t>マンエン</t>
    </rPh>
    <phoneticPr fontId="2"/>
  </si>
  <si>
    <t>2万円/月×12ヶ月</t>
  </si>
  <si>
    <t>1万円/月×12ヶ月</t>
  </si>
  <si>
    <t>平成29年4月1日から平成30年3月31日</t>
    <rPh sb="0" eb="2">
      <t>ヘイセイ</t>
    </rPh>
    <rPh sb="4" eb="5">
      <t>ネン</t>
    </rPh>
    <rPh sb="6" eb="7">
      <t>ガツ</t>
    </rPh>
    <rPh sb="8" eb="9">
      <t>ニチ</t>
    </rPh>
    <rPh sb="11" eb="13">
      <t>ヘイセイ</t>
    </rPh>
    <rPh sb="15" eb="16">
      <t>ネン</t>
    </rPh>
    <rPh sb="17" eb="18">
      <t>ガツ</t>
    </rPh>
    <rPh sb="20" eb="21">
      <t>ニチ</t>
    </rPh>
    <phoneticPr fontId="2"/>
  </si>
  <si>
    <t>20人×5,850円×21日×12ヶ月</t>
    <rPh sb="2" eb="3">
      <t>ニン</t>
    </rPh>
    <rPh sb="9" eb="10">
      <t>エン</t>
    </rPh>
    <rPh sb="13" eb="14">
      <t>ニチ</t>
    </rPh>
    <phoneticPr fontId="2"/>
  </si>
  <si>
    <t>支援員100万円/月×12ヶ月</t>
    <rPh sb="0" eb="2">
      <t>シエン</t>
    </rPh>
    <rPh sb="2" eb="3">
      <t>イン</t>
    </rPh>
    <rPh sb="6" eb="8">
      <t>マンエン</t>
    </rPh>
    <rPh sb="9" eb="10">
      <t>ツキ</t>
    </rPh>
    <phoneticPr fontId="2"/>
  </si>
  <si>
    <t>社会保険・健康診断等24万円/月×12ヶ月</t>
    <rPh sb="0" eb="2">
      <t>シャカイ</t>
    </rPh>
    <rPh sb="2" eb="4">
      <t>ホケン</t>
    </rPh>
    <rPh sb="5" eb="7">
      <t>ケンコウ</t>
    </rPh>
    <rPh sb="7" eb="9">
      <t>シンダン</t>
    </rPh>
    <rPh sb="9" eb="10">
      <t>トウ</t>
    </rPh>
    <rPh sb="12" eb="14">
      <t>マンエン</t>
    </rPh>
    <rPh sb="15" eb="16">
      <t>ツキ</t>
    </rPh>
    <phoneticPr fontId="2"/>
  </si>
  <si>
    <t>平成28年12月1日から平成29年3月31日</t>
    <rPh sb="0" eb="2">
      <t>ヘイセイ</t>
    </rPh>
    <rPh sb="4" eb="5">
      <t>ネン</t>
    </rPh>
    <rPh sb="7" eb="8">
      <t>ガツ</t>
    </rPh>
    <rPh sb="9" eb="10">
      <t>ニチ</t>
    </rPh>
    <rPh sb="12" eb="14">
      <t>ヘイセイ</t>
    </rPh>
    <rPh sb="16" eb="17">
      <t>ネン</t>
    </rPh>
    <rPh sb="18" eb="19">
      <t>ガツ</t>
    </rPh>
    <rPh sb="21" eb="22">
      <t>ニチ</t>
    </rPh>
    <phoneticPr fontId="2"/>
  </si>
  <si>
    <t>利用者１5名×日給1,000円×21日×4ヶ月</t>
    <rPh sb="0" eb="3">
      <t>リヨウシャ</t>
    </rPh>
    <rPh sb="5" eb="6">
      <t>メイ</t>
    </rPh>
    <rPh sb="7" eb="9">
      <t>ニッキュウ</t>
    </rPh>
    <rPh sb="14" eb="15">
      <t>エン</t>
    </rPh>
    <rPh sb="18" eb="19">
      <t>ニチ</t>
    </rPh>
    <phoneticPr fontId="2"/>
  </si>
  <si>
    <t>15人×5,850円×21日×4ヶ月</t>
    <rPh sb="2" eb="3">
      <t>ニン</t>
    </rPh>
    <rPh sb="9" eb="10">
      <t>エン</t>
    </rPh>
    <rPh sb="13" eb="14">
      <t>ニチ</t>
    </rPh>
    <phoneticPr fontId="2"/>
  </si>
  <si>
    <t>管理者・サービス管理責任者　20万円/月×4ヶ月</t>
    <rPh sb="0" eb="3">
      <t>カンリシャ</t>
    </rPh>
    <rPh sb="8" eb="10">
      <t>カンリ</t>
    </rPh>
    <rPh sb="10" eb="12">
      <t>セキニン</t>
    </rPh>
    <rPh sb="12" eb="13">
      <t>シャ</t>
    </rPh>
    <rPh sb="16" eb="18">
      <t>マンエン</t>
    </rPh>
    <rPh sb="19" eb="20">
      <t>ツキ</t>
    </rPh>
    <phoneticPr fontId="2"/>
  </si>
  <si>
    <t>支援員70万円/月×4ヶ月</t>
    <rPh sb="0" eb="2">
      <t>シエン</t>
    </rPh>
    <rPh sb="2" eb="3">
      <t>イン</t>
    </rPh>
    <rPh sb="5" eb="7">
      <t>マンエン</t>
    </rPh>
    <rPh sb="8" eb="9">
      <t>ツキ</t>
    </rPh>
    <phoneticPr fontId="2"/>
  </si>
  <si>
    <t>社会保険・健康診断等10万円/月×4ヶ月</t>
    <rPh sb="0" eb="2">
      <t>シャカイ</t>
    </rPh>
    <rPh sb="2" eb="4">
      <t>ホケン</t>
    </rPh>
    <rPh sb="5" eb="7">
      <t>ケンコウ</t>
    </rPh>
    <rPh sb="7" eb="9">
      <t>シンダン</t>
    </rPh>
    <rPh sb="9" eb="10">
      <t>トウ</t>
    </rPh>
    <rPh sb="12" eb="14">
      <t>マンエン</t>
    </rPh>
    <rPh sb="15" eb="16">
      <t>ツキ</t>
    </rPh>
    <phoneticPr fontId="2"/>
  </si>
  <si>
    <t>電話・インターネット・携帯電話等）2万円/月×4ヶ月</t>
    <rPh sb="0" eb="2">
      <t>デンワ</t>
    </rPh>
    <rPh sb="11" eb="13">
      <t>ケイタイ</t>
    </rPh>
    <rPh sb="13" eb="15">
      <t>デンワ</t>
    </rPh>
    <rPh sb="15" eb="16">
      <t>トウ</t>
    </rPh>
    <rPh sb="18" eb="20">
      <t>マンエン</t>
    </rPh>
    <rPh sb="21" eb="22">
      <t>ツキ</t>
    </rPh>
    <phoneticPr fontId="2"/>
  </si>
  <si>
    <t>家賃30万円/月×4ヶ月</t>
    <rPh sb="0" eb="2">
      <t>ヤチン</t>
    </rPh>
    <rPh sb="4" eb="6">
      <t>マンエン</t>
    </rPh>
    <rPh sb="7" eb="8">
      <t>ツキ</t>
    </rPh>
    <phoneticPr fontId="2"/>
  </si>
  <si>
    <t>電気ガス水道10万円/月×4ヶ月</t>
    <rPh sb="0" eb="2">
      <t>デンキ</t>
    </rPh>
    <rPh sb="4" eb="6">
      <t>スイドウ</t>
    </rPh>
    <rPh sb="8" eb="10">
      <t>マンエン</t>
    </rPh>
    <rPh sb="11" eb="12">
      <t>ツキ</t>
    </rPh>
    <phoneticPr fontId="2"/>
  </si>
  <si>
    <t>事務用品等2万円/月×4ヶ月</t>
    <rPh sb="0" eb="2">
      <t>ジム</t>
    </rPh>
    <rPh sb="2" eb="4">
      <t>ヨウヒン</t>
    </rPh>
    <rPh sb="4" eb="5">
      <t>トウ</t>
    </rPh>
    <rPh sb="6" eb="8">
      <t>マンエン</t>
    </rPh>
    <phoneticPr fontId="2"/>
  </si>
  <si>
    <t>燃料等10万円/月×4ヶ月</t>
    <rPh sb="0" eb="2">
      <t>ネンリョウ</t>
    </rPh>
    <rPh sb="2" eb="3">
      <t>トウ</t>
    </rPh>
    <phoneticPr fontId="2"/>
  </si>
  <si>
    <t>建物修理等1万円/月×4ヶ月</t>
    <rPh sb="0" eb="2">
      <t>タテモノ</t>
    </rPh>
    <rPh sb="2" eb="4">
      <t>シュウリ</t>
    </rPh>
    <rPh sb="4" eb="5">
      <t>トウ</t>
    </rPh>
    <rPh sb="6" eb="8">
      <t>マンエン</t>
    </rPh>
    <phoneticPr fontId="2"/>
  </si>
  <si>
    <t>2万円/月×4ヶ月</t>
  </si>
  <si>
    <t>1万円/月×4ヶ月</t>
  </si>
  <si>
    <t>平成28年12月1日</t>
    <rPh sb="0" eb="2">
      <t>ヘイセイ</t>
    </rPh>
    <rPh sb="4" eb="5">
      <t>ネン</t>
    </rPh>
    <rPh sb="7" eb="8">
      <t>ガツ</t>
    </rPh>
    <rPh sb="9" eb="10">
      <t>ニチ</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</si>
  <si>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</si>
  <si>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平成28年10月26日</t>
    <rPh sb="0" eb="2">
      <t>ヘイセイ</t>
    </rPh>
    <rPh sb="4" eb="5">
      <t>ネン</t>
    </rPh>
    <rPh sb="7" eb="8">
      <t>ガツ</t>
    </rPh>
    <rPh sb="10" eb="11">
      <t>ニチ</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</si>
</sst>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13">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8" fillId="0" borderId="0" xfId="0" applyFont="1" applyAlignment="1">
      <alignment horizontal="center" wrapText="1"/>
    </xf>
    <xf numFmtId="0" fontId="8" fillId="0" borderId="0" xfId="0"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zoomScaleNormal="100" workbookViewId="0">
      <selection activeCell="A30" sqref="A30"/>
    </sheetView>
  </sheetViews>
  <sheetFormatPr defaultRowHeight="16.5" customHeight="1"/>
  <cols>
    <col min="6" max="6" width="9" style="34"/>
  </cols>
  <sheetData>
    <row r="7" spans="1:9" ht="16.5" customHeight="1">
      <c r="A7" s="67" t="s">
        <v>115</v>
      </c>
      <c r="B7" s="68"/>
      <c r="C7" s="68"/>
      <c r="D7" s="68"/>
      <c r="E7" s="68"/>
      <c r="F7" s="68"/>
      <c r="G7" s="68"/>
      <c r="H7" s="68"/>
      <c r="I7" s="68"/>
    </row>
    <row r="8" spans="1:9" ht="16.5" customHeight="1">
      <c r="A8" s="68"/>
      <c r="B8" s="68"/>
      <c r="C8" s="68"/>
      <c r="D8" s="68"/>
      <c r="E8" s="68"/>
      <c r="F8" s="68"/>
      <c r="G8" s="68"/>
      <c r="H8" s="68"/>
      <c r="I8" s="68"/>
    </row>
    <row r="9" spans="1:9" ht="16.5" customHeight="1">
      <c r="A9" s="68"/>
      <c r="B9" s="68"/>
      <c r="C9" s="68"/>
      <c r="D9" s="68"/>
      <c r="E9" s="68"/>
      <c r="F9" s="68"/>
      <c r="G9" s="68"/>
      <c r="H9" s="68"/>
      <c r="I9" s="68"/>
    </row>
    <row r="10" spans="1:9" ht="16.5" customHeight="1">
      <c r="A10" s="68"/>
      <c r="B10" s="68"/>
      <c r="C10" s="68"/>
      <c r="D10" s="68"/>
      <c r="E10" s="68"/>
      <c r="F10" s="68"/>
      <c r="G10" s="68"/>
      <c r="H10" s="68"/>
      <c r="I10" s="68"/>
    </row>
    <row r="11" spans="1:9" ht="16.5" customHeight="1">
      <c r="A11" s="68"/>
      <c r="B11" s="68"/>
      <c r="C11" s="68"/>
      <c r="D11" s="68"/>
      <c r="E11" s="68"/>
      <c r="F11" s="68"/>
      <c r="G11" s="68"/>
      <c r="H11" s="68"/>
      <c r="I11" s="68"/>
    </row>
    <row r="12" spans="1:9" ht="16.5" customHeight="1">
      <c r="A12" s="68"/>
      <c r="B12" s="68"/>
      <c r="C12" s="68"/>
      <c r="D12" s="68"/>
      <c r="E12" s="68"/>
      <c r="F12" s="68"/>
      <c r="G12" s="68"/>
      <c r="H12" s="68"/>
      <c r="I12" s="68"/>
    </row>
    <row r="13" spans="1:9" ht="16.5" customHeight="1">
      <c r="A13" s="68"/>
      <c r="B13" s="68"/>
      <c r="C13" s="68"/>
      <c r="D13" s="68"/>
      <c r="E13" s="68"/>
      <c r="F13" s="68"/>
      <c r="G13" s="68"/>
      <c r="H13" s="68"/>
      <c r="I13" s="68"/>
    </row>
    <row r="14" spans="1:9" ht="16.5" customHeight="1">
      <c r="A14" s="68"/>
      <c r="B14" s="68"/>
      <c r="C14" s="68"/>
      <c r="D14" s="68"/>
      <c r="E14" s="68"/>
      <c r="F14" s="68"/>
      <c r="G14" s="68"/>
      <c r="H14" s="68"/>
      <c r="I14" s="68"/>
    </row>
    <row r="15" spans="1:9" ht="16.5" customHeight="1">
      <c r="A15" s="68"/>
      <c r="B15" s="68"/>
      <c r="C15" s="68"/>
      <c r="D15" s="68"/>
      <c r="E15" s="68"/>
      <c r="F15" s="68"/>
      <c r="G15" s="68"/>
      <c r="H15" s="68"/>
      <c r="I15" s="68"/>
    </row>
    <row r="16" spans="1:9" ht="16.5" customHeight="1">
      <c r="A16" s="68"/>
      <c r="B16" s="68"/>
      <c r="C16" s="68"/>
      <c r="D16" s="68"/>
      <c r="E16" s="68"/>
      <c r="F16" s="68"/>
      <c r="G16" s="68"/>
      <c r="H16" s="68"/>
      <c r="I16" s="68"/>
    </row>
    <row r="17" spans="1:12" ht="16.5" customHeight="1">
      <c r="A17" s="68"/>
      <c r="B17" s="68"/>
      <c r="C17" s="68"/>
      <c r="D17" s="68"/>
      <c r="E17" s="68"/>
      <c r="F17" s="68"/>
      <c r="G17" s="68"/>
      <c r="H17" s="68"/>
      <c r="I17" s="68"/>
    </row>
    <row r="18" spans="1:12" ht="16.5" customHeight="1">
      <c r="A18" s="68"/>
      <c r="B18" s="68"/>
      <c r="C18" s="68"/>
      <c r="D18" s="68"/>
      <c r="E18" s="68"/>
      <c r="F18" s="68"/>
      <c r="G18" s="68"/>
      <c r="H18" s="68"/>
      <c r="I18" s="68"/>
    </row>
    <row r="19" spans="1:12" ht="16.5" customHeight="1">
      <c r="A19" s="68"/>
      <c r="B19" s="68"/>
      <c r="C19" s="68"/>
      <c r="D19" s="68"/>
      <c r="E19" s="68"/>
      <c r="F19" s="68"/>
      <c r="G19" s="68"/>
      <c r="H19" s="68"/>
      <c r="I19" s="68"/>
    </row>
    <row r="20" spans="1:12" ht="16.5" customHeight="1">
      <c r="A20" s="68"/>
      <c r="B20" s="68"/>
      <c r="C20" s="68"/>
      <c r="D20" s="68"/>
      <c r="E20" s="68"/>
      <c r="F20" s="68"/>
      <c r="G20" s="68"/>
      <c r="H20" s="68"/>
      <c r="I20" s="68"/>
    </row>
    <row r="21" spans="1:12" ht="16.5" customHeight="1">
      <c r="A21" s="68"/>
      <c r="B21" s="68"/>
      <c r="C21" s="68"/>
      <c r="D21" s="68"/>
      <c r="E21" s="68"/>
      <c r="F21" s="68"/>
      <c r="G21" s="68"/>
      <c r="H21" s="68"/>
      <c r="I21" s="68"/>
    </row>
    <row r="22" spans="1:12" ht="16.5" customHeight="1">
      <c r="A22" s="68"/>
      <c r="B22" s="68"/>
      <c r="C22" s="68"/>
      <c r="D22" s="68"/>
      <c r="E22" s="68"/>
      <c r="F22" s="68"/>
      <c r="G22" s="68"/>
      <c r="H22" s="68"/>
      <c r="I22" s="68"/>
    </row>
    <row r="23" spans="1:12" ht="16.5" customHeight="1">
      <c r="A23" s="68"/>
      <c r="B23" s="68"/>
      <c r="C23" s="68"/>
      <c r="D23" s="68"/>
      <c r="E23" s="68"/>
      <c r="F23" s="68"/>
      <c r="G23" s="68"/>
      <c r="H23" s="68"/>
      <c r="I23" s="68"/>
    </row>
    <row r="24" spans="1:12" ht="16.5" customHeight="1">
      <c r="A24" s="68"/>
      <c r="B24" s="68"/>
      <c r="C24" s="68"/>
      <c r="D24" s="68"/>
      <c r="E24" s="68"/>
      <c r="F24" s="68"/>
      <c r="G24" s="68"/>
      <c r="H24" s="68"/>
      <c r="I24" s="68"/>
    </row>
    <row r="25" spans="1:12" ht="16.5" customHeight="1">
      <c r="A25" s="68"/>
      <c r="B25" s="68"/>
      <c r="C25" s="68"/>
      <c r="D25" s="68"/>
      <c r="E25" s="68"/>
      <c r="F25" s="68"/>
      <c r="G25" s="68"/>
      <c r="H25" s="68"/>
      <c r="I25" s="68"/>
      <c r="L25" s="61"/>
    </row>
    <row r="26" spans="1:12" ht="16.5" customHeight="1">
      <c r="A26" s="68"/>
      <c r="B26" s="68"/>
      <c r="C26" s="68"/>
      <c r="D26" s="68"/>
      <c r="E26" s="68"/>
      <c r="F26" s="68"/>
      <c r="G26" s="68"/>
      <c r="H26" s="68"/>
      <c r="I26" s="68"/>
    </row>
    <row r="27" spans="1:12" ht="16.5" customHeight="1">
      <c r="A27" s="68"/>
      <c r="B27" s="68"/>
      <c r="C27" s="68"/>
      <c r="D27" s="68"/>
      <c r="E27" s="68"/>
      <c r="F27" s="68"/>
      <c r="G27" s="68"/>
      <c r="H27" s="68"/>
      <c r="I27" s="68"/>
    </row>
    <row r="28" spans="1:12" ht="16.5" customHeight="1">
      <c r="A28" s="68"/>
      <c r="B28" s="68"/>
      <c r="C28" s="68"/>
      <c r="D28" s="68"/>
      <c r="E28" s="68"/>
      <c r="F28" s="68"/>
      <c r="G28" s="68"/>
      <c r="H28" s="68"/>
      <c r="I28" s="68"/>
    </row>
    <row r="29" spans="1:12" ht="16.5" customHeight="1">
      <c r="A29" s="68"/>
      <c r="B29" s="68"/>
      <c r="C29" s="68"/>
      <c r="D29" s="68"/>
      <c r="E29" s="68"/>
      <c r="F29" s="68"/>
      <c r="G29" s="68"/>
      <c r="H29" s="68"/>
      <c r="I29" s="68"/>
    </row>
    <row r="39" spans="13:17" ht="16.5" customHeight="1">
      <c r="P39" s="60"/>
    </row>
    <row r="40" spans="13:17" ht="16.5" customHeight="1">
      <c r="M40" s="59"/>
      <c r="P40" s="60"/>
      <c r="Q40" s="59"/>
    </row>
  </sheetData>
  <mergeCells count="1">
    <mergeCell ref="A7:I29"/>
  </mergeCells>
  <phoneticPr fontId="2"/>
  <pageMargins left="0.7" right="0.7" top="0.75" bottom="0.75" header="0.3" footer="0.3"/>
  <pageSetup paperSize="9"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1"/>
  <sheetViews>
    <sheetView tabSelected="1" zoomScaleNormal="100" workbookViewId="0">
      <selection activeCell="AD18" sqref="AD18"/>
    </sheetView>
  </sheetViews>
  <sheetFormatPr defaultRowHeight="13.5"/>
  <cols>
    <col min="1" max="8" width="3.625" customWidth="1"/>
    <col min="9" max="9" width="0.25" customWidth="1"/>
    <col min="10"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5" t="s">
        <v>84</v>
      </c>
      <c r="F3" s="85"/>
      <c r="G3" s="85"/>
      <c r="H3" s="85"/>
      <c r="I3" s="85"/>
      <c r="J3" s="85"/>
      <c r="K3" s="85"/>
      <c r="L3" s="85"/>
      <c r="M3" s="85"/>
      <c r="N3" s="85"/>
      <c r="O3" s="85"/>
      <c r="P3" s="85"/>
      <c r="Q3" s="85"/>
      <c r="R3" s="85"/>
      <c r="S3" s="85"/>
      <c r="T3" s="85"/>
      <c r="U3" s="85"/>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65</v>
      </c>
      <c r="E6" s="41"/>
      <c r="F6" s="41"/>
      <c r="G6" s="41"/>
      <c r="H6" s="41"/>
      <c r="I6" s="41" t="s">
        <v>85</v>
      </c>
      <c r="J6" s="41"/>
      <c r="K6" s="41"/>
      <c r="L6" s="41"/>
      <c r="M6" s="41"/>
      <c r="N6" s="41"/>
      <c r="O6" s="41"/>
      <c r="P6" s="41"/>
      <c r="Q6" s="41"/>
      <c r="R6" s="41"/>
      <c r="S6" s="41"/>
      <c r="T6" s="41"/>
      <c r="U6" s="41"/>
      <c r="V6" s="41"/>
      <c r="W6" s="41" t="s">
        <v>86</v>
      </c>
      <c r="X6" s="41"/>
      <c r="Y6" s="41"/>
      <c r="Z6" s="41"/>
    </row>
    <row r="7" spans="1:28" ht="17.100000000000001" customHeight="1">
      <c r="A7" s="66"/>
      <c r="B7" s="41"/>
      <c r="C7" s="41"/>
      <c r="D7" s="41" t="s">
        <v>68</v>
      </c>
      <c r="E7" s="41"/>
      <c r="F7" s="41"/>
      <c r="G7" s="41"/>
      <c r="H7" s="41"/>
      <c r="I7" s="41" t="s">
        <v>119</v>
      </c>
      <c r="J7" s="41"/>
      <c r="K7" s="41"/>
      <c r="L7" s="41"/>
      <c r="M7" s="41"/>
      <c r="N7" s="41"/>
      <c r="O7" s="41"/>
      <c r="P7" s="41"/>
      <c r="Q7" s="41"/>
      <c r="R7" s="41"/>
      <c r="S7" s="41"/>
      <c r="T7" s="41"/>
      <c r="U7" s="41"/>
      <c r="V7" s="41"/>
      <c r="W7" s="41" t="s">
        <v>86</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6" t="s">
        <v>87</v>
      </c>
      <c r="E9" s="86"/>
      <c r="F9" s="86"/>
      <c r="G9" s="86"/>
      <c r="H9" s="86"/>
      <c r="I9" s="45"/>
      <c r="J9" s="46"/>
      <c r="K9" s="45"/>
      <c r="L9" s="45"/>
      <c r="M9" s="45"/>
      <c r="N9" s="45"/>
      <c r="O9" s="86" t="s">
        <v>88</v>
      </c>
      <c r="P9" s="86"/>
      <c r="Q9" s="86"/>
      <c r="R9" s="86"/>
      <c r="S9" s="86"/>
      <c r="T9" s="86"/>
      <c r="U9" s="45"/>
      <c r="V9" s="45"/>
      <c r="W9" s="45"/>
      <c r="X9" s="45"/>
      <c r="Y9" s="46"/>
      <c r="Z9" s="41"/>
    </row>
    <row r="10" spans="1:28" ht="12.75" customHeight="1">
      <c r="A10" s="41"/>
      <c r="B10" s="51"/>
      <c r="C10" s="52"/>
      <c r="D10" s="87"/>
      <c r="E10" s="87"/>
      <c r="F10" s="87"/>
      <c r="G10" s="87"/>
      <c r="H10" s="87"/>
      <c r="I10" s="52"/>
      <c r="J10" s="53"/>
      <c r="K10" s="52"/>
      <c r="L10" s="52"/>
      <c r="M10" s="52"/>
      <c r="N10" s="52"/>
      <c r="O10" s="87"/>
      <c r="P10" s="87"/>
      <c r="Q10" s="87"/>
      <c r="R10" s="87"/>
      <c r="S10" s="87"/>
      <c r="T10" s="87"/>
      <c r="U10" s="52"/>
      <c r="V10" s="52"/>
      <c r="W10" s="52"/>
      <c r="X10" s="52"/>
      <c r="Y10" s="53"/>
      <c r="Z10" s="41"/>
    </row>
    <row r="11" spans="1:28" ht="17.100000000000001" customHeight="1">
      <c r="A11" s="41"/>
      <c r="B11" s="54"/>
      <c r="C11" s="69" t="s">
        <v>89</v>
      </c>
      <c r="D11" s="76"/>
      <c r="E11" s="76"/>
      <c r="F11" s="76"/>
      <c r="G11" s="76"/>
      <c r="H11" s="76"/>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88"/>
      <c r="D12" s="88"/>
      <c r="E12" s="88"/>
      <c r="F12" s="88"/>
      <c r="G12" s="88"/>
      <c r="H12" s="88"/>
      <c r="I12" s="47"/>
      <c r="J12" s="48"/>
      <c r="K12" s="49"/>
      <c r="L12" s="91" t="s">
        <v>105</v>
      </c>
      <c r="M12" s="91"/>
      <c r="N12" s="91"/>
      <c r="O12" s="91"/>
      <c r="P12" s="91"/>
      <c r="Q12" s="91"/>
      <c r="R12" s="91"/>
      <c r="S12" s="91"/>
      <c r="T12" s="91"/>
      <c r="U12" s="91"/>
      <c r="V12" s="91"/>
      <c r="W12" s="91"/>
      <c r="X12" s="91"/>
      <c r="Y12" s="92"/>
      <c r="Z12" s="41"/>
    </row>
    <row r="13" spans="1:28" s="58" customFormat="1" ht="17.100000000000001" customHeight="1">
      <c r="A13" s="41"/>
      <c r="B13" s="49"/>
      <c r="C13" s="57"/>
      <c r="D13" s="57"/>
      <c r="E13" s="57"/>
      <c r="F13" s="57"/>
      <c r="G13" s="57"/>
      <c r="H13" s="57"/>
      <c r="I13" s="47"/>
      <c r="J13" s="48"/>
      <c r="K13" s="49"/>
      <c r="L13" s="91"/>
      <c r="M13" s="91"/>
      <c r="N13" s="91"/>
      <c r="O13" s="91"/>
      <c r="P13" s="91"/>
      <c r="Q13" s="91"/>
      <c r="R13" s="91"/>
      <c r="S13" s="91"/>
      <c r="T13" s="91"/>
      <c r="U13" s="91"/>
      <c r="V13" s="91"/>
      <c r="W13" s="91"/>
      <c r="X13" s="91"/>
      <c r="Y13" s="92"/>
      <c r="Z13" s="41"/>
    </row>
    <row r="14" spans="1:28" ht="17.100000000000001" customHeight="1">
      <c r="A14" s="41"/>
      <c r="B14" s="49"/>
      <c r="C14" s="47"/>
      <c r="D14" s="47"/>
      <c r="E14" s="47"/>
      <c r="F14" s="47"/>
      <c r="G14" s="47"/>
      <c r="H14" s="47"/>
      <c r="I14" s="47"/>
      <c r="J14" s="48"/>
      <c r="K14" s="49"/>
      <c r="L14" s="91"/>
      <c r="M14" s="91"/>
      <c r="N14" s="91"/>
      <c r="O14" s="91"/>
      <c r="P14" s="91"/>
      <c r="Q14" s="91"/>
      <c r="R14" s="91"/>
      <c r="S14" s="91"/>
      <c r="T14" s="91"/>
      <c r="U14" s="91"/>
      <c r="V14" s="91"/>
      <c r="W14" s="91"/>
      <c r="X14" s="91"/>
      <c r="Y14" s="92"/>
      <c r="Z14" s="41"/>
    </row>
    <row r="15" spans="1:28" ht="24.75" customHeight="1">
      <c r="A15" s="41"/>
      <c r="B15" s="49"/>
      <c r="C15" s="47"/>
      <c r="D15" s="47"/>
      <c r="E15" s="47"/>
      <c r="F15" s="47"/>
      <c r="G15" s="47"/>
      <c r="H15" s="47"/>
      <c r="I15" s="47"/>
      <c r="J15" s="48"/>
      <c r="K15" s="49"/>
      <c r="L15" s="89" t="s">
        <v>118</v>
      </c>
      <c r="M15" s="90"/>
      <c r="N15" s="90"/>
      <c r="O15" s="90"/>
      <c r="P15" s="90"/>
      <c r="Q15" s="90"/>
      <c r="R15" s="90"/>
      <c r="S15" s="90"/>
      <c r="T15" s="90"/>
      <c r="U15" s="90"/>
      <c r="V15" s="90"/>
      <c r="W15" s="90"/>
      <c r="X15" s="90"/>
      <c r="Y15" s="48"/>
      <c r="Z15" s="41"/>
    </row>
    <row r="16" spans="1:28" ht="24.75" customHeight="1">
      <c r="A16" s="41"/>
      <c r="B16" s="49"/>
      <c r="C16" s="47"/>
      <c r="D16" s="47"/>
      <c r="E16" s="47"/>
      <c r="F16" s="47"/>
      <c r="G16" s="47"/>
      <c r="H16" s="47"/>
      <c r="I16" s="47"/>
      <c r="J16" s="48"/>
      <c r="K16" s="49"/>
      <c r="L16" s="90"/>
      <c r="M16" s="90"/>
      <c r="N16" s="90"/>
      <c r="O16" s="90"/>
      <c r="P16" s="90"/>
      <c r="Q16" s="90"/>
      <c r="R16" s="90"/>
      <c r="S16" s="90"/>
      <c r="T16" s="90"/>
      <c r="U16" s="90"/>
      <c r="V16" s="90"/>
      <c r="W16" s="90"/>
      <c r="X16" s="90"/>
      <c r="Y16" s="48"/>
      <c r="Z16" s="41"/>
      <c r="AB16" s="55"/>
    </row>
    <row r="17" spans="1:26" ht="24.75" customHeight="1">
      <c r="A17" s="41"/>
      <c r="B17" s="49"/>
      <c r="C17" s="47"/>
      <c r="D17" s="47"/>
      <c r="E17" s="47"/>
      <c r="F17" s="47"/>
      <c r="G17" s="47"/>
      <c r="H17" s="47"/>
      <c r="I17" s="47"/>
      <c r="J17" s="48"/>
      <c r="K17" s="49"/>
      <c r="L17" s="90"/>
      <c r="M17" s="90"/>
      <c r="N17" s="90"/>
      <c r="O17" s="90"/>
      <c r="P17" s="90"/>
      <c r="Q17" s="90"/>
      <c r="R17" s="90"/>
      <c r="S17" s="90"/>
      <c r="T17" s="90"/>
      <c r="U17" s="90"/>
      <c r="V17" s="90"/>
      <c r="W17" s="90"/>
      <c r="X17" s="90"/>
      <c r="Y17" s="48"/>
      <c r="Z17" s="41"/>
    </row>
    <row r="18" spans="1:26" ht="24.75" customHeight="1">
      <c r="A18" s="41"/>
      <c r="B18" s="49"/>
      <c r="C18" s="47"/>
      <c r="D18" s="47"/>
      <c r="E18" s="47"/>
      <c r="F18" s="47"/>
      <c r="G18" s="47"/>
      <c r="H18" s="47"/>
      <c r="I18" s="47"/>
      <c r="J18" s="48"/>
      <c r="K18" s="49"/>
      <c r="L18" s="90"/>
      <c r="M18" s="90"/>
      <c r="N18" s="90"/>
      <c r="O18" s="90"/>
      <c r="P18" s="90"/>
      <c r="Q18" s="90"/>
      <c r="R18" s="90"/>
      <c r="S18" s="90"/>
      <c r="T18" s="90"/>
      <c r="U18" s="90"/>
      <c r="V18" s="90"/>
      <c r="W18" s="90"/>
      <c r="X18" s="90"/>
      <c r="Y18" s="48"/>
      <c r="Z18" s="41"/>
    </row>
    <row r="19" spans="1:26" ht="24.75" customHeight="1">
      <c r="A19" s="41"/>
      <c r="B19" s="49"/>
      <c r="C19" s="47"/>
      <c r="D19" s="47"/>
      <c r="E19" s="47"/>
      <c r="F19" s="47"/>
      <c r="G19" s="47"/>
      <c r="H19" s="47"/>
      <c r="I19" s="47"/>
      <c r="J19" s="48"/>
      <c r="K19" s="49"/>
      <c r="L19" s="90"/>
      <c r="M19" s="90"/>
      <c r="N19" s="90"/>
      <c r="O19" s="90"/>
      <c r="P19" s="90"/>
      <c r="Q19" s="90"/>
      <c r="R19" s="90"/>
      <c r="S19" s="90"/>
      <c r="T19" s="90"/>
      <c r="U19" s="90"/>
      <c r="V19" s="90"/>
      <c r="W19" s="90"/>
      <c r="X19" s="90"/>
      <c r="Y19" s="48"/>
      <c r="Z19" s="41"/>
    </row>
    <row r="20" spans="1:26" ht="24.75" customHeight="1">
      <c r="A20" s="41"/>
      <c r="B20" s="49"/>
      <c r="C20" s="47"/>
      <c r="D20" s="47"/>
      <c r="E20" s="47"/>
      <c r="F20" s="47"/>
      <c r="G20" s="47"/>
      <c r="H20" s="47"/>
      <c r="I20" s="47"/>
      <c r="J20" s="48"/>
      <c r="K20" s="49"/>
      <c r="L20" s="90"/>
      <c r="M20" s="90"/>
      <c r="N20" s="90"/>
      <c r="O20" s="90"/>
      <c r="P20" s="90"/>
      <c r="Q20" s="90"/>
      <c r="R20" s="90"/>
      <c r="S20" s="90"/>
      <c r="T20" s="90"/>
      <c r="U20" s="90"/>
      <c r="V20" s="90"/>
      <c r="W20" s="90"/>
      <c r="X20" s="90"/>
      <c r="Y20" s="48"/>
      <c r="Z20" s="41"/>
    </row>
    <row r="21" spans="1:26" ht="96" customHeight="1">
      <c r="A21" s="41"/>
      <c r="B21" s="49"/>
      <c r="C21" s="47"/>
      <c r="D21" s="47"/>
      <c r="E21" s="47"/>
      <c r="F21" s="47"/>
      <c r="G21" s="47"/>
      <c r="H21" s="47"/>
      <c r="I21" s="47"/>
      <c r="J21" s="48"/>
      <c r="K21" s="49"/>
      <c r="L21" s="90"/>
      <c r="M21" s="90"/>
      <c r="N21" s="90"/>
      <c r="O21" s="90"/>
      <c r="P21" s="90"/>
      <c r="Q21" s="90"/>
      <c r="R21" s="90"/>
      <c r="S21" s="90"/>
      <c r="T21" s="90"/>
      <c r="U21" s="90"/>
      <c r="V21" s="90"/>
      <c r="W21" s="90"/>
      <c r="X21" s="90"/>
      <c r="Y21" s="48"/>
      <c r="Z21" s="41"/>
    </row>
    <row r="22" spans="1:26" ht="75" customHeight="1">
      <c r="A22" s="41"/>
      <c r="B22" s="49"/>
      <c r="C22" s="47"/>
      <c r="D22" s="47"/>
      <c r="E22" s="47"/>
      <c r="F22" s="47"/>
      <c r="G22" s="47"/>
      <c r="H22" s="47"/>
      <c r="I22" s="47"/>
      <c r="J22" s="48"/>
      <c r="K22" s="49"/>
      <c r="L22" s="84" t="s">
        <v>109</v>
      </c>
      <c r="M22" s="84"/>
      <c r="N22" s="84"/>
      <c r="O22" s="84"/>
      <c r="P22" s="84"/>
      <c r="Q22" s="84"/>
      <c r="R22" s="84"/>
      <c r="S22" s="84"/>
      <c r="T22" s="84"/>
      <c r="U22" s="84"/>
      <c r="V22" s="84"/>
      <c r="W22" s="84"/>
      <c r="X22" s="84"/>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69" t="s">
        <v>90</v>
      </c>
      <c r="D25" s="69"/>
      <c r="E25" s="69"/>
      <c r="F25" s="69"/>
      <c r="G25" s="69"/>
      <c r="H25" s="69"/>
      <c r="I25" s="69"/>
      <c r="J25" s="46"/>
      <c r="K25" s="54"/>
      <c r="L25" s="69" t="s">
        <v>151</v>
      </c>
      <c r="M25" s="69"/>
      <c r="N25" s="69"/>
      <c r="O25" s="69"/>
      <c r="P25" s="69"/>
      <c r="Q25" s="69"/>
      <c r="R25" s="72"/>
      <c r="S25" s="72"/>
      <c r="T25" s="72"/>
      <c r="U25" s="72"/>
      <c r="V25" s="72"/>
      <c r="W25" s="72"/>
      <c r="X25" s="72"/>
      <c r="Y25" s="73"/>
      <c r="Z25" s="41"/>
    </row>
    <row r="26" spans="1:26" ht="17.100000000000001" customHeight="1">
      <c r="A26" s="41"/>
      <c r="B26" s="51"/>
      <c r="C26" s="70"/>
      <c r="D26" s="71"/>
      <c r="E26" s="71"/>
      <c r="F26" s="71"/>
      <c r="G26" s="71"/>
      <c r="H26" s="71"/>
      <c r="I26" s="71"/>
      <c r="J26" s="53"/>
      <c r="K26" s="51"/>
      <c r="L26" s="71"/>
      <c r="M26" s="71"/>
      <c r="N26" s="71"/>
      <c r="O26" s="71"/>
      <c r="P26" s="71"/>
      <c r="Q26" s="71"/>
      <c r="R26" s="74"/>
      <c r="S26" s="74"/>
      <c r="T26" s="74"/>
      <c r="U26" s="74"/>
      <c r="V26" s="74"/>
      <c r="W26" s="74"/>
      <c r="X26" s="74"/>
      <c r="Y26" s="75"/>
      <c r="Z26" s="41"/>
    </row>
    <row r="27" spans="1:26" ht="17.100000000000001" customHeight="1">
      <c r="A27" s="41"/>
      <c r="B27" s="54"/>
      <c r="C27" s="69" t="s">
        <v>91</v>
      </c>
      <c r="D27" s="76"/>
      <c r="E27" s="76"/>
      <c r="F27" s="76"/>
      <c r="G27" s="76"/>
      <c r="H27" s="76"/>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77"/>
      <c r="D28" s="77"/>
      <c r="E28" s="77"/>
      <c r="F28" s="77"/>
      <c r="G28" s="77"/>
      <c r="H28" s="77"/>
      <c r="I28" s="47"/>
      <c r="J28" s="48"/>
      <c r="K28" s="49"/>
      <c r="L28" s="47" t="s">
        <v>92</v>
      </c>
      <c r="M28" s="47" t="s">
        <v>93</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94</v>
      </c>
      <c r="M29" s="47" t="s">
        <v>152</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95</v>
      </c>
      <c r="M30" s="47" t="s">
        <v>96</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97</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78" t="s">
        <v>98</v>
      </c>
      <c r="D33" s="79"/>
      <c r="E33" s="79"/>
      <c r="F33" s="79"/>
      <c r="G33" s="79"/>
      <c r="H33" s="79"/>
      <c r="I33" s="79"/>
      <c r="J33" s="80"/>
      <c r="K33" s="54"/>
      <c r="L33" s="45"/>
      <c r="M33" s="45"/>
      <c r="N33" s="45"/>
      <c r="O33" s="45"/>
      <c r="P33" s="45"/>
      <c r="Q33" s="45"/>
      <c r="R33" s="45"/>
      <c r="S33" s="45"/>
      <c r="T33" s="45"/>
      <c r="U33" s="45"/>
      <c r="V33" s="45"/>
      <c r="W33" s="45"/>
      <c r="X33" s="45"/>
      <c r="Y33" s="46"/>
      <c r="Z33" s="41"/>
    </row>
    <row r="34" spans="1:26" ht="17.100000000000001" customHeight="1">
      <c r="A34" s="41"/>
      <c r="B34" s="49"/>
      <c r="C34" s="81"/>
      <c r="D34" s="81"/>
      <c r="E34" s="81"/>
      <c r="F34" s="81"/>
      <c r="G34" s="81"/>
      <c r="H34" s="81"/>
      <c r="I34" s="81"/>
      <c r="J34" s="82"/>
      <c r="K34" s="49"/>
      <c r="L34" s="47" t="s">
        <v>92</v>
      </c>
      <c r="M34" s="47" t="s">
        <v>99</v>
      </c>
      <c r="N34" s="47"/>
      <c r="O34" s="47"/>
      <c r="P34" s="47"/>
      <c r="Q34" s="47"/>
      <c r="R34" s="47"/>
      <c r="S34" s="47"/>
      <c r="T34" s="47"/>
      <c r="U34" s="47"/>
      <c r="V34" s="47"/>
      <c r="W34" s="47"/>
      <c r="X34" s="47"/>
      <c r="Y34" s="48"/>
      <c r="Z34" s="41"/>
    </row>
    <row r="35" spans="1:26" ht="17.100000000000001" customHeight="1">
      <c r="A35" s="41"/>
      <c r="B35" s="49"/>
      <c r="C35" s="81"/>
      <c r="D35" s="81"/>
      <c r="E35" s="81"/>
      <c r="F35" s="81"/>
      <c r="G35" s="81"/>
      <c r="H35" s="81"/>
      <c r="I35" s="81"/>
      <c r="J35" s="82"/>
      <c r="K35" s="49"/>
      <c r="L35" s="47"/>
      <c r="M35" s="47" t="s">
        <v>100</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101</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102</v>
      </c>
      <c r="M37" s="47" t="s">
        <v>103</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111</v>
      </c>
      <c r="N38" s="47"/>
      <c r="O38" s="47"/>
      <c r="P38" s="83" t="s">
        <v>116</v>
      </c>
      <c r="Q38" s="83"/>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110</v>
      </c>
      <c r="N39" s="47"/>
      <c r="O39" s="47"/>
      <c r="P39" s="83" t="s">
        <v>117</v>
      </c>
      <c r="Q39" s="83"/>
      <c r="R39" s="47"/>
      <c r="S39" s="47"/>
      <c r="T39" s="47"/>
      <c r="U39" s="47"/>
      <c r="V39" s="47"/>
      <c r="W39" s="47"/>
      <c r="X39" s="47"/>
      <c r="Y39" s="48"/>
      <c r="Z39" s="41"/>
    </row>
    <row r="40" spans="1:26" ht="17.100000000000001"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22:X22"/>
    <mergeCell ref="E3:U3"/>
    <mergeCell ref="D9:H10"/>
    <mergeCell ref="O9:T10"/>
    <mergeCell ref="C11:H12"/>
    <mergeCell ref="L15:X21"/>
    <mergeCell ref="L12:Y14"/>
    <mergeCell ref="C25:I26"/>
    <mergeCell ref="L25:Y26"/>
    <mergeCell ref="C27:H28"/>
    <mergeCell ref="C33:J35"/>
    <mergeCell ref="P39:Q39"/>
    <mergeCell ref="P38:Q38"/>
  </mergeCells>
  <phoneticPr fontId="2"/>
  <pageMargins left="0.75" right="0.75" top="1" bottom="1" header="0.51200000000000001" footer="0.51200000000000001"/>
  <pageSetup paperSize="9" scale="9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opLeftCell="A10" zoomScaleNormal="100" workbookViewId="0">
      <selection activeCell="C27" sqref="C27"/>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5" t="s">
        <v>64</v>
      </c>
      <c r="F3" s="85"/>
      <c r="G3" s="85"/>
      <c r="H3" s="85"/>
      <c r="I3" s="85"/>
      <c r="J3" s="85"/>
      <c r="K3" s="85"/>
      <c r="L3" s="85"/>
      <c r="M3" s="85"/>
      <c r="N3" s="85"/>
      <c r="O3" s="85"/>
      <c r="P3" s="85"/>
      <c r="Q3" s="85"/>
      <c r="R3" s="85"/>
      <c r="S3" s="85"/>
      <c r="T3" s="85"/>
      <c r="U3" s="85"/>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row>
    <row r="7" spans="1:24" ht="25.5" customHeight="1">
      <c r="A7" s="66" t="s">
        <v>115</v>
      </c>
      <c r="B7" s="41"/>
      <c r="C7" s="41"/>
      <c r="D7" s="41" t="s">
        <v>68</v>
      </c>
      <c r="E7" s="41"/>
      <c r="F7" s="41"/>
      <c r="G7" s="41"/>
      <c r="H7" s="41"/>
      <c r="I7" s="41" t="s">
        <v>120</v>
      </c>
      <c r="J7" s="41"/>
      <c r="K7" s="41"/>
      <c r="L7" s="41"/>
      <c r="M7" s="41"/>
      <c r="N7" s="41"/>
      <c r="O7" s="41"/>
      <c r="P7" s="41"/>
      <c r="Q7" s="41"/>
      <c r="R7" s="41"/>
      <c r="S7" s="41"/>
      <c r="T7" s="41"/>
      <c r="U7" s="41"/>
      <c r="V7" s="41"/>
      <c r="W7" s="41" t="s">
        <v>67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31</v>
      </c>
      <c r="D10" s="47"/>
      <c r="E10" s="47"/>
      <c r="F10" s="47"/>
      <c r="G10" s="47"/>
      <c r="H10" s="47"/>
      <c r="I10" s="47"/>
      <c r="J10" s="47"/>
      <c r="K10" s="47"/>
      <c r="L10" s="47"/>
      <c r="M10" s="47"/>
      <c r="N10" s="47"/>
      <c r="O10" s="47"/>
      <c r="P10" s="47"/>
      <c r="Q10" s="47"/>
      <c r="R10" s="47"/>
      <c r="S10" s="47"/>
      <c r="T10" s="47"/>
      <c r="U10" s="47"/>
      <c r="W10" s="47" t="s">
        <v>69</v>
      </c>
      <c r="X10" s="48"/>
    </row>
    <row r="11" spans="1:24" ht="25.5" customHeight="1">
      <c r="A11" s="41"/>
      <c r="B11" s="9"/>
      <c r="C11" s="47"/>
      <c r="D11" s="47"/>
      <c r="E11" s="47" t="s">
        <v>70</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71</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72</v>
      </c>
      <c r="G13" s="47"/>
      <c r="H13" s="47" t="s">
        <v>73</v>
      </c>
      <c r="I13" s="47"/>
      <c r="J13" s="47"/>
      <c r="K13" s="47"/>
      <c r="L13" s="47"/>
      <c r="M13" s="47"/>
      <c r="N13" s="47"/>
      <c r="O13" s="47"/>
      <c r="P13" s="83"/>
      <c r="Q13" s="83"/>
      <c r="R13" s="83"/>
      <c r="S13" s="83"/>
      <c r="T13" s="83"/>
      <c r="U13" s="83"/>
      <c r="V13" s="83"/>
      <c r="W13" s="47" t="s">
        <v>69</v>
      </c>
      <c r="X13" s="48"/>
    </row>
    <row r="14" spans="1:24" ht="25.5" customHeight="1">
      <c r="A14" s="41"/>
      <c r="B14" s="9"/>
      <c r="C14" s="47"/>
      <c r="D14" s="47"/>
      <c r="E14" s="47"/>
      <c r="F14" s="47" t="s">
        <v>74</v>
      </c>
      <c r="G14" s="47"/>
      <c r="H14" s="47" t="s">
        <v>75</v>
      </c>
      <c r="I14" s="47"/>
      <c r="J14" s="47"/>
      <c r="K14" s="47"/>
      <c r="L14" s="47"/>
      <c r="M14" s="47"/>
      <c r="N14" s="47"/>
      <c r="O14" s="47"/>
      <c r="P14" s="83" t="s">
        <v>76</v>
      </c>
      <c r="Q14" s="83"/>
      <c r="R14" s="83"/>
      <c r="S14" s="83"/>
      <c r="T14" s="83"/>
      <c r="U14" s="83"/>
      <c r="V14" s="83"/>
      <c r="W14" s="47" t="s">
        <v>69</v>
      </c>
      <c r="X14" s="48"/>
    </row>
    <row r="15" spans="1:24" ht="25.5" customHeight="1">
      <c r="A15" s="41"/>
      <c r="B15" s="9"/>
      <c r="C15" s="47"/>
      <c r="D15" s="47"/>
      <c r="E15" s="47" t="s">
        <v>77</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71</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72</v>
      </c>
      <c r="G17" s="47"/>
      <c r="H17" s="47" t="s">
        <v>78</v>
      </c>
      <c r="I17" s="47"/>
      <c r="J17" s="47"/>
      <c r="K17" s="47"/>
      <c r="L17" s="47"/>
      <c r="M17" s="47"/>
      <c r="N17" s="47"/>
      <c r="O17" s="47"/>
      <c r="P17" s="83" t="s">
        <v>104</v>
      </c>
      <c r="Q17" s="83"/>
      <c r="R17" s="83"/>
      <c r="S17" s="83"/>
      <c r="T17" s="83"/>
      <c r="U17" s="83"/>
      <c r="V17" s="83"/>
      <c r="W17" s="47" t="s">
        <v>69</v>
      </c>
      <c r="X17" s="48"/>
    </row>
    <row r="18" spans="1:24" ht="25.5" customHeight="1">
      <c r="A18" s="41"/>
      <c r="B18" s="49"/>
      <c r="C18" s="47"/>
      <c r="D18" s="47"/>
      <c r="E18" s="47"/>
      <c r="F18" s="47" t="s">
        <v>74</v>
      </c>
      <c r="G18" s="47"/>
      <c r="H18" s="47" t="s">
        <v>79</v>
      </c>
      <c r="I18" s="47"/>
      <c r="J18" s="47"/>
      <c r="K18" s="47"/>
      <c r="L18" s="47"/>
      <c r="M18" s="47"/>
      <c r="N18" s="47"/>
      <c r="O18" s="47"/>
      <c r="P18" s="47"/>
      <c r="Q18" s="47"/>
      <c r="R18" s="47"/>
      <c r="S18" s="47"/>
      <c r="T18" s="47"/>
      <c r="U18" s="47"/>
      <c r="W18" s="47" t="s">
        <v>69</v>
      </c>
      <c r="X18" s="48"/>
    </row>
    <row r="19" spans="1:24" ht="25.5" customHeight="1">
      <c r="A19" s="41"/>
      <c r="B19" s="49"/>
      <c r="C19" s="47"/>
      <c r="D19" s="47"/>
      <c r="E19" s="47"/>
      <c r="F19" s="47" t="s">
        <v>80</v>
      </c>
      <c r="G19" s="47"/>
      <c r="H19" s="47" t="s">
        <v>75</v>
      </c>
      <c r="I19" s="47"/>
      <c r="J19" s="47"/>
      <c r="K19" s="47"/>
      <c r="L19" s="47"/>
      <c r="M19" s="47"/>
      <c r="N19" s="47"/>
      <c r="O19" s="47"/>
      <c r="P19" s="47"/>
      <c r="Q19" s="47"/>
      <c r="R19" s="47"/>
      <c r="S19" s="47"/>
      <c r="T19" s="47"/>
      <c r="U19" s="47"/>
      <c r="W19" s="47" t="s">
        <v>69</v>
      </c>
      <c r="X19" s="48"/>
    </row>
    <row r="20" spans="1:24" ht="25.5" customHeight="1">
      <c r="A20" s="41"/>
      <c r="B20" s="49"/>
      <c r="C20" s="47" t="s">
        <v>48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81</v>
      </c>
      <c r="F21" s="47"/>
      <c r="G21" s="47"/>
      <c r="H21" s="47"/>
      <c r="I21" s="47"/>
      <c r="J21" s="47"/>
      <c r="K21" s="47"/>
      <c r="L21" s="47"/>
      <c r="M21" s="47"/>
      <c r="N21" s="47"/>
      <c r="O21" s="47"/>
      <c r="P21" s="83" t="s">
        <v>104</v>
      </c>
      <c r="Q21" s="83"/>
      <c r="R21" s="83"/>
      <c r="S21" s="83"/>
      <c r="T21" s="83"/>
      <c r="U21" s="83"/>
      <c r="V21" s="83"/>
      <c r="W21" s="47" t="s">
        <v>69</v>
      </c>
      <c r="X21" s="48"/>
    </row>
    <row r="22" spans="1:24" ht="25.5" customHeight="1">
      <c r="A22" s="41"/>
      <c r="B22" s="49"/>
      <c r="C22" s="47" t="s">
        <v>82</v>
      </c>
      <c r="D22" s="47"/>
      <c r="E22" s="47"/>
      <c r="F22" s="47"/>
      <c r="G22" s="47"/>
      <c r="H22" s="47"/>
      <c r="I22" s="47"/>
      <c r="J22" s="47"/>
      <c r="K22" s="47"/>
      <c r="L22" s="47"/>
      <c r="M22" s="47"/>
      <c r="N22" s="47"/>
      <c r="O22" s="47"/>
      <c r="P22" s="83" t="s">
        <v>108</v>
      </c>
      <c r="Q22" s="83"/>
      <c r="R22" s="83"/>
      <c r="S22" s="83"/>
      <c r="T22" s="83"/>
      <c r="U22" s="83"/>
      <c r="V22" s="83"/>
      <c r="W22" s="47" t="s">
        <v>69</v>
      </c>
      <c r="X22" s="48"/>
    </row>
    <row r="23" spans="1:24" ht="25.5" customHeight="1">
      <c r="A23" s="41"/>
      <c r="B23" s="49"/>
      <c r="C23" s="47"/>
      <c r="D23" s="47"/>
      <c r="E23" s="47" t="s">
        <v>83</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153</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112</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113</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114</v>
      </c>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zoomScaleNormal="100" workbookViewId="0">
      <selection activeCell="D37" sqref="D37"/>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102" t="s">
        <v>121</v>
      </c>
      <c r="C1" s="102"/>
      <c r="D1" s="102"/>
      <c r="E1" s="102"/>
      <c r="F1" s="102"/>
    </row>
    <row r="2" spans="1:6" ht="16.5" customHeight="1">
      <c r="B2" s="102" t="s">
        <v>137</v>
      </c>
      <c r="C2" s="102"/>
      <c r="D2" s="102"/>
      <c r="E2" s="102"/>
      <c r="F2" s="102"/>
    </row>
    <row r="3" spans="1:6" ht="16.5" customHeight="1">
      <c r="A3" s="1"/>
      <c r="B3" s="103" t="s">
        <v>0</v>
      </c>
      <c r="C3" s="104"/>
      <c r="D3" s="2"/>
      <c r="E3" s="3"/>
      <c r="F3" s="3" t="s">
        <v>1</v>
      </c>
    </row>
    <row r="4" spans="1:6" ht="16.5" customHeight="1">
      <c r="A4" s="105" t="s">
        <v>2</v>
      </c>
      <c r="B4" s="4" t="s">
        <v>3</v>
      </c>
      <c r="C4" s="5"/>
      <c r="D4" s="6"/>
      <c r="E4" s="7"/>
      <c r="F4" s="8"/>
    </row>
    <row r="5" spans="1:6" ht="16.5" customHeight="1">
      <c r="A5" s="106"/>
      <c r="B5" s="9"/>
      <c r="C5" s="10" t="s">
        <v>4</v>
      </c>
      <c r="D5" s="11">
        <v>1380000</v>
      </c>
      <c r="E5" s="12"/>
      <c r="F5" s="13" t="s">
        <v>107</v>
      </c>
    </row>
    <row r="6" spans="1:6" ht="16.5" customHeight="1" thickBot="1">
      <c r="A6" s="106"/>
      <c r="B6" s="9"/>
      <c r="C6" s="10" t="s">
        <v>5</v>
      </c>
      <c r="D6" s="11"/>
      <c r="E6" s="14">
        <f>SUM(D5)</f>
        <v>1380000</v>
      </c>
      <c r="F6" s="13"/>
    </row>
    <row r="7" spans="1:6" ht="16.5" customHeight="1" thickTop="1">
      <c r="A7" s="106"/>
      <c r="B7" s="15"/>
      <c r="C7" s="16"/>
      <c r="D7" s="17"/>
      <c r="E7" s="18"/>
      <c r="F7" s="13"/>
    </row>
    <row r="8" spans="1:6" ht="16.5" customHeight="1">
      <c r="A8" s="106"/>
      <c r="B8" s="19" t="s">
        <v>6</v>
      </c>
      <c r="C8" s="20"/>
      <c r="D8" s="6"/>
      <c r="E8" s="7"/>
      <c r="F8" s="13"/>
    </row>
    <row r="9" spans="1:6" ht="16.5" customHeight="1">
      <c r="A9" s="106"/>
      <c r="B9" s="9"/>
      <c r="C9" s="10" t="s">
        <v>7</v>
      </c>
      <c r="D9" s="11">
        <f>(15*1000*21*4)</f>
        <v>1260000</v>
      </c>
      <c r="E9" s="12"/>
      <c r="F9" s="21" t="s">
        <v>138</v>
      </c>
    </row>
    <row r="10" spans="1:6" ht="16.5" customHeight="1">
      <c r="A10" s="106"/>
      <c r="B10" s="9"/>
      <c r="C10" s="10" t="s">
        <v>8</v>
      </c>
      <c r="D10" s="11">
        <v>120000</v>
      </c>
      <c r="E10" s="12"/>
      <c r="F10" s="21" t="s">
        <v>122</v>
      </c>
    </row>
    <row r="11" spans="1:6" ht="16.5" customHeight="1" thickBot="1">
      <c r="A11" s="106"/>
      <c r="B11" s="9"/>
      <c r="C11" s="10" t="s">
        <v>9</v>
      </c>
      <c r="D11" s="11"/>
      <c r="E11" s="14">
        <f>SUM(D9:D10)</f>
        <v>1380000</v>
      </c>
      <c r="F11" s="21"/>
    </row>
    <row r="12" spans="1:6" ht="16.5" customHeight="1" thickTop="1">
      <c r="A12" s="106"/>
      <c r="B12" s="9"/>
      <c r="C12" s="22" t="s">
        <v>10</v>
      </c>
      <c r="D12" s="11"/>
      <c r="E12" s="18">
        <f>E6-E11</f>
        <v>0</v>
      </c>
      <c r="F12" s="21"/>
    </row>
    <row r="13" spans="1:6" ht="16.5" customHeight="1">
      <c r="A13" s="107"/>
      <c r="B13" s="15"/>
      <c r="C13" s="16"/>
      <c r="D13" s="17"/>
      <c r="E13" s="23"/>
      <c r="F13" s="24"/>
    </row>
    <row r="14" spans="1:6" ht="16.5" customHeight="1">
      <c r="A14" s="93" t="s">
        <v>11</v>
      </c>
      <c r="B14" s="96" t="s">
        <v>106</v>
      </c>
      <c r="C14" s="97"/>
      <c r="D14" s="7"/>
      <c r="E14" s="7"/>
      <c r="F14" s="25"/>
    </row>
    <row r="15" spans="1:6" ht="16.5" customHeight="1">
      <c r="A15" s="94"/>
      <c r="B15" s="98"/>
      <c r="C15" s="99"/>
      <c r="D15" s="12"/>
      <c r="E15" s="12"/>
      <c r="F15" s="26"/>
    </row>
    <row r="16" spans="1:6" ht="16.5" customHeight="1">
      <c r="A16" s="94"/>
      <c r="B16" s="9"/>
      <c r="C16" s="10" t="s">
        <v>12</v>
      </c>
      <c r="D16" s="12">
        <f>15*5850*21*4</f>
        <v>7371000</v>
      </c>
      <c r="E16" s="12"/>
      <c r="F16" s="26" t="s">
        <v>139</v>
      </c>
    </row>
    <row r="17" spans="1:12" ht="16.5" customHeight="1" thickBot="1">
      <c r="A17" s="94"/>
      <c r="B17" s="9"/>
      <c r="C17" s="22" t="s">
        <v>5</v>
      </c>
      <c r="D17" s="12"/>
      <c r="E17" s="14">
        <f>SUM(D16)</f>
        <v>7371000</v>
      </c>
      <c r="F17" s="26"/>
    </row>
    <row r="18" spans="1:12" ht="16.5" customHeight="1" thickTop="1">
      <c r="A18" s="94"/>
      <c r="B18" s="27" t="s">
        <v>13</v>
      </c>
      <c r="C18" s="28"/>
      <c r="D18" s="12"/>
      <c r="E18" s="18"/>
      <c r="F18" s="26"/>
    </row>
    <row r="19" spans="1:12" ht="12" customHeight="1">
      <c r="A19" s="94"/>
      <c r="B19" s="9"/>
      <c r="C19" s="100" t="s">
        <v>14</v>
      </c>
      <c r="D19" s="101">
        <f>5400000/6*4</f>
        <v>3600000</v>
      </c>
      <c r="E19" s="12"/>
      <c r="F19" s="26" t="s">
        <v>140</v>
      </c>
    </row>
    <row r="20" spans="1:12" ht="12" customHeight="1">
      <c r="A20" s="94"/>
      <c r="B20" s="9"/>
      <c r="C20" s="100"/>
      <c r="D20" s="101"/>
      <c r="E20" s="12"/>
      <c r="F20" s="26" t="s">
        <v>141</v>
      </c>
    </row>
    <row r="21" spans="1:12" ht="16.5" customHeight="1">
      <c r="A21" s="94"/>
      <c r="B21" s="9"/>
      <c r="C21" s="28" t="s">
        <v>15</v>
      </c>
      <c r="D21" s="12">
        <v>400000</v>
      </c>
      <c r="E21" s="12"/>
      <c r="F21" s="26" t="s">
        <v>142</v>
      </c>
    </row>
    <row r="22" spans="1:12" ht="16.5" customHeight="1">
      <c r="A22" s="94"/>
      <c r="B22" s="9"/>
      <c r="C22" s="28" t="s">
        <v>16</v>
      </c>
      <c r="D22" s="12">
        <v>100000</v>
      </c>
      <c r="E22" s="29"/>
      <c r="F22" s="26" t="s">
        <v>17</v>
      </c>
    </row>
    <row r="23" spans="1:12" ht="16.5" customHeight="1">
      <c r="A23" s="94"/>
      <c r="B23" s="9"/>
      <c r="C23" s="28" t="s">
        <v>18</v>
      </c>
      <c r="D23" s="12">
        <v>80000</v>
      </c>
      <c r="E23" s="29"/>
      <c r="F23" s="26" t="s">
        <v>143</v>
      </c>
      <c r="L23" s="61"/>
    </row>
    <row r="24" spans="1:12" ht="16.5" customHeight="1">
      <c r="A24" s="94"/>
      <c r="B24" s="9"/>
      <c r="C24" s="28" t="s">
        <v>19</v>
      </c>
      <c r="D24" s="12">
        <v>1200000</v>
      </c>
      <c r="E24" s="29"/>
      <c r="F24" s="26" t="s">
        <v>144</v>
      </c>
    </row>
    <row r="25" spans="1:12" ht="16.5" customHeight="1">
      <c r="A25" s="94"/>
      <c r="B25" s="9"/>
      <c r="C25" s="28" t="s">
        <v>20</v>
      </c>
      <c r="D25" s="12">
        <v>200000</v>
      </c>
      <c r="E25" s="29"/>
      <c r="F25" s="26" t="s">
        <v>21</v>
      </c>
    </row>
    <row r="26" spans="1:12" ht="16.5" customHeight="1">
      <c r="A26" s="94"/>
      <c r="B26" s="9"/>
      <c r="C26" s="28" t="s">
        <v>22</v>
      </c>
      <c r="D26" s="12">
        <v>400000</v>
      </c>
      <c r="E26" s="29"/>
      <c r="F26" s="26" t="s">
        <v>145</v>
      </c>
    </row>
    <row r="27" spans="1:12" ht="16.5" customHeight="1">
      <c r="A27" s="94"/>
      <c r="B27" s="9"/>
      <c r="C27" s="28" t="s">
        <v>23</v>
      </c>
      <c r="D27" s="12">
        <v>80000</v>
      </c>
      <c r="E27" s="29"/>
      <c r="F27" s="26" t="s">
        <v>146</v>
      </c>
    </row>
    <row r="28" spans="1:12" ht="16.5" customHeight="1">
      <c r="A28" s="94"/>
      <c r="B28" s="9"/>
      <c r="C28" s="28" t="s">
        <v>24</v>
      </c>
      <c r="D28" s="12">
        <v>400000</v>
      </c>
      <c r="E28" s="29"/>
      <c r="F28" s="26" t="s">
        <v>147</v>
      </c>
    </row>
    <row r="29" spans="1:12" ht="16.5" customHeight="1">
      <c r="A29" s="94"/>
      <c r="B29" s="9"/>
      <c r="C29" s="28" t="s">
        <v>25</v>
      </c>
      <c r="D29" s="12">
        <v>40000</v>
      </c>
      <c r="E29" s="29"/>
      <c r="F29" s="26" t="s">
        <v>148</v>
      </c>
    </row>
    <row r="30" spans="1:12" ht="16.5" customHeight="1">
      <c r="A30" s="94"/>
      <c r="B30" s="9"/>
      <c r="C30" s="28" t="s">
        <v>26</v>
      </c>
      <c r="D30" s="12">
        <v>80000</v>
      </c>
      <c r="E30" s="29"/>
      <c r="F30" s="30" t="s">
        <v>149</v>
      </c>
    </row>
    <row r="31" spans="1:12" ht="16.5" customHeight="1">
      <c r="A31" s="94"/>
      <c r="B31" s="9"/>
      <c r="C31" s="28" t="s">
        <v>27</v>
      </c>
      <c r="D31" s="12">
        <v>20000</v>
      </c>
      <c r="E31" s="29"/>
      <c r="F31" s="30" t="s">
        <v>150</v>
      </c>
    </row>
    <row r="32" spans="1:12" ht="16.5" customHeight="1">
      <c r="A32" s="94"/>
      <c r="B32" s="9"/>
      <c r="C32" s="28"/>
      <c r="D32" s="12"/>
      <c r="E32" s="29"/>
      <c r="F32" s="30"/>
    </row>
    <row r="33" spans="1:17" ht="16.5" customHeight="1" thickBot="1">
      <c r="A33" s="94"/>
      <c r="B33" s="9"/>
      <c r="C33" s="10" t="s">
        <v>9</v>
      </c>
      <c r="D33" s="12"/>
      <c r="E33" s="14">
        <f>SUM(D19:D31)</f>
        <v>6600000</v>
      </c>
      <c r="F33" s="30"/>
    </row>
    <row r="34" spans="1:17" ht="16.5" customHeight="1" thickTop="1">
      <c r="A34" s="94"/>
      <c r="B34" s="9"/>
      <c r="C34" s="28"/>
      <c r="D34" s="12"/>
      <c r="E34" s="18"/>
      <c r="F34" s="30"/>
    </row>
    <row r="35" spans="1:17" ht="16.5" customHeight="1">
      <c r="A35" s="95"/>
      <c r="B35" s="15"/>
      <c r="C35" s="31" t="s">
        <v>28</v>
      </c>
      <c r="D35" s="23"/>
      <c r="E35" s="32">
        <f>E17-E33</f>
        <v>771000</v>
      </c>
      <c r="F35" s="33"/>
    </row>
    <row r="36" spans="1:17" ht="16.5" customHeight="1">
      <c r="P36" s="60"/>
    </row>
    <row r="37" spans="1:17" ht="16.5" customHeight="1">
      <c r="M37" s="59"/>
      <c r="P37" s="60"/>
      <c r="Q37" s="59"/>
    </row>
  </sheetData>
  <mergeCells count="8">
    <mergeCell ref="A14:A35"/>
    <mergeCell ref="B14:C15"/>
    <mergeCell ref="C19:C20"/>
    <mergeCell ref="D19:D20"/>
    <mergeCell ref="B1:F1"/>
    <mergeCell ref="B2:F2"/>
    <mergeCell ref="B3:C3"/>
    <mergeCell ref="A4:A1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zoomScaleNormal="100" workbookViewId="0">
      <selection activeCell="D22" sqref="D22"/>
    </sheetView>
  </sheetViews>
  <sheetFormatPr defaultRowHeight="16.5" customHeight="1"/>
  <cols>
    <col min="1" max="1" width="4.125" style="64" customWidth="1"/>
    <col min="2" max="2" width="3" style="64" customWidth="1"/>
    <col min="3" max="3" width="25.375" style="64" customWidth="1"/>
    <col min="4" max="5" width="12.125" style="64" customWidth="1"/>
    <col min="6" max="6" width="31" style="34" customWidth="1"/>
    <col min="7" max="16384" width="9" style="64"/>
  </cols>
  <sheetData>
    <row r="1" spans="1:6" ht="16.5" customHeight="1">
      <c r="B1" s="102" t="s">
        <v>121</v>
      </c>
      <c r="C1" s="102"/>
      <c r="D1" s="102"/>
      <c r="E1" s="102"/>
      <c r="F1" s="102"/>
    </row>
    <row r="2" spans="1:6" ht="16.5" customHeight="1">
      <c r="B2" s="102" t="s">
        <v>133</v>
      </c>
      <c r="C2" s="102"/>
      <c r="D2" s="102"/>
      <c r="E2" s="102"/>
      <c r="F2" s="102"/>
    </row>
    <row r="3" spans="1:6" ht="16.5" customHeight="1">
      <c r="A3" s="1"/>
      <c r="B3" s="103" t="s">
        <v>0</v>
      </c>
      <c r="C3" s="104"/>
      <c r="D3" s="62"/>
      <c r="E3" s="3"/>
      <c r="F3" s="3" t="s">
        <v>1</v>
      </c>
    </row>
    <row r="4" spans="1:6" ht="16.5" customHeight="1">
      <c r="A4" s="105" t="s">
        <v>2</v>
      </c>
      <c r="B4" s="4" t="s">
        <v>3</v>
      </c>
      <c r="C4" s="63"/>
      <c r="D4" s="6"/>
      <c r="E4" s="7"/>
      <c r="F4" s="8"/>
    </row>
    <row r="5" spans="1:6" ht="16.5" customHeight="1">
      <c r="A5" s="106"/>
      <c r="B5" s="9"/>
      <c r="C5" s="10" t="s">
        <v>4</v>
      </c>
      <c r="D5" s="11">
        <v>5400000</v>
      </c>
      <c r="E5" s="12"/>
      <c r="F5" s="13" t="s">
        <v>107</v>
      </c>
    </row>
    <row r="6" spans="1:6" ht="16.5" customHeight="1" thickBot="1">
      <c r="A6" s="106"/>
      <c r="B6" s="9"/>
      <c r="C6" s="10" t="s">
        <v>5</v>
      </c>
      <c r="D6" s="11"/>
      <c r="E6" s="14">
        <f>SUM(D5)</f>
        <v>5400000</v>
      </c>
      <c r="F6" s="13"/>
    </row>
    <row r="7" spans="1:6" ht="16.5" customHeight="1" thickTop="1">
      <c r="A7" s="106"/>
      <c r="B7" s="15"/>
      <c r="C7" s="16"/>
      <c r="D7" s="17"/>
      <c r="E7" s="18"/>
      <c r="F7" s="13"/>
    </row>
    <row r="8" spans="1:6" ht="16.5" customHeight="1">
      <c r="A8" s="106"/>
      <c r="B8" s="19" t="s">
        <v>6</v>
      </c>
      <c r="C8" s="20"/>
      <c r="D8" s="6"/>
      <c r="E8" s="7"/>
      <c r="F8" s="13"/>
    </row>
    <row r="9" spans="1:6" ht="16.5" customHeight="1">
      <c r="A9" s="106"/>
      <c r="B9" s="9"/>
      <c r="C9" s="10" t="s">
        <v>7</v>
      </c>
      <c r="D9" s="11">
        <f>(20*1000*21*12)</f>
        <v>5040000</v>
      </c>
      <c r="E9" s="12"/>
      <c r="F9" s="21" t="s">
        <v>123</v>
      </c>
    </row>
    <row r="10" spans="1:6" ht="16.5" customHeight="1">
      <c r="A10" s="106"/>
      <c r="B10" s="9"/>
      <c r="C10" s="10" t="s">
        <v>8</v>
      </c>
      <c r="D10" s="11">
        <v>360000</v>
      </c>
      <c r="E10" s="12"/>
      <c r="F10" s="21" t="s">
        <v>122</v>
      </c>
    </row>
    <row r="11" spans="1:6" ht="16.5" customHeight="1" thickBot="1">
      <c r="A11" s="106"/>
      <c r="B11" s="9"/>
      <c r="C11" s="10" t="s">
        <v>9</v>
      </c>
      <c r="D11" s="11"/>
      <c r="E11" s="14">
        <f>SUM(D9:D10)</f>
        <v>5400000</v>
      </c>
      <c r="F11" s="21"/>
    </row>
    <row r="12" spans="1:6" ht="16.5" customHeight="1" thickTop="1">
      <c r="A12" s="106"/>
      <c r="B12" s="9"/>
      <c r="C12" s="22" t="s">
        <v>10</v>
      </c>
      <c r="D12" s="11"/>
      <c r="E12" s="18">
        <f>E6-E11</f>
        <v>0</v>
      </c>
      <c r="F12" s="21"/>
    </row>
    <row r="13" spans="1:6" ht="16.5" customHeight="1">
      <c r="A13" s="107"/>
      <c r="B13" s="15"/>
      <c r="C13" s="16"/>
      <c r="D13" s="17"/>
      <c r="E13" s="23"/>
      <c r="F13" s="24"/>
    </row>
    <row r="14" spans="1:6" ht="16.5" customHeight="1">
      <c r="A14" s="93" t="s">
        <v>11</v>
      </c>
      <c r="B14" s="96" t="s">
        <v>106</v>
      </c>
      <c r="C14" s="97"/>
      <c r="D14" s="7"/>
      <c r="E14" s="7"/>
      <c r="F14" s="25"/>
    </row>
    <row r="15" spans="1:6" ht="16.5" customHeight="1">
      <c r="A15" s="94"/>
      <c r="B15" s="98"/>
      <c r="C15" s="99"/>
      <c r="D15" s="12"/>
      <c r="E15" s="12"/>
      <c r="F15" s="26"/>
    </row>
    <row r="16" spans="1:6" ht="16.5" customHeight="1">
      <c r="A16" s="94"/>
      <c r="B16" s="9"/>
      <c r="C16" s="10" t="s">
        <v>12</v>
      </c>
      <c r="D16" s="12">
        <f>20*5850*21*12</f>
        <v>29484000</v>
      </c>
      <c r="E16" s="12"/>
      <c r="F16" s="26" t="s">
        <v>134</v>
      </c>
    </row>
    <row r="17" spans="1:12" ht="16.5" customHeight="1" thickBot="1">
      <c r="A17" s="94"/>
      <c r="B17" s="9"/>
      <c r="C17" s="22" t="s">
        <v>5</v>
      </c>
      <c r="D17" s="12"/>
      <c r="E17" s="14">
        <f>SUM(D16)</f>
        <v>29484000</v>
      </c>
      <c r="F17" s="26"/>
    </row>
    <row r="18" spans="1:12" ht="16.5" customHeight="1" thickTop="1">
      <c r="A18" s="94"/>
      <c r="B18" s="27" t="s">
        <v>13</v>
      </c>
      <c r="C18" s="65"/>
      <c r="D18" s="12"/>
      <c r="E18" s="18"/>
      <c r="F18" s="26"/>
    </row>
    <row r="19" spans="1:12" ht="12" customHeight="1">
      <c r="A19" s="94"/>
      <c r="B19" s="9"/>
      <c r="C19" s="100" t="s">
        <v>14</v>
      </c>
      <c r="D19" s="101">
        <f>1200000*12</f>
        <v>14400000</v>
      </c>
      <c r="E19" s="12"/>
      <c r="F19" s="26" t="s">
        <v>124</v>
      </c>
    </row>
    <row r="20" spans="1:12" ht="12" customHeight="1">
      <c r="A20" s="94"/>
      <c r="B20" s="9"/>
      <c r="C20" s="100"/>
      <c r="D20" s="101"/>
      <c r="E20" s="12"/>
      <c r="F20" s="26" t="s">
        <v>135</v>
      </c>
    </row>
    <row r="21" spans="1:12" ht="16.5" customHeight="1">
      <c r="A21" s="94"/>
      <c r="B21" s="9"/>
      <c r="C21" s="65" t="s">
        <v>15</v>
      </c>
      <c r="D21" s="12">
        <f>240000*12</f>
        <v>2880000</v>
      </c>
      <c r="E21" s="12"/>
      <c r="F21" s="26" t="s">
        <v>136</v>
      </c>
    </row>
    <row r="22" spans="1:12" ht="16.5" customHeight="1">
      <c r="A22" s="94"/>
      <c r="B22" s="9"/>
      <c r="C22" s="65" t="s">
        <v>16</v>
      </c>
      <c r="D22" s="12">
        <v>100000</v>
      </c>
      <c r="E22" s="29"/>
      <c r="F22" s="26" t="s">
        <v>17</v>
      </c>
    </row>
    <row r="23" spans="1:12" ht="16.5" customHeight="1">
      <c r="A23" s="94"/>
      <c r="B23" s="9"/>
      <c r="C23" s="65" t="s">
        <v>18</v>
      </c>
      <c r="D23" s="12">
        <v>240000</v>
      </c>
      <c r="E23" s="29"/>
      <c r="F23" s="26" t="s">
        <v>125</v>
      </c>
      <c r="L23" s="61"/>
    </row>
    <row r="24" spans="1:12" ht="16.5" customHeight="1">
      <c r="A24" s="94"/>
      <c r="B24" s="9"/>
      <c r="C24" s="65" t="s">
        <v>19</v>
      </c>
      <c r="D24" s="12">
        <v>3600000</v>
      </c>
      <c r="E24" s="29"/>
      <c r="F24" s="26" t="s">
        <v>126</v>
      </c>
    </row>
    <row r="25" spans="1:12" ht="16.5" customHeight="1">
      <c r="A25" s="94"/>
      <c r="B25" s="9"/>
      <c r="C25" s="65" t="s">
        <v>20</v>
      </c>
      <c r="D25" s="12">
        <v>200000</v>
      </c>
      <c r="E25" s="29"/>
      <c r="F25" s="26" t="s">
        <v>21</v>
      </c>
    </row>
    <row r="26" spans="1:12" ht="16.5" customHeight="1">
      <c r="A26" s="94"/>
      <c r="B26" s="9"/>
      <c r="C26" s="65" t="s">
        <v>22</v>
      </c>
      <c r="D26" s="12">
        <v>1200000</v>
      </c>
      <c r="E26" s="29"/>
      <c r="F26" s="26" t="s">
        <v>127</v>
      </c>
    </row>
    <row r="27" spans="1:12" ht="16.5" customHeight="1">
      <c r="A27" s="94"/>
      <c r="B27" s="9"/>
      <c r="C27" s="65" t="s">
        <v>23</v>
      </c>
      <c r="D27" s="12">
        <v>240000</v>
      </c>
      <c r="E27" s="29"/>
      <c r="F27" s="26" t="s">
        <v>128</v>
      </c>
    </row>
    <row r="28" spans="1:12" ht="16.5" customHeight="1">
      <c r="A28" s="94"/>
      <c r="B28" s="9"/>
      <c r="C28" s="65" t="s">
        <v>24</v>
      </c>
      <c r="D28" s="12">
        <v>120000</v>
      </c>
      <c r="E28" s="29"/>
      <c r="F28" s="26" t="s">
        <v>129</v>
      </c>
    </row>
    <row r="29" spans="1:12" ht="16.5" customHeight="1">
      <c r="A29" s="94"/>
      <c r="B29" s="9"/>
      <c r="C29" s="65" t="s">
        <v>25</v>
      </c>
      <c r="D29" s="12">
        <v>120000</v>
      </c>
      <c r="E29" s="29"/>
      <c r="F29" s="26" t="s">
        <v>130</v>
      </c>
    </row>
    <row r="30" spans="1:12" ht="16.5" customHeight="1">
      <c r="A30" s="94"/>
      <c r="B30" s="9"/>
      <c r="C30" s="65" t="s">
        <v>26</v>
      </c>
      <c r="D30" s="12">
        <v>240000</v>
      </c>
      <c r="E30" s="29"/>
      <c r="F30" s="30" t="s">
        <v>131</v>
      </c>
    </row>
    <row r="31" spans="1:12" ht="16.5" customHeight="1">
      <c r="A31" s="94"/>
      <c r="B31" s="9"/>
      <c r="C31" s="65" t="s">
        <v>27</v>
      </c>
      <c r="D31" s="12">
        <v>120000</v>
      </c>
      <c r="E31" s="29"/>
      <c r="F31" s="30" t="s">
        <v>132</v>
      </c>
    </row>
    <row r="32" spans="1:12" ht="16.5" customHeight="1">
      <c r="A32" s="94"/>
      <c r="B32" s="9"/>
      <c r="C32" s="65"/>
      <c r="D32" s="12"/>
      <c r="E32" s="29"/>
      <c r="F32" s="30"/>
    </row>
    <row r="33" spans="1:16" ht="16.5" customHeight="1" thickBot="1">
      <c r="A33" s="94"/>
      <c r="B33" s="9"/>
      <c r="C33" s="10" t="s">
        <v>9</v>
      </c>
      <c r="D33" s="12"/>
      <c r="E33" s="14">
        <f>SUM(D19:D31)</f>
        <v>23460000</v>
      </c>
      <c r="F33" s="30"/>
    </row>
    <row r="34" spans="1:16" ht="16.5" customHeight="1" thickTop="1">
      <c r="A34" s="94"/>
      <c r="B34" s="9"/>
      <c r="C34" s="65"/>
      <c r="D34" s="12"/>
      <c r="E34" s="18"/>
      <c r="F34" s="30"/>
    </row>
    <row r="35" spans="1:16" ht="16.5" customHeight="1">
      <c r="A35" s="95"/>
      <c r="B35" s="15"/>
      <c r="C35" s="31" t="s">
        <v>28</v>
      </c>
      <c r="D35" s="23"/>
      <c r="E35" s="32">
        <f>E17-E33</f>
        <v>6024000</v>
      </c>
      <c r="F35" s="33"/>
    </row>
    <row r="36" spans="1:16" ht="16.5" customHeight="1">
      <c r="P36" s="60"/>
    </row>
    <row r="37" spans="1:16" ht="16.5" customHeight="1">
      <c r="P37" s="60"/>
    </row>
  </sheetData>
  <mergeCells count="8">
    <mergeCell ref="B14:C15"/>
    <mergeCell ref="B1:F1"/>
    <mergeCell ref="B2:F2"/>
    <mergeCell ref="B3:C3"/>
    <mergeCell ref="A4:A13"/>
    <mergeCell ref="A14:A35"/>
    <mergeCell ref="C19:C20"/>
    <mergeCell ref="D19:D20"/>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C34" sqref="C34"/>
    </sheetView>
  </sheetViews>
  <sheetFormatPr defaultRowHeight="13.5"/>
  <cols>
    <col min="1" max="1" width="30.125" customWidth="1"/>
    <col min="2" max="4" width="19.125" style="35" customWidth="1"/>
    <col min="5" max="8" width="9" style="35"/>
  </cols>
  <sheetData>
    <row r="1" spans="1:4">
      <c r="A1" s="108" t="s">
        <v>29</v>
      </c>
      <c r="B1" s="108"/>
      <c r="C1" s="108"/>
      <c r="D1" s="108"/>
    </row>
    <row r="2" spans="1:4">
      <c r="A2" s="109">
        <v>42825</v>
      </c>
      <c r="B2" s="110"/>
      <c r="C2" s="110"/>
      <c r="D2" s="110"/>
    </row>
    <row r="3" spans="1:4">
      <c r="A3" s="36" t="s">
        <v>0</v>
      </c>
      <c r="B3" s="111" t="s">
        <v>30</v>
      </c>
      <c r="C3" s="112"/>
      <c r="D3" s="112"/>
    </row>
    <row r="4" spans="1:4">
      <c r="A4" s="29" t="s">
        <v>31</v>
      </c>
      <c r="B4" s="7"/>
      <c r="C4" s="7"/>
      <c r="D4" s="7"/>
    </row>
    <row r="5" spans="1:4">
      <c r="A5" s="37" t="s">
        <v>32</v>
      </c>
      <c r="B5" s="12"/>
      <c r="C5" s="12"/>
      <c r="D5" s="12"/>
    </row>
    <row r="6" spans="1:4">
      <c r="A6" s="38" t="s">
        <v>33</v>
      </c>
      <c r="B6" s="12">
        <v>521000</v>
      </c>
      <c r="C6" s="12"/>
      <c r="D6" s="12"/>
    </row>
    <row r="7" spans="1:4">
      <c r="A7" s="38" t="s">
        <v>34</v>
      </c>
      <c r="B7" s="12">
        <f>SUM(B6:B6)</f>
        <v>521000</v>
      </c>
      <c r="C7" s="12">
        <f>SUM(B6:B6)</f>
        <v>521000</v>
      </c>
      <c r="D7" s="12"/>
    </row>
    <row r="8" spans="1:4">
      <c r="A8" s="37" t="s">
        <v>35</v>
      </c>
      <c r="B8" s="12"/>
      <c r="C8" s="12"/>
      <c r="D8" s="12"/>
    </row>
    <row r="9" spans="1:4">
      <c r="A9" s="37" t="s">
        <v>36</v>
      </c>
      <c r="B9" s="12"/>
      <c r="C9" s="12"/>
      <c r="D9" s="12"/>
    </row>
    <row r="10" spans="1:4">
      <c r="A10" s="38" t="s">
        <v>37</v>
      </c>
      <c r="B10" s="12">
        <v>300000</v>
      </c>
      <c r="C10" s="12"/>
      <c r="D10" s="12"/>
    </row>
    <row r="11" spans="1:4">
      <c r="A11" s="38" t="s">
        <v>38</v>
      </c>
      <c r="B11" s="23"/>
      <c r="C11" s="12"/>
      <c r="D11" s="12"/>
    </row>
    <row r="12" spans="1:4">
      <c r="A12" s="38" t="s">
        <v>39</v>
      </c>
      <c r="B12" s="12">
        <f>SUM(B10:B11)</f>
        <v>300000</v>
      </c>
      <c r="C12" s="12"/>
      <c r="D12" s="12"/>
    </row>
    <row r="13" spans="1:4">
      <c r="A13" s="37" t="s">
        <v>40</v>
      </c>
      <c r="B13" s="12"/>
      <c r="C13" s="12"/>
      <c r="D13" s="12"/>
    </row>
    <row r="14" spans="1:4">
      <c r="A14" s="38" t="s">
        <v>41</v>
      </c>
      <c r="B14" s="23">
        <v>0</v>
      </c>
      <c r="C14" s="12"/>
      <c r="D14" s="12"/>
    </row>
    <row r="15" spans="1:4">
      <c r="A15" s="38" t="s">
        <v>42</v>
      </c>
      <c r="B15" s="12">
        <f>SUM(B14)</f>
        <v>0</v>
      </c>
      <c r="C15" s="12"/>
      <c r="D15" s="12"/>
    </row>
    <row r="16" spans="1:4">
      <c r="A16" s="37" t="s">
        <v>43</v>
      </c>
      <c r="B16" s="12"/>
      <c r="C16" s="12"/>
      <c r="D16" s="12"/>
    </row>
    <row r="17" spans="1:12">
      <c r="A17" s="38" t="s">
        <v>44</v>
      </c>
      <c r="B17" s="23">
        <v>0</v>
      </c>
      <c r="C17" s="12"/>
      <c r="D17" s="12"/>
    </row>
    <row r="18" spans="1:12">
      <c r="A18" s="38" t="s">
        <v>45</v>
      </c>
      <c r="B18" s="12">
        <f>B17</f>
        <v>0</v>
      </c>
      <c r="C18" s="12"/>
      <c r="D18" s="12"/>
    </row>
    <row r="19" spans="1:12">
      <c r="A19" s="37" t="s">
        <v>46</v>
      </c>
      <c r="B19" s="12"/>
      <c r="C19" s="23">
        <f>B12+B15+B17</f>
        <v>300000</v>
      </c>
      <c r="D19" s="12"/>
    </row>
    <row r="20" spans="1:12" ht="14.25" thickBot="1">
      <c r="A20" s="29" t="s">
        <v>47</v>
      </c>
      <c r="B20" s="12"/>
      <c r="C20" s="12"/>
      <c r="D20" s="39">
        <f>C7+C19</f>
        <v>821000</v>
      </c>
    </row>
    <row r="21" spans="1:12" ht="14.25"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50000</v>
      </c>
      <c r="C26" s="12"/>
      <c r="D26" s="12"/>
    </row>
    <row r="27" spans="1:12">
      <c r="A27" s="38" t="s">
        <v>53</v>
      </c>
      <c r="B27" s="12">
        <f>SUM(B24:B26)</f>
        <v>50000</v>
      </c>
      <c r="C27" s="12"/>
      <c r="D27" s="12"/>
    </row>
    <row r="28" spans="1:12">
      <c r="A28" s="37" t="s">
        <v>54</v>
      </c>
      <c r="B28" s="12"/>
      <c r="C28" s="12"/>
      <c r="D28" s="12"/>
    </row>
    <row r="29" spans="1:12">
      <c r="A29" s="38" t="s">
        <v>55</v>
      </c>
      <c r="B29" s="23"/>
      <c r="C29" s="12"/>
      <c r="D29" s="12"/>
    </row>
    <row r="30" spans="1:12">
      <c r="A30" s="38" t="s">
        <v>56</v>
      </c>
      <c r="B30" s="12">
        <f>SUM(B29)</f>
        <v>0</v>
      </c>
      <c r="C30" s="12"/>
      <c r="D30" s="12"/>
    </row>
    <row r="31" spans="1:12">
      <c r="A31" s="29" t="s">
        <v>57</v>
      </c>
      <c r="B31" s="12"/>
      <c r="C31" s="12"/>
      <c r="D31" s="12">
        <f>B27+B30</f>
        <v>50000</v>
      </c>
    </row>
    <row r="32" spans="1:12">
      <c r="A32" s="29" t="s">
        <v>58</v>
      </c>
      <c r="B32" s="12"/>
      <c r="C32" s="12"/>
      <c r="D32" s="12"/>
    </row>
    <row r="33" spans="1:17">
      <c r="A33" s="37" t="s">
        <v>59</v>
      </c>
      <c r="B33" s="12"/>
      <c r="C33" s="12">
        <v>0</v>
      </c>
      <c r="D33" s="12"/>
    </row>
    <row r="34" spans="1:17">
      <c r="A34" s="37" t="s">
        <v>60</v>
      </c>
      <c r="B34" s="12"/>
      <c r="C34" s="23">
        <f>平成28年度!E35</f>
        <v>771000</v>
      </c>
      <c r="D34" s="12"/>
    </row>
    <row r="35" spans="1:17">
      <c r="A35" s="37" t="s">
        <v>61</v>
      </c>
      <c r="B35" s="12"/>
      <c r="C35" s="12"/>
      <c r="D35" s="23">
        <f>SUM(C33:C34)</f>
        <v>771000</v>
      </c>
    </row>
    <row r="36" spans="1:17">
      <c r="A36" s="40" t="s">
        <v>62</v>
      </c>
      <c r="B36" s="23"/>
      <c r="C36" s="23"/>
      <c r="D36" s="23">
        <f>D31+D35</f>
        <v>821000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B7" sqref="B7"/>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108" t="s">
        <v>29</v>
      </c>
      <c r="B1" s="108"/>
      <c r="C1" s="108"/>
      <c r="D1" s="108"/>
    </row>
    <row r="2" spans="1:4">
      <c r="A2" s="109">
        <v>43190</v>
      </c>
      <c r="B2" s="110"/>
      <c r="C2" s="110"/>
      <c r="D2" s="110"/>
    </row>
    <row r="3" spans="1:4">
      <c r="A3" s="36" t="s">
        <v>0</v>
      </c>
      <c r="B3" s="111" t="s">
        <v>30</v>
      </c>
      <c r="C3" s="112"/>
      <c r="D3" s="112"/>
    </row>
    <row r="4" spans="1:4">
      <c r="A4" s="29" t="s">
        <v>31</v>
      </c>
      <c r="B4" s="7"/>
      <c r="C4" s="7"/>
      <c r="D4" s="7"/>
    </row>
    <row r="5" spans="1:4">
      <c r="A5" s="37" t="s">
        <v>32</v>
      </c>
      <c r="B5" s="12"/>
      <c r="C5" s="12"/>
      <c r="D5" s="12"/>
    </row>
    <row r="6" spans="1:4">
      <c r="A6" s="38" t="s">
        <v>33</v>
      </c>
      <c r="B6" s="12">
        <v>4861000</v>
      </c>
      <c r="C6" s="12"/>
      <c r="D6" s="12"/>
    </row>
    <row r="7" spans="1:4">
      <c r="A7" s="38" t="s">
        <v>34</v>
      </c>
      <c r="B7" s="12">
        <f>SUM(B6:B6)</f>
        <v>4861000</v>
      </c>
      <c r="C7" s="12">
        <f>SUM(B6:B6)</f>
        <v>4861000</v>
      </c>
      <c r="D7" s="12"/>
    </row>
    <row r="8" spans="1:4">
      <c r="A8" s="37" t="s">
        <v>35</v>
      </c>
      <c r="B8" s="12"/>
      <c r="C8" s="12"/>
      <c r="D8" s="12"/>
    </row>
    <row r="9" spans="1:4">
      <c r="A9" s="37" t="s">
        <v>36</v>
      </c>
      <c r="B9" s="12"/>
      <c r="C9" s="12"/>
      <c r="D9" s="12"/>
    </row>
    <row r="10" spans="1:4">
      <c r="A10" s="38" t="s">
        <v>37</v>
      </c>
      <c r="B10" s="12">
        <v>534000</v>
      </c>
      <c r="C10" s="12"/>
      <c r="D10" s="12"/>
    </row>
    <row r="11" spans="1:4">
      <c r="A11" s="38" t="s">
        <v>38</v>
      </c>
      <c r="B11" s="23">
        <v>1000000</v>
      </c>
      <c r="C11" s="12"/>
      <c r="D11" s="12"/>
    </row>
    <row r="12" spans="1:4">
      <c r="A12" s="38" t="s">
        <v>39</v>
      </c>
      <c r="B12" s="12">
        <f>SUM(B10:B11)</f>
        <v>1534000</v>
      </c>
      <c r="C12" s="12"/>
      <c r="D12" s="12"/>
    </row>
    <row r="13" spans="1:4">
      <c r="A13" s="37" t="s">
        <v>40</v>
      </c>
      <c r="B13" s="12"/>
      <c r="C13" s="12"/>
      <c r="D13" s="12"/>
    </row>
    <row r="14" spans="1:4">
      <c r="A14" s="38" t="s">
        <v>63</v>
      </c>
      <c r="B14" s="23">
        <v>300000</v>
      </c>
      <c r="C14" s="12"/>
      <c r="D14" s="12"/>
    </row>
    <row r="15" spans="1:4">
      <c r="A15" s="38" t="s">
        <v>42</v>
      </c>
      <c r="B15" s="12">
        <f>SUM(B14)</f>
        <v>300000</v>
      </c>
      <c r="C15" s="12"/>
      <c r="D15" s="12"/>
    </row>
    <row r="16" spans="1:4">
      <c r="A16" s="37" t="s">
        <v>43</v>
      </c>
      <c r="B16" s="12"/>
      <c r="C16" s="12"/>
      <c r="D16" s="12"/>
    </row>
    <row r="17" spans="1:12">
      <c r="A17" s="38" t="s">
        <v>44</v>
      </c>
      <c r="B17" s="23"/>
      <c r="C17" s="12"/>
      <c r="D17" s="12"/>
    </row>
    <row r="18" spans="1:12">
      <c r="A18" s="38" t="s">
        <v>45</v>
      </c>
      <c r="B18" s="12">
        <v>250000</v>
      </c>
      <c r="C18" s="12"/>
      <c r="D18" s="12"/>
    </row>
    <row r="19" spans="1:12">
      <c r="A19" s="37" t="s">
        <v>46</v>
      </c>
      <c r="B19" s="12"/>
      <c r="C19" s="23">
        <f>B12+B15+B18</f>
        <v>2084000</v>
      </c>
      <c r="D19" s="12"/>
    </row>
    <row r="20" spans="1:12" ht="14.25" thickBot="1">
      <c r="A20" s="29" t="s">
        <v>47</v>
      </c>
      <c r="B20" s="12"/>
      <c r="C20" s="12"/>
      <c r="D20" s="39">
        <f>C7+C19</f>
        <v>6945000</v>
      </c>
    </row>
    <row r="21" spans="1:12" ht="14.25"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150000</v>
      </c>
      <c r="C26" s="12"/>
      <c r="D26" s="12"/>
    </row>
    <row r="27" spans="1:12">
      <c r="A27" s="38" t="s">
        <v>53</v>
      </c>
      <c r="B27" s="12">
        <f>SUM(B24:B26)</f>
        <v>150000</v>
      </c>
      <c r="C27" s="12"/>
      <c r="D27" s="12"/>
    </row>
    <row r="28" spans="1:12">
      <c r="A28" s="37" t="s">
        <v>54</v>
      </c>
      <c r="B28" s="12"/>
      <c r="C28" s="12"/>
      <c r="D28" s="12"/>
    </row>
    <row r="29" spans="1:12">
      <c r="A29" s="38" t="s">
        <v>55</v>
      </c>
      <c r="B29" s="23">
        <v>0</v>
      </c>
      <c r="C29" s="12"/>
      <c r="D29" s="12"/>
    </row>
    <row r="30" spans="1:12">
      <c r="A30" s="38" t="s">
        <v>56</v>
      </c>
      <c r="B30" s="12">
        <f>SUM(B29)</f>
        <v>0</v>
      </c>
      <c r="C30" s="12"/>
      <c r="D30" s="12"/>
    </row>
    <row r="31" spans="1:12">
      <c r="A31" s="29" t="s">
        <v>57</v>
      </c>
      <c r="B31" s="12"/>
      <c r="C31" s="12"/>
      <c r="D31" s="12">
        <f>B27+B30</f>
        <v>150000</v>
      </c>
    </row>
    <row r="32" spans="1:12">
      <c r="A32" s="29" t="s">
        <v>58</v>
      </c>
      <c r="B32" s="12"/>
      <c r="C32" s="12"/>
      <c r="D32" s="12"/>
    </row>
    <row r="33" spans="1:17">
      <c r="A33" s="37" t="s">
        <v>59</v>
      </c>
      <c r="B33" s="12"/>
      <c r="C33" s="12">
        <f>ＰＬＨ26年度!C34</f>
        <v>771000</v>
      </c>
      <c r="D33" s="12"/>
    </row>
    <row r="34" spans="1:17">
      <c r="A34" s="37" t="s">
        <v>60</v>
      </c>
      <c r="B34" s="12"/>
      <c r="C34" s="23">
        <f>平成29年度!E35</f>
        <v>6024000</v>
      </c>
      <c r="D34" s="12"/>
    </row>
    <row r="35" spans="1:17">
      <c r="A35" s="37" t="s">
        <v>61</v>
      </c>
      <c r="B35" s="12"/>
      <c r="C35" s="12"/>
      <c r="D35" s="23">
        <f>SUM(C33:C34)</f>
        <v>6795000</v>
      </c>
    </row>
    <row r="36" spans="1:17">
      <c r="A36" s="40" t="s">
        <v>62</v>
      </c>
      <c r="B36" s="23"/>
      <c r="C36" s="23"/>
      <c r="D36" s="23">
        <f>D31+D35</f>
        <v>6945000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事業計画書</vt:lpstr>
      <vt:lpstr>財産目録</vt:lpstr>
      <vt:lpstr>平成28年度</vt:lpstr>
      <vt:lpstr>平成29年度</vt:lpstr>
      <vt:lpstr>ＰＬＨ26年度</vt:lpstr>
      <vt:lpstr>ＰＬＨ２７年度</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2016-08-11T00:26:02Z</cp:lastPrinted>
  <dcterms:created xsi:type="dcterms:W3CDTF">2014-03-29T00:07:08Z</dcterms:created>
  <dcterms:modified xsi:type="dcterms:W3CDTF">2016-10-25T10:30:20Z</dcterms:modified>
</cp:coreProperties>
</file>