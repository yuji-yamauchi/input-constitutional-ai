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Users\user\Desktop\多機能申請\"/>
    </mc:Choice>
  </mc:AlternateContent>
  <xr:revisionPtr revIDLastSave="0" documentId="8_{0B4B74D2-FF48-448B-AD56-ECC23823604B}" xr6:coauthVersionLast="36" xr6:coauthVersionMax="36" xr10:uidLastSave="{00000000-0000-0000-0000-000000000000}"/>
  <bookViews>
    <workbookView xWindow="0" yWindow="0" windowWidth="28800" windowHeight="12135" xr2:uid="{732CCE9A-49FD-4841-8E06-25C326691089}"/>
  </bookViews>
  <sheets>
    <sheet name="21勤務形態一覧(就労継続支援Ｂ型)（半日勤務）" sheetId="1" r:id="rId1"/>
    <sheet name="21勤務形態一覧(移行支援2)（半日勤務）" sheetId="2" r:id="rId2"/>
  </sheets>
  <definedNames>
    <definedName name="_xlnm.Print_Area" localSheetId="1">'21勤務形態一覧(移行支援2)（半日勤務）'!$A$1:$BF$36</definedName>
    <definedName name="_xlnm.Print_Area" localSheetId="0">'21勤務形態一覧(就労継続支援Ｂ型)（半日勤務）'!$A$1:$BF$36</definedName>
  </definedNames>
  <calcPr calcId="1790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AU22" i="2" l="1"/>
  <c r="AU21" i="2"/>
  <c r="BD14" i="2" s="1"/>
  <c r="BA16" i="2"/>
  <c r="BD16" i="2" s="1"/>
  <c r="AU14" i="2"/>
  <c r="AX14" i="2" s="1"/>
  <c r="BA11" i="2"/>
  <c r="AX11" i="2"/>
  <c r="AU11" i="2"/>
  <c r="BA10" i="2"/>
  <c r="AX10" i="2"/>
  <c r="AU10" i="2"/>
  <c r="BU8" i="2"/>
  <c r="AU22" i="1"/>
  <c r="AU21" i="1"/>
  <c r="BD13" i="1" s="1"/>
  <c r="BT14" i="1"/>
  <c r="AU14" i="1"/>
  <c r="AX14" i="1" s="1"/>
  <c r="BA14" i="1" s="1"/>
  <c r="BA11" i="1"/>
  <c r="BD11" i="1" s="1"/>
  <c r="AX11" i="1"/>
  <c r="AU11" i="1"/>
  <c r="BA10" i="1"/>
  <c r="AX10" i="1"/>
  <c r="AU10" i="1"/>
  <c r="BD10" i="1" l="1"/>
  <c r="BD10" i="2"/>
  <c r="BD14" i="1"/>
  <c r="BA16" i="1"/>
  <c r="BD16" i="1" s="1"/>
</calcChain>
</file>

<file path=xl/sharedStrings.xml><?xml version="1.0" encoding="utf-8"?>
<sst xmlns="http://schemas.openxmlformats.org/spreadsheetml/2006/main" count="358" uniqueCount="77">
  <si>
    <t>（別紙２－１）</t>
    <rPh sb="1" eb="3">
      <t>ベッシ</t>
    </rPh>
    <phoneticPr fontId="4"/>
  </si>
  <si>
    <t>従業者の勤務の体制及び勤務形態一覧表（平成３０年　１１月分）</t>
    <rPh sb="0" eb="3">
      <t>ジュウギョウシャ</t>
    </rPh>
    <rPh sb="4" eb="6">
      <t>キンム</t>
    </rPh>
    <rPh sb="7" eb="9">
      <t>タイセイ</t>
    </rPh>
    <rPh sb="9" eb="10">
      <t>オヨ</t>
    </rPh>
    <rPh sb="11" eb="13">
      <t>キンム</t>
    </rPh>
    <rPh sb="13" eb="15">
      <t>ケイタイ</t>
    </rPh>
    <rPh sb="15" eb="18">
      <t>イチランヒョウ</t>
    </rPh>
    <rPh sb="19" eb="21">
      <t>ヘイセイ</t>
    </rPh>
    <rPh sb="23" eb="24">
      <t>ネン</t>
    </rPh>
    <rPh sb="27" eb="28">
      <t>ガt</t>
    </rPh>
    <rPh sb="28" eb="29">
      <t>ブン</t>
    </rPh>
    <phoneticPr fontId="4"/>
  </si>
  <si>
    <t>サービス種類</t>
    <rPh sb="4" eb="6">
      <t>シュルイ</t>
    </rPh>
    <phoneticPr fontId="4"/>
  </si>
  <si>
    <t>就労継続支援B型</t>
    <rPh sb="0" eb="2">
      <t>シュウロウ</t>
    </rPh>
    <rPh sb="2" eb="4">
      <t>ケイゾク</t>
    </rPh>
    <rPh sb="4" eb="6">
      <t>シエン</t>
    </rPh>
    <rPh sb="7" eb="8">
      <t>ガタ</t>
    </rPh>
    <phoneticPr fontId="4"/>
  </si>
  <si>
    <t>事業所・施設名</t>
    <rPh sb="0" eb="3">
      <t>ジギョウショ</t>
    </rPh>
    <rPh sb="4" eb="6">
      <t>シセツ</t>
    </rPh>
    <rPh sb="6" eb="7">
      <t>メイ</t>
    </rPh>
    <phoneticPr fontId="4"/>
  </si>
  <si>
    <t>シェル</t>
    <phoneticPr fontId="4"/>
  </si>
  <si>
    <t>定員</t>
    <rPh sb="0" eb="2">
      <t>テイイン</t>
    </rPh>
    <phoneticPr fontId="4"/>
  </si>
  <si>
    <t>前年度の平均実利用者数</t>
    <rPh sb="0" eb="3">
      <t>ゼンネンド</t>
    </rPh>
    <rPh sb="4" eb="6">
      <t>ヘイキン</t>
    </rPh>
    <rPh sb="6" eb="10">
      <t>ジツリヨウシャ</t>
    </rPh>
    <rPh sb="10" eb="11">
      <t>スウ</t>
    </rPh>
    <phoneticPr fontId="4"/>
  </si>
  <si>
    <t>3.4（推定値）</t>
    <rPh sb="4" eb="8">
      <t>スイt</t>
    </rPh>
    <phoneticPr fontId="3"/>
  </si>
  <si>
    <t>基準上の必要職員数</t>
    <rPh sb="0" eb="2">
      <t>キジュン</t>
    </rPh>
    <rPh sb="2" eb="3">
      <t>ジョウ</t>
    </rPh>
    <rPh sb="4" eb="6">
      <t>ヒツヨウ</t>
    </rPh>
    <rPh sb="6" eb="9">
      <t>ショクインスウ</t>
    </rPh>
    <phoneticPr fontId="4"/>
  </si>
  <si>
    <t>（指定基準）0.34（報酬基準）0.45</t>
    <rPh sb="1" eb="6">
      <t>シテイキジュン</t>
    </rPh>
    <rPh sb="11" eb="16">
      <t>ホウシュウキジュン</t>
    </rPh>
    <phoneticPr fontId="3"/>
  </si>
  <si>
    <t>人員配置区分</t>
    <rPh sb="0" eb="2">
      <t>ジンイン</t>
    </rPh>
    <rPh sb="2" eb="4">
      <t>ハイチ</t>
    </rPh>
    <rPh sb="4" eb="6">
      <t>クブン</t>
    </rPh>
    <phoneticPr fontId="4"/>
  </si>
  <si>
    <r>
      <t>就労継続支援</t>
    </r>
    <r>
      <rPr>
        <sz val="12"/>
        <rFont val="ヒラギノ丸ゴ ProN W4"/>
        <family val="1"/>
        <charset val="128"/>
      </rPr>
      <t>Ｂ型サービス費Ⅰ（7:5:1）</t>
    </r>
    <rPh sb="0" eb="6">
      <t>シュウロ</t>
    </rPh>
    <rPh sb="7" eb="8">
      <t>ガタ</t>
    </rPh>
    <rPh sb="12" eb="13">
      <t>ヒ</t>
    </rPh>
    <phoneticPr fontId="3"/>
  </si>
  <si>
    <t>該当する体制等</t>
    <rPh sb="0" eb="2">
      <t>ガイトウ</t>
    </rPh>
    <rPh sb="4" eb="6">
      <t>タイセイ</t>
    </rPh>
    <rPh sb="6" eb="7">
      <t>トウ</t>
    </rPh>
    <phoneticPr fontId="4"/>
  </si>
  <si>
    <t>送迎加算Ⅱ、</t>
    <rPh sb="0" eb="4">
      <t>ソウゲイカサン</t>
    </rPh>
    <phoneticPr fontId="3"/>
  </si>
  <si>
    <t>職種</t>
    <rPh sb="0" eb="2">
      <t>ショクシュ</t>
    </rPh>
    <phoneticPr fontId="4"/>
  </si>
  <si>
    <t>勤務形態</t>
    <rPh sb="0" eb="2">
      <t>キンム</t>
    </rPh>
    <rPh sb="2" eb="4">
      <t>ケイタイ</t>
    </rPh>
    <phoneticPr fontId="4"/>
  </si>
  <si>
    <t>氏名</t>
    <rPh sb="0" eb="2">
      <t>シメイ</t>
    </rPh>
    <phoneticPr fontId="4"/>
  </si>
  <si>
    <t>第１週</t>
    <rPh sb="0" eb="1">
      <t>ダイ</t>
    </rPh>
    <rPh sb="2" eb="3">
      <t>シュウ</t>
    </rPh>
    <phoneticPr fontId="4"/>
  </si>
  <si>
    <t>第２週</t>
    <rPh sb="0" eb="1">
      <t>ダイ</t>
    </rPh>
    <rPh sb="2" eb="3">
      <t>シュウ</t>
    </rPh>
    <phoneticPr fontId="4"/>
  </si>
  <si>
    <t>第３週</t>
    <rPh sb="0" eb="1">
      <t>ダイ</t>
    </rPh>
    <rPh sb="2" eb="3">
      <t>シュウ</t>
    </rPh>
    <phoneticPr fontId="4"/>
  </si>
  <si>
    <t>第４週</t>
    <rPh sb="0" eb="1">
      <t>ダイ</t>
    </rPh>
    <rPh sb="2" eb="3">
      <t>シュウ</t>
    </rPh>
    <phoneticPr fontId="4"/>
  </si>
  <si>
    <t>4週の合計
ａ</t>
    <rPh sb="1" eb="2">
      <t>シュウ</t>
    </rPh>
    <rPh sb="3" eb="5">
      <t>ゴウケイ</t>
    </rPh>
    <phoneticPr fontId="4"/>
  </si>
  <si>
    <t>週平均の勤務時間
ｂ</t>
    <rPh sb="0" eb="3">
      <t>シュウヘイキン</t>
    </rPh>
    <rPh sb="4" eb="6">
      <t>キンム</t>
    </rPh>
    <rPh sb="6" eb="8">
      <t>ジカン</t>
    </rPh>
    <phoneticPr fontId="4"/>
  </si>
  <si>
    <t>週の勤務延べ時間数
ｄ</t>
    <rPh sb="0" eb="1">
      <t>シュウ</t>
    </rPh>
    <rPh sb="2" eb="4">
      <t>キンム</t>
    </rPh>
    <rPh sb="4" eb="5">
      <t>ノ</t>
    </rPh>
    <rPh sb="6" eb="9">
      <t>ジカンスウ</t>
    </rPh>
    <phoneticPr fontId="4"/>
  </si>
  <si>
    <t>常勤換算後の人数
ｅ</t>
    <rPh sb="0" eb="2">
      <t>ジョウキン</t>
    </rPh>
    <rPh sb="2" eb="4">
      <t>カンザン</t>
    </rPh>
    <rPh sb="4" eb="5">
      <t>ゴ</t>
    </rPh>
    <rPh sb="6" eb="8">
      <t>ニンズウ</t>
    </rPh>
    <phoneticPr fontId="4"/>
  </si>
  <si>
    <t>木</t>
    <rPh sb="0" eb="1">
      <t>モク</t>
    </rPh>
    <phoneticPr fontId="4"/>
  </si>
  <si>
    <t>金</t>
    <rPh sb="0" eb="1">
      <t>キン</t>
    </rPh>
    <phoneticPr fontId="4"/>
  </si>
  <si>
    <t>土</t>
  </si>
  <si>
    <t>日</t>
  </si>
  <si>
    <t>月</t>
  </si>
  <si>
    <t>火</t>
  </si>
  <si>
    <t>水</t>
  </si>
  <si>
    <t>木</t>
  </si>
  <si>
    <t>金</t>
  </si>
  <si>
    <t>管理者</t>
    <rPh sb="0" eb="3">
      <t>カンリシャ</t>
    </rPh>
    <phoneticPr fontId="4"/>
  </si>
  <si>
    <t>②</t>
    <phoneticPr fontId="4"/>
  </si>
  <si>
    <t>貝畑　明典</t>
    <rPh sb="0" eb="2">
      <t>カイハタ</t>
    </rPh>
    <rPh sb="3" eb="5">
      <t>アキノリ</t>
    </rPh>
    <phoneticPr fontId="3"/>
  </si>
  <si>
    <t>A</t>
    <phoneticPr fontId="4"/>
  </si>
  <si>
    <t>サービス管理責任者</t>
    <rPh sb="4" eb="6">
      <t>カンリ</t>
    </rPh>
    <rPh sb="6" eb="8">
      <t>セキニン</t>
    </rPh>
    <rPh sb="8" eb="9">
      <t>シャ</t>
    </rPh>
    <phoneticPr fontId="4"/>
  </si>
  <si>
    <t>永井　美幸</t>
    <rPh sb="0" eb="2">
      <t>ナガイ</t>
    </rPh>
    <rPh sb="3" eb="5">
      <t>ミユキ</t>
    </rPh>
    <phoneticPr fontId="4"/>
  </si>
  <si>
    <t>（常勤換算分）</t>
    <rPh sb="1" eb="3">
      <t>ジョウキン</t>
    </rPh>
    <rPh sb="3" eb="5">
      <t>カンサン</t>
    </rPh>
    <rPh sb="5" eb="6">
      <t>ブン</t>
    </rPh>
    <phoneticPr fontId="4"/>
  </si>
  <si>
    <t>職業指導員</t>
    <rPh sb="0" eb="2">
      <t>ショクギョウ</t>
    </rPh>
    <rPh sb="2" eb="5">
      <t>シドウイン</t>
    </rPh>
    <phoneticPr fontId="4"/>
  </si>
  <si>
    <t>生活支援員</t>
    <rPh sb="0" eb="2">
      <t>セイカツ</t>
    </rPh>
    <rPh sb="2" eb="4">
      <t>シエン</t>
    </rPh>
    <rPh sb="4" eb="5">
      <t>イン</t>
    </rPh>
    <phoneticPr fontId="4"/>
  </si>
  <si>
    <t>①</t>
    <phoneticPr fontId="4"/>
  </si>
  <si>
    <t>山内　ノリ子</t>
    <rPh sb="0" eb="2">
      <t>ヤマウチ</t>
    </rPh>
    <rPh sb="5" eb="6">
      <t>コ</t>
    </rPh>
    <phoneticPr fontId="4"/>
  </si>
  <si>
    <t>B</t>
    <phoneticPr fontId="4"/>
  </si>
  <si>
    <t>計</t>
    <rPh sb="0" eb="1">
      <t>ケイ</t>
    </rPh>
    <phoneticPr fontId="4"/>
  </si>
  <si>
    <t>（加算分）</t>
    <rPh sb="1" eb="4">
      <t>カサンブン</t>
    </rPh>
    <phoneticPr fontId="4"/>
  </si>
  <si>
    <t>当該事業所・施設における常勤職員が１週間に勤務すべき時間数ｃ</t>
    <rPh sb="0" eb="2">
      <t>トウガイ</t>
    </rPh>
    <rPh sb="2" eb="5">
      <t>ジギョウショ</t>
    </rPh>
    <rPh sb="6" eb="8">
      <t>シセツ</t>
    </rPh>
    <rPh sb="12" eb="14">
      <t>ジョウキン</t>
    </rPh>
    <rPh sb="14" eb="16">
      <t>ショクイン</t>
    </rPh>
    <rPh sb="18" eb="20">
      <t>シュウカン</t>
    </rPh>
    <rPh sb="21" eb="23">
      <t>キンム</t>
    </rPh>
    <rPh sb="26" eb="29">
      <t>ジカンスウ</t>
    </rPh>
    <phoneticPr fontId="4"/>
  </si>
  <si>
    <t>サービス提供時間</t>
    <rPh sb="4" eb="6">
      <t>テイキョウ</t>
    </rPh>
    <rPh sb="6" eb="8">
      <t>ジカン</t>
    </rPh>
    <phoneticPr fontId="4"/>
  </si>
  <si>
    <t>＜備考＞</t>
    <rPh sb="1" eb="3">
      <t>ビコウ</t>
    </rPh>
    <phoneticPr fontId="4"/>
  </si>
  <si>
    <t>勤務時間の区分</t>
    <phoneticPr fontId="4"/>
  </si>
  <si>
    <t xml:space="preserve">備考
</t>
    <rPh sb="0" eb="2">
      <t>ビコウ</t>
    </rPh>
    <phoneticPr fontId="4"/>
  </si>
  <si>
    <t>１　本表はサービスの種類ごとに作成してください。ただし、児童デイサービス事業については「別紙２－２」、居宅介護、重度訪問介護、行動援護については、「別紙２－３」へ
　記入してください。</t>
    <phoneticPr fontId="4"/>
  </si>
  <si>
    <t>２　＊欄は、当該月の曜日を記入してください。</t>
  </si>
  <si>
    <t>３　「人員配置区分」欄は、報酬算定上の区分を記載し、「該当する体制等」欄は、（別紙１）「介護給付費等の算定に係る体制等状況一覧表」に掲げる体制加算等の内容を記載し
　てください。</t>
    <phoneticPr fontId="4"/>
  </si>
  <si>
    <t>４　「職種」欄は、直接サービス提供職員に係る職種を記載し、「勤務形態」欄は、①常勤・専従、②常勤・兼務、③非常勤・専従、④非常勤・兼務のいずれかを記載するととも
　に、加算等に係る職員の加配を区分した上、それぞれ1日あたりの勤務時間を記載してください。</t>
    <phoneticPr fontId="4"/>
  </si>
  <si>
    <t>６　常勤換算方法による員数の算定を要する職種について計算等は次のとおり行ってください。なお、算出に当たっては、小数点以下第２位を切り捨ててください。</t>
    <rPh sb="2" eb="4">
      <t>ジョウキン</t>
    </rPh>
    <rPh sb="4" eb="6">
      <t>カンサン</t>
    </rPh>
    <rPh sb="6" eb="8">
      <t>ホウホウ</t>
    </rPh>
    <rPh sb="11" eb="13">
      <t>インスウ</t>
    </rPh>
    <rPh sb="14" eb="16">
      <t>サンテイ</t>
    </rPh>
    <rPh sb="17" eb="18">
      <t>ヨウ</t>
    </rPh>
    <rPh sb="20" eb="22">
      <t>ショクシュ</t>
    </rPh>
    <rPh sb="26" eb="28">
      <t>ケイサン</t>
    </rPh>
    <rPh sb="28" eb="29">
      <t>トウ</t>
    </rPh>
    <rPh sb="30" eb="31">
      <t>ツギ</t>
    </rPh>
    <rPh sb="35" eb="36">
      <t>オコナ</t>
    </rPh>
    <phoneticPr fontId="4"/>
  </si>
  <si>
    <t>ｂ＝ａ／４</t>
    <phoneticPr fontId="4"/>
  </si>
  <si>
    <t>ｄ＝（ｂ又はｃのいずれか少ない方の数）</t>
    <rPh sb="4" eb="5">
      <t>マタ</t>
    </rPh>
    <rPh sb="12" eb="13">
      <t>スク</t>
    </rPh>
    <rPh sb="15" eb="16">
      <t>ホウ</t>
    </rPh>
    <rPh sb="17" eb="18">
      <t>スウ</t>
    </rPh>
    <phoneticPr fontId="4"/>
  </si>
  <si>
    <t>ｅ＝ｄ／ｃ（ただし、基準上常勤換算が定められている場合は、該当する職種（群）ごとに算定すること）</t>
    <rPh sb="10" eb="12">
      <t>キジュン</t>
    </rPh>
    <rPh sb="12" eb="13">
      <t>ジョウ</t>
    </rPh>
    <rPh sb="13" eb="15">
      <t>ジョウキン</t>
    </rPh>
    <rPh sb="15" eb="17">
      <t>カンサン</t>
    </rPh>
    <rPh sb="18" eb="19">
      <t>サダ</t>
    </rPh>
    <rPh sb="25" eb="27">
      <t>バアイ</t>
    </rPh>
    <rPh sb="29" eb="31">
      <t>ガイトウ</t>
    </rPh>
    <rPh sb="33" eb="35">
      <t>ショクシュ</t>
    </rPh>
    <rPh sb="36" eb="37">
      <t>グン</t>
    </rPh>
    <rPh sb="41" eb="43">
      <t>サンテイ</t>
    </rPh>
    <phoneticPr fontId="4"/>
  </si>
  <si>
    <t>※基準上常勤換算が定められている職種群について、付表の常勤換算後の人数の合計と本表の人数が整合しない場合、端数調整により付表に記する人数を調整して、両数の
　整合を図ること。</t>
    <rPh sb="1" eb="3">
      <t>キジュン</t>
    </rPh>
    <rPh sb="3" eb="4">
      <t>ジョウ</t>
    </rPh>
    <rPh sb="4" eb="6">
      <t>ジョウキン</t>
    </rPh>
    <rPh sb="6" eb="8">
      <t>カンサン</t>
    </rPh>
    <rPh sb="9" eb="10">
      <t>サダ</t>
    </rPh>
    <rPh sb="16" eb="18">
      <t>ショクシュ</t>
    </rPh>
    <rPh sb="18" eb="19">
      <t>グン</t>
    </rPh>
    <rPh sb="24" eb="26">
      <t>フヒョウ</t>
    </rPh>
    <rPh sb="27" eb="29">
      <t>ジョウキン</t>
    </rPh>
    <rPh sb="29" eb="31">
      <t>カンサン</t>
    </rPh>
    <rPh sb="31" eb="32">
      <t>ゴ</t>
    </rPh>
    <rPh sb="33" eb="35">
      <t>ニンズウ</t>
    </rPh>
    <rPh sb="36" eb="38">
      <t>ゴウケイ</t>
    </rPh>
    <rPh sb="39" eb="40">
      <t>ホン</t>
    </rPh>
    <rPh sb="40" eb="41">
      <t>ヒョウ</t>
    </rPh>
    <rPh sb="42" eb="44">
      <t>ニンズウ</t>
    </rPh>
    <rPh sb="45" eb="47">
      <t>セイゴウ</t>
    </rPh>
    <rPh sb="50" eb="52">
      <t>バアイ</t>
    </rPh>
    <rPh sb="53" eb="55">
      <t>ハスウ</t>
    </rPh>
    <rPh sb="55" eb="57">
      <t>チョウセイ</t>
    </rPh>
    <rPh sb="60" eb="62">
      <t>フヒョウ</t>
    </rPh>
    <rPh sb="63" eb="64">
      <t>キ</t>
    </rPh>
    <rPh sb="66" eb="68">
      <t>ニンズウ</t>
    </rPh>
    <rPh sb="69" eb="71">
      <t>チョウセイ</t>
    </rPh>
    <rPh sb="74" eb="75">
      <t>リョウ</t>
    </rPh>
    <rPh sb="75" eb="76">
      <t>スウ</t>
    </rPh>
    <rPh sb="79" eb="81">
      <t>セイゴウ</t>
    </rPh>
    <rPh sb="82" eb="83">
      <t>ハカ</t>
    </rPh>
    <phoneticPr fontId="4"/>
  </si>
  <si>
    <t>７　当該事業所・施設に係る組織体制図を添付してください。</t>
    <phoneticPr fontId="4"/>
  </si>
  <si>
    <t>８　従業者が他事業所にも勤務している場合、それが分かるように組織体制図の名前の横に印を付するとともに、当該他事業所の「従業者の勤務体制及び勤務形態一覧表」も提出
　すること。（ただし、管理者が他事業所の管理者を兼務する場合は不要）</t>
    <rPh sb="2" eb="5">
      <t>ジュウギョウシャ</t>
    </rPh>
    <rPh sb="6" eb="7">
      <t>ホカ</t>
    </rPh>
    <rPh sb="7" eb="10">
      <t>ジギョウショ</t>
    </rPh>
    <rPh sb="12" eb="14">
      <t>キンム</t>
    </rPh>
    <rPh sb="18" eb="20">
      <t>バアイ</t>
    </rPh>
    <rPh sb="24" eb="25">
      <t>ワ</t>
    </rPh>
    <rPh sb="30" eb="32">
      <t>ソシキ</t>
    </rPh>
    <rPh sb="32" eb="34">
      <t>タイセイ</t>
    </rPh>
    <rPh sb="34" eb="35">
      <t>ズ</t>
    </rPh>
    <rPh sb="36" eb="38">
      <t>ナマエ</t>
    </rPh>
    <rPh sb="39" eb="40">
      <t>ヨコ</t>
    </rPh>
    <rPh sb="41" eb="42">
      <t>シルシ</t>
    </rPh>
    <rPh sb="43" eb="44">
      <t>フ</t>
    </rPh>
    <rPh sb="51" eb="53">
      <t>トウガイ</t>
    </rPh>
    <rPh sb="53" eb="54">
      <t>ホカ</t>
    </rPh>
    <rPh sb="54" eb="57">
      <t>ジギョウショ</t>
    </rPh>
    <rPh sb="59" eb="62">
      <t>ジュウギョウシャ</t>
    </rPh>
    <rPh sb="63" eb="65">
      <t>キンム</t>
    </rPh>
    <rPh sb="65" eb="67">
      <t>タイセイ</t>
    </rPh>
    <rPh sb="67" eb="68">
      <t>オヨ</t>
    </rPh>
    <rPh sb="69" eb="71">
      <t>キンム</t>
    </rPh>
    <rPh sb="71" eb="73">
      <t>ケイタイ</t>
    </rPh>
    <rPh sb="73" eb="75">
      <t>イチラン</t>
    </rPh>
    <rPh sb="75" eb="76">
      <t>ヒョウ</t>
    </rPh>
    <rPh sb="78" eb="80">
      <t>テイシュツ</t>
    </rPh>
    <rPh sb="92" eb="95">
      <t>カンリシャ</t>
    </rPh>
    <rPh sb="96" eb="97">
      <t>ホカ</t>
    </rPh>
    <rPh sb="97" eb="100">
      <t>ジギョウショ</t>
    </rPh>
    <rPh sb="101" eb="104">
      <t>カンリシャ</t>
    </rPh>
    <rPh sb="105" eb="107">
      <t>ケンム</t>
    </rPh>
    <rPh sb="109" eb="111">
      <t>バアイ</t>
    </rPh>
    <rPh sb="112" eb="114">
      <t>フヨウ</t>
    </rPh>
    <phoneticPr fontId="4"/>
  </si>
  <si>
    <t>９　各事業所・施設において使用している勤務割表等（変更の届出の場合は変更後の予定勤務割表等）により、届出の対象となる従業者の職種、勤務形態、氏名、当該業務の勤務
　時間及び看護職員と介護職員の配置状況（関係する場合）が確認できる場合はその書類をもって添付書類として差し支えありません。</t>
    <rPh sb="13" eb="15">
      <t>シヨウ</t>
    </rPh>
    <phoneticPr fontId="4"/>
  </si>
  <si>
    <t>就労移行支援</t>
    <rPh sb="0" eb="2">
      <t>シュウロウ</t>
    </rPh>
    <rPh sb="2" eb="4">
      <t>イコウ</t>
    </rPh>
    <rPh sb="4" eb="6">
      <t>シエン</t>
    </rPh>
    <phoneticPr fontId="4"/>
  </si>
  <si>
    <t>5.4 （推定値）</t>
    <rPh sb="5" eb="9">
      <t>スイt</t>
    </rPh>
    <phoneticPr fontId="3"/>
  </si>
  <si>
    <t>（指定基準）0.9（報酬基準）0.9</t>
    <rPh sb="1" eb="6">
      <t>シテイキジュン</t>
    </rPh>
    <rPh sb="10" eb="15">
      <t>ホウシュウキジュン</t>
    </rPh>
    <phoneticPr fontId="3"/>
  </si>
  <si>
    <t>➀</t>
    <phoneticPr fontId="4"/>
  </si>
  <si>
    <t>坂本　浩二</t>
    <rPh sb="0" eb="2">
      <t>サカモト</t>
    </rPh>
    <rPh sb="3" eb="5">
      <t>コウジ</t>
    </rPh>
    <phoneticPr fontId="4"/>
  </si>
  <si>
    <t>C</t>
    <phoneticPr fontId="4"/>
  </si>
  <si>
    <t>就労支援員</t>
    <rPh sb="0" eb="2">
      <t>シュウロウ</t>
    </rPh>
    <rPh sb="2" eb="4">
      <t>シエン</t>
    </rPh>
    <rPh sb="4" eb="5">
      <t>イン</t>
    </rPh>
    <phoneticPr fontId="4"/>
  </si>
  <si>
    <t>山内　雄司</t>
    <rPh sb="0" eb="2">
      <t>ヤマウチ</t>
    </rPh>
    <rPh sb="3" eb="4">
      <t>ユウ</t>
    </rPh>
    <rPh sb="4" eb="5">
      <t>ツカサ</t>
    </rPh>
    <phoneticPr fontId="4"/>
  </si>
  <si>
    <t>５　届出を行う従業者（管理者を含む）について、勤務時間に次の例のように記号を付し、各日の勤務実態に応じて記号を記入してください。なお、勤務時間の区分を「備考」欄に
　記入してください。ただし、勤務時間を区分し難い場合は勤務時間数を記入してください。
　　　※勤務時間の区分例　Ａ：8:45～16:00　6.5時間（４５分休憩）、Ｂ：8:45～12:15　3.5時間  C:13:00～16：00　3時間</t>
    <rPh sb="23" eb="25">
      <t>キンム</t>
    </rPh>
    <rPh sb="25" eb="27">
      <t>ジカン</t>
    </rPh>
    <rPh sb="28" eb="29">
      <t>ツギ</t>
    </rPh>
    <rPh sb="30" eb="31">
      <t>レイ</t>
    </rPh>
    <rPh sb="35" eb="37">
      <t>キゴウ</t>
    </rPh>
    <rPh sb="38" eb="39">
      <t>フ</t>
    </rPh>
    <rPh sb="41" eb="42">
      <t>カク</t>
    </rPh>
    <rPh sb="42" eb="43">
      <t>ヒ</t>
    </rPh>
    <rPh sb="44" eb="46">
      <t>キンム</t>
    </rPh>
    <rPh sb="46" eb="48">
      <t>ジッタイ</t>
    </rPh>
    <rPh sb="49" eb="50">
      <t>オウ</t>
    </rPh>
    <rPh sb="52" eb="54">
      <t>キゴウ</t>
    </rPh>
    <rPh sb="55" eb="57">
      <t>キニュウ</t>
    </rPh>
    <rPh sb="67" eb="69">
      <t>キンム</t>
    </rPh>
    <rPh sb="69" eb="71">
      <t>ジカン</t>
    </rPh>
    <rPh sb="72" eb="74">
      <t>クブン</t>
    </rPh>
    <rPh sb="76" eb="78">
      <t>ビコウ</t>
    </rPh>
    <rPh sb="79" eb="80">
      <t>ラン</t>
    </rPh>
    <rPh sb="83" eb="85">
      <t>キニュウ</t>
    </rPh>
    <rPh sb="96" eb="98">
      <t>キンム</t>
    </rPh>
    <rPh sb="98" eb="100">
      <t>ジカン</t>
    </rPh>
    <rPh sb="101" eb="103">
      <t>クブン</t>
    </rPh>
    <rPh sb="104" eb="105">
      <t>ガタ</t>
    </rPh>
    <rPh sb="106" eb="108">
      <t>バアイ</t>
    </rPh>
    <rPh sb="109" eb="111">
      <t>キンム</t>
    </rPh>
    <rPh sb="111" eb="114">
      <t>ジカンスウ</t>
    </rPh>
    <rPh sb="115" eb="117">
      <t>キニュウ</t>
    </rPh>
    <rPh sb="159" eb="160">
      <t>フン</t>
    </rPh>
    <rPh sb="160" eb="162">
      <t>キュウケイ</t>
    </rPh>
    <rPh sb="199" eb="201">
      <t>ジカン</t>
    </rPh>
    <phoneticPr fontId="4"/>
  </si>
  <si>
    <t>５　届出を行う従業者（管理者を含む）について、勤務時間に次の例のように記号を付し、各日の勤務実態に応じて記号を記入してください。なお、勤務時間の区分を「備考」欄に
　記入してください。ただし、勤務時間を区分し難い場合は勤務時間数を記入してください。
　　　※勤務時間の区分例　Ａ：8:45～16:00　6.5時間（４５分休憩）、Ｂ：8:45～12:15　3.5時間  C:13:00～16：00　3時間</t>
    <rPh sb="23" eb="25">
      <t>キンム</t>
    </rPh>
    <rPh sb="25" eb="27">
      <t>ジカン</t>
    </rPh>
    <rPh sb="28" eb="29">
      <t>ツギ</t>
    </rPh>
    <rPh sb="30" eb="31">
      <t>レイ</t>
    </rPh>
    <rPh sb="35" eb="37">
      <t>キゴウ</t>
    </rPh>
    <rPh sb="38" eb="39">
      <t>フ</t>
    </rPh>
    <rPh sb="41" eb="42">
      <t>カク</t>
    </rPh>
    <rPh sb="42" eb="43">
      <t>ヒ</t>
    </rPh>
    <rPh sb="44" eb="46">
      <t>キンム</t>
    </rPh>
    <rPh sb="46" eb="48">
      <t>ジッタイ</t>
    </rPh>
    <rPh sb="49" eb="50">
      <t>オウ</t>
    </rPh>
    <rPh sb="52" eb="54">
      <t>キゴウ</t>
    </rPh>
    <rPh sb="55" eb="57">
      <t>キニュウ</t>
    </rPh>
    <rPh sb="67" eb="69">
      <t>キンム</t>
    </rPh>
    <rPh sb="69" eb="71">
      <t>ジカン</t>
    </rPh>
    <rPh sb="72" eb="74">
      <t>クブン</t>
    </rPh>
    <rPh sb="76" eb="78">
      <t>ビコウ</t>
    </rPh>
    <rPh sb="79" eb="80">
      <t>ラン</t>
    </rPh>
    <rPh sb="83" eb="85">
      <t>キニュウ</t>
    </rPh>
    <rPh sb="96" eb="98">
      <t>キンム</t>
    </rPh>
    <rPh sb="98" eb="100">
      <t>ジカン</t>
    </rPh>
    <rPh sb="101" eb="103">
      <t>クブン</t>
    </rPh>
    <rPh sb="104" eb="105">
      <t>ガタ</t>
    </rPh>
    <rPh sb="106" eb="108">
      <t>バアイ</t>
    </rPh>
    <rPh sb="109" eb="111">
      <t>キンム</t>
    </rPh>
    <rPh sb="111" eb="114">
      <t>ジカンスウ</t>
    </rPh>
    <rPh sb="115" eb="117">
      <t>キニュウ</t>
    </rPh>
    <phoneticPr fontId="4"/>
  </si>
  <si>
    <t>営業日：月曜日から土曜日の指定する日（ただし、祝日、８月１３日〜１６日、１２月２９日〜１月４日を除く）　９時００分から１５時３０分
サービス提供時間：９時３０分から１５時３０分
勤務時間の区分:Ａ：8:45～16:00　6.5時間（４５分休憩）、Ｂ：8:45～12:15　3.5時間  C:13:00～16：00　3時間</t>
    <rPh sb="0" eb="2">
      <t>エイギョ</t>
    </rPh>
    <rPh sb="2" eb="3">
      <t>b</t>
    </rPh>
    <rPh sb="4" eb="7">
      <t>ゲツヨウ</t>
    </rPh>
    <rPh sb="9" eb="12">
      <t>ドヨ</t>
    </rPh>
    <rPh sb="13" eb="15">
      <t>シテイ</t>
    </rPh>
    <rPh sb="17" eb="18">
      <t>ヒ</t>
    </rPh>
    <rPh sb="23" eb="25">
      <t>シュk</t>
    </rPh>
    <rPh sb="27" eb="28">
      <t>ガt</t>
    </rPh>
    <rPh sb="30" eb="31">
      <t>ニch</t>
    </rPh>
    <rPh sb="34" eb="36">
      <t>ニch</t>
    </rPh>
    <rPh sb="38" eb="39">
      <t>ガt</t>
    </rPh>
    <rPh sb="41" eb="42">
      <t>ニch</t>
    </rPh>
    <rPh sb="44" eb="46">
      <t>ガt</t>
    </rPh>
    <rPh sb="46" eb="48">
      <t>ニch</t>
    </rPh>
    <rPh sb="48" eb="51">
      <t>ノゾk</t>
    </rPh>
    <rPh sb="53" eb="54">
      <t>ジ</t>
    </rPh>
    <rPh sb="56" eb="57">
      <t>フン</t>
    </rPh>
    <rPh sb="61" eb="62">
      <t>ジ</t>
    </rPh>
    <rPh sb="64" eb="65">
      <t>フン</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</si>
</sst>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
    <numFmt numFmtId="177" formatCode="0.0_ "/>
    <numFmt numFmtId="178" formatCode="0.00_ "/>
  </numFmts>
  <fonts count="10">
    <font>
      <sz val="11"/>
      <name val="ＭＳ Ｐゴシック"/>
      <family val="3"/>
      <charset val="128"/>
    </font>
    <font>
      <sz val="11"/>
      <name val="ＭＳ Ｐゴシック"/>
      <family val="3"/>
      <charset val="128"/>
    </font>
    <font>
      <sz val="12"/>
      <name val="ＭＳ 明朝"/>
      <family val="1"/>
      <charset val="128"/>
    </font>
    <font>
      <sz val="6"/>
      <name val="游ゴシック"/>
      <family val="2"/>
      <charset val="128"/>
      <scheme val="minor"/>
    </font>
    <font>
      <sz val="6"/>
      <name val="ＭＳ Ｐゴシック"/>
      <family val="3"/>
      <charset val="128"/>
    </font>
    <font>
      <sz val="16"/>
      <name val="ＭＳ ゴシック"/>
      <family val="3"/>
      <charset val="128"/>
    </font>
    <font>
      <sz val="14"/>
      <name val="ＭＳ 明朝"/>
      <family val="1"/>
      <charset val="128"/>
    </font>
    <font>
      <sz val="12"/>
      <name val="ヒラギノ丸ゴ ProN W4"/>
      <family val="1"/>
      <charset val="128"/>
    </font>
    <font>
      <sz val="11"/>
      <name val="ＭＳ 明朝"/>
      <family val="1"/>
      <charset val="128"/>
    </font>
    <font>
      <sz val="10"/>
      <name val="ＭＳ 明朝"/>
      <family val="1"/>
      <charset val="128"/>
    </font>
  </fonts>
  <fills count="2">
    <fill>
      <patternFill patternType="none"/>
    </fill>
    <fill>
      <patternFill patternType="gray125"/>
    </fill>
  </fills>
  <borders count="47">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diagonalUp="1">
      <left style="thin">
        <color indexed="64"/>
      </left>
      <right/>
      <top style="medium">
        <color indexed="64"/>
      </top>
      <bottom style="medium">
        <color indexed="64"/>
      </bottom>
      <diagonal style="thin">
        <color indexed="64"/>
      </diagonal>
    </border>
    <border diagonalUp="1">
      <left/>
      <right/>
      <top style="medium">
        <color indexed="64"/>
      </top>
      <bottom style="medium">
        <color indexed="64"/>
      </bottom>
      <diagonal style="thin">
        <color indexed="64"/>
      </diagonal>
    </border>
    <border diagonalUp="1">
      <left/>
      <right style="thin">
        <color indexed="64"/>
      </right>
      <top style="medium">
        <color indexed="64"/>
      </top>
      <bottom style="medium">
        <color indexed="64"/>
      </bottom>
      <diagonal style="thin">
        <color indexed="64"/>
      </diagonal>
    </border>
    <border diagonalUp="1">
      <left/>
      <right style="medium">
        <color indexed="64"/>
      </right>
      <top style="medium">
        <color indexed="64"/>
      </top>
      <bottom style="medium">
        <color indexed="64"/>
      </bottom>
      <diagonal style="thin">
        <color indexed="64"/>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alignment vertical="center"/>
    </xf>
  </cellStyleXfs>
  <cellXfs count="106">
    <xf numFmtId="0" fontId="0" fillId="0" borderId="0" xfId="0"/>
    <xf numFmtId="0" fontId="2" fillId="0" borderId="0" xfId="1" applyFont="1" applyAlignment="1">
      <alignment horizontal="left" vertical="center"/>
    </xf>
    <xf numFmtId="0" fontId="5" fillId="0" borderId="0" xfId="1" applyFont="1" applyAlignment="1">
      <alignment horizontal="left" vertical="center"/>
    </xf>
    <xf numFmtId="0" fontId="2" fillId="0" borderId="0" xfId="1" applyFont="1">
      <alignment vertical="center"/>
    </xf>
    <xf numFmtId="0" fontId="2" fillId="0" borderId="0" xfId="1" applyFont="1" applyAlignment="1">
      <alignment vertical="center"/>
    </xf>
    <xf numFmtId="0" fontId="2" fillId="0" borderId="21" xfId="1" applyFont="1" applyFill="1" applyBorder="1" applyAlignment="1">
      <alignment vertical="center" shrinkToFit="1"/>
    </xf>
    <xf numFmtId="0" fontId="2" fillId="0" borderId="22" xfId="1" applyFont="1" applyFill="1" applyBorder="1" applyAlignment="1">
      <alignment vertical="center" shrinkToFit="1"/>
    </xf>
    <xf numFmtId="0" fontId="2" fillId="0" borderId="24" xfId="1" applyFont="1" applyFill="1" applyBorder="1" applyAlignment="1">
      <alignment vertical="center" shrinkToFit="1"/>
    </xf>
    <xf numFmtId="0" fontId="2" fillId="0" borderId="25" xfId="1" applyFont="1" applyFill="1" applyBorder="1" applyAlignment="1">
      <alignment vertical="center" shrinkToFit="1"/>
    </xf>
    <xf numFmtId="0" fontId="2" fillId="0" borderId="21" xfId="1" applyFont="1" applyFill="1" applyBorder="1" applyAlignment="1">
      <alignment horizontal="center" vertical="center" shrinkToFit="1"/>
    </xf>
    <xf numFmtId="0" fontId="2" fillId="0" borderId="21" xfId="1" applyFont="1" applyFill="1" applyBorder="1" applyAlignment="1">
      <alignment horizontal="center" vertical="center"/>
    </xf>
    <xf numFmtId="0" fontId="2" fillId="0" borderId="31" xfId="1" applyFont="1" applyFill="1" applyBorder="1" applyAlignment="1">
      <alignment horizontal="center" vertical="center"/>
    </xf>
    <xf numFmtId="0" fontId="2" fillId="0" borderId="24" xfId="1" applyFont="1" applyFill="1" applyBorder="1" applyAlignment="1">
      <alignment horizontal="center" vertical="center"/>
    </xf>
    <xf numFmtId="0" fontId="2" fillId="0" borderId="22" xfId="1" applyFont="1" applyFill="1" applyBorder="1" applyAlignment="1">
      <alignment horizontal="center" vertical="center"/>
    </xf>
    <xf numFmtId="0" fontId="2" fillId="0" borderId="25" xfId="1" applyFont="1" applyFill="1" applyBorder="1" applyAlignment="1">
      <alignment horizontal="center" vertical="center"/>
    </xf>
    <xf numFmtId="0" fontId="2" fillId="0" borderId="4" xfId="1" applyFont="1" applyFill="1" applyBorder="1">
      <alignment vertical="center"/>
    </xf>
    <xf numFmtId="0" fontId="2" fillId="0" borderId="5" xfId="1" applyFont="1" applyFill="1" applyBorder="1">
      <alignment vertical="center"/>
    </xf>
    <xf numFmtId="0" fontId="2" fillId="0" borderId="6" xfId="1" applyFont="1" applyFill="1" applyBorder="1">
      <alignment vertical="center"/>
    </xf>
    <xf numFmtId="0" fontId="2" fillId="0" borderId="35" xfId="1" applyFont="1" applyFill="1" applyBorder="1">
      <alignment vertical="center"/>
    </xf>
    <xf numFmtId="0" fontId="8" fillId="0" borderId="40" xfId="0" applyFont="1" applyBorder="1" applyAlignment="1">
      <alignment vertical="center"/>
    </xf>
    <xf numFmtId="0" fontId="8" fillId="0" borderId="19" xfId="0" applyFont="1" applyBorder="1" applyAlignment="1">
      <alignment vertical="center"/>
    </xf>
    <xf numFmtId="0" fontId="8" fillId="0" borderId="41" xfId="0" applyFont="1" applyBorder="1" applyAlignment="1">
      <alignment vertical="center"/>
    </xf>
    <xf numFmtId="0" fontId="8" fillId="0" borderId="42" xfId="0" applyFont="1" applyBorder="1" applyAlignment="1">
      <alignment vertical="center"/>
    </xf>
    <xf numFmtId="0" fontId="8" fillId="0" borderId="0" xfId="0" applyFont="1" applyBorder="1" applyAlignment="1">
      <alignment vertical="center"/>
    </xf>
    <xf numFmtId="0" fontId="8" fillId="0" borderId="43" xfId="0" applyFont="1" applyBorder="1" applyAlignment="1">
      <alignment vertical="center"/>
    </xf>
    <xf numFmtId="0" fontId="8" fillId="0" borderId="44" xfId="0" applyFont="1" applyBorder="1" applyAlignment="1">
      <alignment vertical="center"/>
    </xf>
    <xf numFmtId="0" fontId="8" fillId="0" borderId="45" xfId="0" applyFont="1" applyBorder="1" applyAlignment="1">
      <alignment vertical="center"/>
    </xf>
    <xf numFmtId="0" fontId="8" fillId="0" borderId="46" xfId="0" applyFont="1" applyBorder="1" applyAlignment="1">
      <alignment vertical="center"/>
    </xf>
    <xf numFmtId="0" fontId="9" fillId="0" borderId="0" xfId="1" applyFont="1" applyAlignment="1">
      <alignment vertical="center"/>
    </xf>
    <xf numFmtId="0" fontId="9" fillId="0" borderId="0" xfId="1" applyFont="1" applyAlignment="1">
      <alignment vertical="center" wrapText="1" shrinkToFit="1"/>
    </xf>
    <xf numFmtId="0" fontId="9" fillId="0" borderId="0" xfId="1" applyFont="1" applyAlignment="1">
      <alignment vertical="center" wrapText="1"/>
    </xf>
    <xf numFmtId="0" fontId="9" fillId="0" borderId="0" xfId="1" applyFont="1" applyAlignment="1">
      <alignment horizontal="left" vertical="center"/>
    </xf>
    <xf numFmtId="0" fontId="2" fillId="0" borderId="0" xfId="1" applyFont="1" applyAlignment="1">
      <alignment vertical="center" textRotation="255" shrinkToFit="1"/>
    </xf>
    <xf numFmtId="0" fontId="9" fillId="0" borderId="0" xfId="1" applyFont="1" applyAlignment="1">
      <alignment horizontal="left" vertical="center"/>
    </xf>
    <xf numFmtId="0" fontId="9" fillId="0" borderId="0" xfId="1" applyFont="1" applyAlignment="1">
      <alignment horizontal="left" vertical="center" wrapText="1"/>
    </xf>
    <xf numFmtId="0" fontId="0" fillId="0" borderId="0" xfId="0" applyAlignment="1">
      <alignment horizontal="left" vertical="center" wrapText="1"/>
    </xf>
    <xf numFmtId="0" fontId="9" fillId="0" borderId="0" xfId="1" applyFont="1" applyAlignment="1">
      <alignment vertical="center" wrapText="1"/>
    </xf>
    <xf numFmtId="0" fontId="9" fillId="0" borderId="19" xfId="1" applyFont="1" applyBorder="1" applyAlignment="1">
      <alignment horizontal="center" vertical="center" wrapText="1"/>
    </xf>
    <xf numFmtId="0" fontId="9" fillId="0" borderId="19" xfId="1" applyFont="1" applyBorder="1" applyAlignment="1">
      <alignment horizontal="left" vertical="center" wrapText="1"/>
    </xf>
    <xf numFmtId="0" fontId="9" fillId="0" borderId="0" xfId="1" applyFont="1" applyAlignment="1">
      <alignment horizontal="left" vertical="center" wrapText="1" shrinkToFit="1"/>
    </xf>
    <xf numFmtId="177" fontId="2" fillId="0" borderId="23" xfId="1" applyNumberFormat="1" applyFont="1" applyFill="1" applyBorder="1" applyAlignment="1">
      <alignment horizontal="center" vertical="center"/>
    </xf>
    <xf numFmtId="177" fontId="2" fillId="0" borderId="32" xfId="1" applyNumberFormat="1" applyFont="1" applyFill="1" applyBorder="1" applyAlignment="1">
      <alignment horizontal="center" vertical="center"/>
    </xf>
    <xf numFmtId="177" fontId="2" fillId="0" borderId="33" xfId="1" applyNumberFormat="1" applyFont="1" applyFill="1" applyBorder="1" applyAlignment="1">
      <alignment horizontal="center" vertical="center"/>
    </xf>
    <xf numFmtId="0" fontId="2" fillId="0" borderId="34" xfId="1" applyFont="1" applyFill="1" applyBorder="1" applyAlignment="1">
      <alignment horizontal="right" vertical="center"/>
    </xf>
    <xf numFmtId="0" fontId="2" fillId="0" borderId="7" xfId="1" applyFont="1" applyFill="1" applyBorder="1" applyAlignment="1">
      <alignment horizontal="right" vertical="center"/>
    </xf>
    <xf numFmtId="0" fontId="2" fillId="0" borderId="9" xfId="1" applyFont="1" applyFill="1" applyBorder="1" applyAlignment="1">
      <alignment horizontal="right" vertical="center"/>
    </xf>
    <xf numFmtId="0" fontId="2" fillId="0" borderId="34" xfId="1" applyFont="1" applyFill="1" applyBorder="1" applyAlignment="1">
      <alignment horizontal="center" vertical="center"/>
    </xf>
    <xf numFmtId="0" fontId="2" fillId="0" borderId="7" xfId="1" applyFont="1" applyFill="1" applyBorder="1" applyAlignment="1">
      <alignment horizontal="center" vertical="center"/>
    </xf>
    <xf numFmtId="0" fontId="2" fillId="0" borderId="9" xfId="1" applyFont="1" applyFill="1" applyBorder="1" applyAlignment="1">
      <alignment horizontal="center" vertical="center"/>
    </xf>
    <xf numFmtId="0" fontId="2" fillId="0" borderId="4" xfId="1" applyFont="1" applyFill="1" applyBorder="1" applyAlignment="1">
      <alignment horizontal="center" vertical="center" shrinkToFit="1"/>
    </xf>
    <xf numFmtId="0" fontId="2" fillId="0" borderId="5" xfId="1" applyFont="1" applyFill="1" applyBorder="1" applyAlignment="1">
      <alignment horizontal="center" vertical="center" shrinkToFit="1"/>
    </xf>
    <xf numFmtId="0" fontId="2" fillId="0" borderId="6" xfId="1" applyFont="1" applyFill="1" applyBorder="1" applyAlignment="1">
      <alignment horizontal="center" vertical="center" shrinkToFit="1"/>
    </xf>
    <xf numFmtId="0" fontId="2" fillId="0" borderId="8" xfId="1" applyFont="1" applyFill="1" applyBorder="1" applyAlignment="1">
      <alignment horizontal="center" vertical="center"/>
    </xf>
    <xf numFmtId="0" fontId="2" fillId="0" borderId="36" xfId="1" applyFont="1" applyFill="1" applyBorder="1" applyAlignment="1">
      <alignment horizontal="center" vertical="center"/>
    </xf>
    <xf numFmtId="0" fontId="2" fillId="0" borderId="37" xfId="1" applyFont="1" applyFill="1" applyBorder="1" applyAlignment="1">
      <alignment horizontal="center" vertical="center"/>
    </xf>
    <xf numFmtId="0" fontId="2" fillId="0" borderId="38" xfId="1" applyFont="1" applyFill="1" applyBorder="1" applyAlignment="1">
      <alignment horizontal="center" vertical="center"/>
    </xf>
    <xf numFmtId="0" fontId="2" fillId="0" borderId="39" xfId="1" applyFont="1" applyFill="1" applyBorder="1" applyAlignment="1">
      <alignment horizontal="center" vertical="center"/>
    </xf>
    <xf numFmtId="0" fontId="2" fillId="0" borderId="21" xfId="1" applyFont="1" applyFill="1" applyBorder="1" applyAlignment="1">
      <alignment horizontal="center" vertical="center" shrinkToFit="1"/>
    </xf>
    <xf numFmtId="0" fontId="2" fillId="0" borderId="22" xfId="1" applyFont="1" applyFill="1" applyBorder="1" applyAlignment="1">
      <alignment horizontal="center" vertical="center" shrinkToFit="1"/>
    </xf>
    <xf numFmtId="0" fontId="2" fillId="0" borderId="22" xfId="1" applyFont="1" applyFill="1" applyBorder="1" applyAlignment="1">
      <alignment horizontal="center" vertical="center"/>
    </xf>
    <xf numFmtId="0" fontId="2" fillId="0" borderId="23" xfId="1" applyFont="1" applyFill="1" applyBorder="1" applyAlignment="1">
      <alignment horizontal="center" vertical="center"/>
    </xf>
    <xf numFmtId="0" fontId="2" fillId="0" borderId="32" xfId="1" applyFont="1" applyFill="1" applyBorder="1" applyAlignment="1">
      <alignment horizontal="center" vertical="center"/>
    </xf>
    <xf numFmtId="0" fontId="2" fillId="0" borderId="25" xfId="1" applyFont="1" applyFill="1" applyBorder="1" applyAlignment="1">
      <alignment horizontal="center" vertical="center"/>
    </xf>
    <xf numFmtId="177" fontId="2" fillId="0" borderId="25" xfId="1" applyNumberFormat="1" applyFont="1" applyFill="1" applyBorder="1" applyAlignment="1">
      <alignment horizontal="center" vertical="center"/>
    </xf>
    <xf numFmtId="178" fontId="2" fillId="0" borderId="23" xfId="1" applyNumberFormat="1" applyFont="1" applyFill="1" applyBorder="1" applyAlignment="1">
      <alignment horizontal="center" vertical="center"/>
    </xf>
    <xf numFmtId="178" fontId="2" fillId="0" borderId="32" xfId="1" applyNumberFormat="1" applyFont="1" applyFill="1" applyBorder="1" applyAlignment="1">
      <alignment horizontal="center" vertical="center"/>
    </xf>
    <xf numFmtId="178" fontId="2" fillId="0" borderId="25" xfId="1" applyNumberFormat="1" applyFont="1" applyFill="1" applyBorder="1" applyAlignment="1">
      <alignment horizontal="center" vertical="center"/>
    </xf>
    <xf numFmtId="0" fontId="2" fillId="0" borderId="13" xfId="1" applyFont="1" applyFill="1" applyBorder="1" applyAlignment="1">
      <alignment horizontal="center" vertical="center"/>
    </xf>
    <xf numFmtId="0" fontId="2" fillId="0" borderId="14" xfId="1" applyFont="1" applyFill="1" applyBorder="1" applyAlignment="1">
      <alignment horizontal="center" vertical="center"/>
    </xf>
    <xf numFmtId="0" fontId="2" fillId="0" borderId="16" xfId="1" applyFont="1" applyFill="1" applyBorder="1" applyAlignment="1">
      <alignment horizontal="center" vertical="center"/>
    </xf>
    <xf numFmtId="0" fontId="2" fillId="0" borderId="17" xfId="1" applyFont="1" applyFill="1" applyBorder="1" applyAlignment="1">
      <alignment horizontal="center" vertical="center"/>
    </xf>
    <xf numFmtId="0" fontId="2" fillId="0" borderId="17" xfId="1" applyFont="1" applyFill="1" applyBorder="1" applyAlignment="1">
      <alignment horizontal="center" vertical="center" wrapText="1"/>
    </xf>
    <xf numFmtId="0" fontId="2" fillId="0" borderId="14" xfId="1" applyFont="1" applyFill="1" applyBorder="1" applyAlignment="1">
      <alignment horizontal="center" vertical="center" wrapText="1"/>
    </xf>
    <xf numFmtId="0" fontId="2" fillId="0" borderId="25" xfId="1" applyFont="1" applyFill="1" applyBorder="1" applyAlignment="1">
      <alignment horizontal="center" vertical="center" wrapText="1"/>
    </xf>
    <xf numFmtId="0" fontId="2" fillId="0" borderId="22" xfId="1" applyFont="1" applyFill="1" applyBorder="1" applyAlignment="1">
      <alignment horizontal="center" vertical="center" wrapText="1"/>
    </xf>
    <xf numFmtId="0" fontId="2" fillId="0" borderId="18" xfId="1" applyFont="1" applyFill="1"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26" xfId="0" applyBorder="1" applyAlignment="1">
      <alignment horizontal="center" vertical="center" wrapText="1"/>
    </xf>
    <xf numFmtId="0" fontId="0" fillId="0" borderId="0" xfId="0"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2" fillId="0" borderId="16" xfId="1" applyFont="1" applyFill="1" applyBorder="1" applyAlignment="1">
      <alignment horizontal="center" vertical="center" wrapText="1"/>
    </xf>
    <xf numFmtId="0" fontId="2" fillId="0" borderId="24" xfId="1" applyFont="1" applyFill="1" applyBorder="1" applyAlignment="1">
      <alignment horizontal="center" vertical="center" wrapText="1"/>
    </xf>
    <xf numFmtId="176" fontId="2" fillId="0" borderId="6" xfId="1" applyNumberFormat="1" applyFont="1" applyFill="1" applyBorder="1" applyAlignment="1">
      <alignment horizontal="center" vertical="center"/>
    </xf>
    <xf numFmtId="176" fontId="2" fillId="0" borderId="7" xfId="1" applyNumberFormat="1" applyFont="1" applyFill="1" applyBorder="1" applyAlignment="1">
      <alignment horizontal="center" vertical="center"/>
    </xf>
    <xf numFmtId="176" fontId="2" fillId="0" borderId="9" xfId="1" applyNumberFormat="1" applyFont="1" applyFill="1" applyBorder="1" applyAlignment="1">
      <alignment horizontal="center" vertical="center"/>
    </xf>
    <xf numFmtId="0" fontId="2" fillId="0" borderId="10" xfId="1" applyFont="1" applyFill="1" applyBorder="1" applyAlignment="1">
      <alignment horizontal="center" vertical="center"/>
    </xf>
    <xf numFmtId="0" fontId="2" fillId="0" borderId="11" xfId="1" applyFont="1" applyFill="1" applyBorder="1" applyAlignment="1">
      <alignment horizontal="center" vertical="center"/>
    </xf>
    <xf numFmtId="0" fontId="2" fillId="0" borderId="7" xfId="1" applyFont="1" applyFill="1" applyBorder="1" applyAlignment="1">
      <alignment horizontal="center" vertical="center" shrinkToFit="1"/>
    </xf>
    <xf numFmtId="0" fontId="2" fillId="0" borderId="8" xfId="1" applyFont="1" applyFill="1" applyBorder="1" applyAlignment="1">
      <alignment horizontal="center" vertical="center" shrinkToFit="1"/>
    </xf>
    <xf numFmtId="0" fontId="2" fillId="0" borderId="12" xfId="1" applyFont="1" applyFill="1" applyBorder="1" applyAlignment="1">
      <alignment horizontal="center" vertical="center"/>
    </xf>
    <xf numFmtId="0" fontId="2" fillId="0" borderId="21" xfId="1" applyFont="1" applyFill="1" applyBorder="1" applyAlignment="1">
      <alignment horizontal="center" vertical="center"/>
    </xf>
    <xf numFmtId="0" fontId="2" fillId="0" borderId="15" xfId="1" applyFont="1" applyFill="1" applyBorder="1" applyAlignment="1">
      <alignment horizontal="center" vertical="center"/>
    </xf>
    <xf numFmtId="0" fontId="6" fillId="0" borderId="0" xfId="1" applyFont="1" applyAlignment="1">
      <alignment horizontal="center" vertical="center"/>
    </xf>
    <xf numFmtId="0" fontId="2" fillId="0" borderId="1" xfId="1" applyFont="1" applyFill="1" applyBorder="1" applyAlignment="1">
      <alignment horizontal="center" vertical="center"/>
    </xf>
    <xf numFmtId="0" fontId="2" fillId="0" borderId="2" xfId="1" applyFont="1" applyFill="1" applyBorder="1" applyAlignment="1">
      <alignment horizontal="center" vertical="center"/>
    </xf>
    <xf numFmtId="0" fontId="2" fillId="0" borderId="3" xfId="1" applyFont="1" applyFill="1" applyBorder="1" applyAlignment="1">
      <alignment horizontal="center" vertical="center"/>
    </xf>
    <xf numFmtId="0" fontId="2" fillId="0" borderId="4" xfId="1" applyFont="1" applyFill="1" applyBorder="1" applyAlignment="1">
      <alignment horizontal="center" vertical="center"/>
    </xf>
    <xf numFmtId="0" fontId="2" fillId="0" borderId="5" xfId="1" applyFont="1" applyFill="1" applyBorder="1" applyAlignment="1">
      <alignment horizontal="center" vertical="center"/>
    </xf>
    <xf numFmtId="0" fontId="2" fillId="0" borderId="6" xfId="1" applyFont="1" applyFill="1" applyBorder="1" applyAlignment="1">
      <alignment horizontal="center" vertical="center"/>
    </xf>
    <xf numFmtId="0" fontId="8" fillId="0" borderId="45" xfId="0" applyFont="1" applyBorder="1" applyAlignment="1">
      <alignment horizontal="left" vertical="top"/>
    </xf>
    <xf numFmtId="0" fontId="8" fillId="0" borderId="0" xfId="0" applyFont="1" applyBorder="1" applyAlignment="1">
      <alignment horizontal="left" vertical="top"/>
    </xf>
    <xf numFmtId="0" fontId="8" fillId="0" borderId="0" xfId="0" applyFont="1" applyBorder="1" applyAlignment="1">
      <alignment horizontal="left" vertical="top" wrapText="1"/>
    </xf>
  </cellXfs>
  <cellStyles count="2">
    <cellStyle name="標準" xfId="0" builtinId="0"/>
    <cellStyle name="標準_③-２加算様式（就労）" xfId="1" xr:uid="{7BF47577-3FBE-4D14-93DD-6B42109A73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D42A9-AF71-475A-97BC-4624F0406F85}">
  <sheetPr>
    <tabColor rgb="FF00B0F0"/>
    <pageSetUpPr fitToPage="1"/>
  </sheetPr>
  <dimension ref="A1:BT36"/>
  <sheetViews>
    <sheetView showGridLines="0" tabSelected="1" view="pageBreakPreview" zoomScale="85" zoomScaleNormal="70" zoomScaleSheetLayoutView="85" zoomScalePageLayoutView="70" workbookViewId="0">
      <selection activeCell="C29" sqref="C29:BF29"/>
    </sheetView>
  </sheetViews>
  <sheetFormatPr defaultColWidth="8.875" defaultRowHeight="21" customHeight="1"/>
  <cols>
    <col min="1" max="4" width="2.75" style="32" customWidth="1"/>
    <col min="5" max="18" width="2.75" style="3" customWidth="1"/>
    <col min="19" max="46" width="2.875" style="3" customWidth="1"/>
    <col min="47" max="71" width="2.75" style="3" customWidth="1"/>
    <col min="72" max="16384" width="8.875" style="3"/>
  </cols>
  <sheetData>
    <row r="1" spans="1:72" ht="21" customHeight="1">
      <c r="A1" s="1" t="s">
        <v>0</v>
      </c>
      <c r="B1" s="1"/>
      <c r="C1" s="1"/>
      <c r="D1" s="1"/>
      <c r="E1" s="1"/>
      <c r="F1" s="1"/>
      <c r="G1" s="1"/>
      <c r="H1" s="1"/>
      <c r="I1" s="1"/>
      <c r="J1" s="1"/>
      <c r="K1" s="1"/>
      <c r="L1" s="1"/>
      <c r="M1" s="1"/>
      <c r="N1" s="1"/>
      <c r="O1" s="1"/>
      <c r="P1" s="1"/>
      <c r="Q1" s="1"/>
      <c r="R1" s="1"/>
      <c r="S1" s="1"/>
      <c r="T1" s="1"/>
      <c r="U1" s="1"/>
      <c r="V1" s="1"/>
      <c r="W1" s="1"/>
      <c r="X1" s="1"/>
      <c r="Y1" s="1"/>
      <c r="Z1" s="2"/>
      <c r="AA1" s="1"/>
      <c r="AB1" s="1"/>
      <c r="AC1" s="1"/>
      <c r="AD1" s="1"/>
      <c r="AE1" s="1"/>
      <c r="AF1" s="1"/>
      <c r="AG1" s="1"/>
      <c r="AH1" s="1"/>
      <c r="AI1" s="1"/>
      <c r="AJ1" s="1"/>
      <c r="AK1" s="1"/>
      <c r="AL1" s="1"/>
      <c r="AM1" s="1"/>
      <c r="AN1" s="1"/>
      <c r="AO1" s="1"/>
      <c r="AP1" s="1"/>
      <c r="AQ1" s="1"/>
      <c r="AR1" s="1"/>
      <c r="AS1" s="1"/>
      <c r="AT1" s="1"/>
      <c r="AU1" s="1"/>
      <c r="AV1" s="1"/>
      <c r="AW1" s="1"/>
    </row>
    <row r="2" spans="1:72" ht="21" customHeight="1">
      <c r="A2" s="96" t="s">
        <v>1</v>
      </c>
      <c r="B2" s="96"/>
      <c r="C2" s="96"/>
      <c r="D2" s="96"/>
      <c r="E2" s="96"/>
      <c r="F2" s="96"/>
      <c r="G2" s="96"/>
      <c r="H2" s="96"/>
      <c r="I2" s="96"/>
      <c r="J2" s="96"/>
      <c r="K2" s="96"/>
      <c r="L2" s="96"/>
      <c r="M2" s="96"/>
      <c r="N2" s="96"/>
      <c r="O2" s="96"/>
      <c r="P2" s="96"/>
      <c r="Q2" s="96"/>
      <c r="R2" s="96"/>
      <c r="S2" s="96"/>
      <c r="T2" s="96"/>
      <c r="U2" s="96"/>
      <c r="V2" s="96"/>
      <c r="W2" s="96"/>
      <c r="X2" s="96"/>
      <c r="Y2" s="96"/>
      <c r="Z2" s="96"/>
      <c r="AA2" s="96"/>
      <c r="AB2" s="96"/>
      <c r="AC2" s="96"/>
      <c r="AD2" s="96"/>
      <c r="AE2" s="96"/>
      <c r="AF2" s="96"/>
      <c r="AG2" s="96"/>
      <c r="AH2" s="96"/>
      <c r="AI2" s="96"/>
      <c r="AJ2" s="96"/>
      <c r="AK2" s="96"/>
      <c r="AL2" s="96"/>
      <c r="AM2" s="96"/>
      <c r="AN2" s="96"/>
      <c r="AO2" s="96"/>
      <c r="AP2" s="96"/>
      <c r="AQ2" s="96"/>
      <c r="AR2" s="96"/>
      <c r="AS2" s="96"/>
      <c r="AT2" s="96"/>
      <c r="AU2" s="96"/>
      <c r="AV2" s="96"/>
      <c r="AW2" s="96"/>
      <c r="AX2" s="96"/>
      <c r="AY2" s="96"/>
      <c r="AZ2" s="96"/>
      <c r="BA2" s="96"/>
      <c r="BB2" s="96"/>
      <c r="BC2" s="96"/>
      <c r="BD2" s="96"/>
      <c r="BE2" s="96"/>
      <c r="BF2" s="96"/>
    </row>
    <row r="3" spans="1:72" ht="9.75" customHeight="1" thickBot="1">
      <c r="A3" s="4"/>
      <c r="B3" s="4"/>
      <c r="C3" s="4"/>
      <c r="D3" s="4"/>
      <c r="E3" s="4"/>
    </row>
    <row r="4" spans="1:72" ht="21" customHeight="1" thickBot="1">
      <c r="A4" s="97" t="s">
        <v>2</v>
      </c>
      <c r="B4" s="98"/>
      <c r="C4" s="98"/>
      <c r="D4" s="98"/>
      <c r="E4" s="98"/>
      <c r="F4" s="98"/>
      <c r="G4" s="98"/>
      <c r="H4" s="98"/>
      <c r="I4" s="98"/>
      <c r="J4" s="98"/>
      <c r="K4" s="98"/>
      <c r="L4" s="98"/>
      <c r="M4" s="98"/>
      <c r="N4" s="98"/>
      <c r="O4" s="98"/>
      <c r="P4" s="98"/>
      <c r="Q4" s="98"/>
      <c r="R4" s="98"/>
      <c r="S4" s="98" t="s">
        <v>3</v>
      </c>
      <c r="T4" s="98"/>
      <c r="U4" s="98"/>
      <c r="V4" s="98"/>
      <c r="W4" s="98"/>
      <c r="X4" s="98"/>
      <c r="Y4" s="98"/>
      <c r="Z4" s="98"/>
      <c r="AA4" s="98"/>
      <c r="AB4" s="98"/>
      <c r="AC4" s="98"/>
      <c r="AD4" s="98"/>
      <c r="AE4" s="98"/>
      <c r="AF4" s="98" t="s">
        <v>4</v>
      </c>
      <c r="AG4" s="98"/>
      <c r="AH4" s="98"/>
      <c r="AI4" s="98"/>
      <c r="AJ4" s="98"/>
      <c r="AK4" s="98"/>
      <c r="AL4" s="98"/>
      <c r="AM4" s="98"/>
      <c r="AN4" s="98" t="s">
        <v>5</v>
      </c>
      <c r="AO4" s="98"/>
      <c r="AP4" s="98"/>
      <c r="AQ4" s="98"/>
      <c r="AR4" s="98"/>
      <c r="AS4" s="98"/>
      <c r="AT4" s="98"/>
      <c r="AU4" s="98"/>
      <c r="AV4" s="98"/>
      <c r="AW4" s="98"/>
      <c r="AX4" s="98"/>
      <c r="AY4" s="98"/>
      <c r="AZ4" s="98"/>
      <c r="BA4" s="98"/>
      <c r="BB4" s="98"/>
      <c r="BC4" s="98"/>
      <c r="BD4" s="98"/>
      <c r="BE4" s="98"/>
      <c r="BF4" s="99"/>
    </row>
    <row r="5" spans="1:72" ht="21" customHeight="1" thickBot="1">
      <c r="A5" s="100" t="s">
        <v>6</v>
      </c>
      <c r="B5" s="101"/>
      <c r="C5" s="101"/>
      <c r="D5" s="101"/>
      <c r="E5" s="101"/>
      <c r="F5" s="101"/>
      <c r="G5" s="101"/>
      <c r="H5" s="102">
        <v>14</v>
      </c>
      <c r="I5" s="47"/>
      <c r="J5" s="47"/>
      <c r="K5" s="47"/>
      <c r="L5" s="47"/>
      <c r="M5" s="47"/>
      <c r="N5" s="47"/>
      <c r="O5" s="47"/>
      <c r="P5" s="47"/>
      <c r="Q5" s="47"/>
      <c r="R5" s="47"/>
      <c r="S5" s="51" t="s">
        <v>7</v>
      </c>
      <c r="T5" s="91"/>
      <c r="U5" s="91"/>
      <c r="V5" s="91"/>
      <c r="W5" s="91"/>
      <c r="X5" s="91"/>
      <c r="Y5" s="91"/>
      <c r="Z5" s="92"/>
      <c r="AA5" s="102" t="s">
        <v>8</v>
      </c>
      <c r="AB5" s="47"/>
      <c r="AC5" s="47"/>
      <c r="AD5" s="47"/>
      <c r="AE5" s="47"/>
      <c r="AF5" s="47"/>
      <c r="AG5" s="47"/>
      <c r="AH5" s="47"/>
      <c r="AI5" s="47"/>
      <c r="AJ5" s="52"/>
      <c r="AK5" s="102" t="s">
        <v>9</v>
      </c>
      <c r="AL5" s="47"/>
      <c r="AM5" s="47"/>
      <c r="AN5" s="47"/>
      <c r="AO5" s="47"/>
      <c r="AP5" s="47"/>
      <c r="AQ5" s="47"/>
      <c r="AR5" s="47"/>
      <c r="AS5" s="52"/>
      <c r="AT5" s="86" t="s">
        <v>10</v>
      </c>
      <c r="AU5" s="87"/>
      <c r="AV5" s="87"/>
      <c r="AW5" s="87"/>
      <c r="AX5" s="87"/>
      <c r="AY5" s="87"/>
      <c r="AZ5" s="87"/>
      <c r="BA5" s="87"/>
      <c r="BB5" s="87"/>
      <c r="BC5" s="87"/>
      <c r="BD5" s="87"/>
      <c r="BE5" s="87"/>
      <c r="BF5" s="88"/>
    </row>
    <row r="6" spans="1:72" ht="21" customHeight="1" thickBot="1">
      <c r="A6" s="89" t="s">
        <v>11</v>
      </c>
      <c r="B6" s="90"/>
      <c r="C6" s="90"/>
      <c r="D6" s="90"/>
      <c r="E6" s="90"/>
      <c r="F6" s="90"/>
      <c r="G6" s="90"/>
      <c r="H6" s="90"/>
      <c r="I6" s="90"/>
      <c r="J6" s="90"/>
      <c r="K6" s="90"/>
      <c r="L6" s="90"/>
      <c r="M6" s="90"/>
      <c r="N6" s="90"/>
      <c r="O6" s="90"/>
      <c r="P6" s="90"/>
      <c r="Q6" s="90"/>
      <c r="R6" s="90"/>
      <c r="S6" s="51" t="s">
        <v>12</v>
      </c>
      <c r="T6" s="91"/>
      <c r="U6" s="91"/>
      <c r="V6" s="91"/>
      <c r="W6" s="91"/>
      <c r="X6" s="91"/>
      <c r="Y6" s="91"/>
      <c r="Z6" s="91"/>
      <c r="AA6" s="91"/>
      <c r="AB6" s="91"/>
      <c r="AC6" s="91"/>
      <c r="AD6" s="91"/>
      <c r="AE6" s="92"/>
      <c r="AF6" s="90" t="s">
        <v>13</v>
      </c>
      <c r="AG6" s="90"/>
      <c r="AH6" s="90"/>
      <c r="AI6" s="90"/>
      <c r="AJ6" s="90"/>
      <c r="AK6" s="90"/>
      <c r="AL6" s="90"/>
      <c r="AM6" s="90"/>
      <c r="AN6" s="90" t="s">
        <v>14</v>
      </c>
      <c r="AO6" s="90"/>
      <c r="AP6" s="90"/>
      <c r="AQ6" s="90"/>
      <c r="AR6" s="90"/>
      <c r="AS6" s="90"/>
      <c r="AT6" s="90"/>
      <c r="AU6" s="90"/>
      <c r="AV6" s="90"/>
      <c r="AW6" s="90"/>
      <c r="AX6" s="90"/>
      <c r="AY6" s="90"/>
      <c r="AZ6" s="90"/>
      <c r="BA6" s="90"/>
      <c r="BB6" s="90"/>
      <c r="BC6" s="90"/>
      <c r="BD6" s="90"/>
      <c r="BE6" s="90"/>
      <c r="BF6" s="93"/>
    </row>
    <row r="7" spans="1:72" ht="21" customHeight="1">
      <c r="A7" s="67" t="s">
        <v>15</v>
      </c>
      <c r="B7" s="68"/>
      <c r="C7" s="68"/>
      <c r="D7" s="68"/>
      <c r="E7" s="68"/>
      <c r="F7" s="68"/>
      <c r="G7" s="72" t="s">
        <v>16</v>
      </c>
      <c r="H7" s="72"/>
      <c r="I7" s="72"/>
      <c r="J7" s="72"/>
      <c r="K7" s="72"/>
      <c r="L7" s="68" t="s">
        <v>17</v>
      </c>
      <c r="M7" s="68"/>
      <c r="N7" s="68"/>
      <c r="O7" s="68"/>
      <c r="P7" s="68"/>
      <c r="Q7" s="68"/>
      <c r="R7" s="95"/>
      <c r="S7" s="67" t="s">
        <v>18</v>
      </c>
      <c r="T7" s="68"/>
      <c r="U7" s="68"/>
      <c r="V7" s="68"/>
      <c r="W7" s="68"/>
      <c r="X7" s="68"/>
      <c r="Y7" s="69"/>
      <c r="Z7" s="67" t="s">
        <v>19</v>
      </c>
      <c r="AA7" s="68"/>
      <c r="AB7" s="68"/>
      <c r="AC7" s="68"/>
      <c r="AD7" s="68"/>
      <c r="AE7" s="68"/>
      <c r="AF7" s="69"/>
      <c r="AG7" s="67" t="s">
        <v>20</v>
      </c>
      <c r="AH7" s="68"/>
      <c r="AI7" s="68"/>
      <c r="AJ7" s="68"/>
      <c r="AK7" s="68"/>
      <c r="AL7" s="68"/>
      <c r="AM7" s="69"/>
      <c r="AN7" s="70" t="s">
        <v>21</v>
      </c>
      <c r="AO7" s="68"/>
      <c r="AP7" s="68"/>
      <c r="AQ7" s="68"/>
      <c r="AR7" s="68"/>
      <c r="AS7" s="68"/>
      <c r="AT7" s="69"/>
      <c r="AU7" s="71" t="s">
        <v>22</v>
      </c>
      <c r="AV7" s="72"/>
      <c r="AW7" s="72"/>
      <c r="AX7" s="72" t="s">
        <v>23</v>
      </c>
      <c r="AY7" s="72"/>
      <c r="AZ7" s="72"/>
      <c r="BA7" s="75" t="s">
        <v>24</v>
      </c>
      <c r="BB7" s="76"/>
      <c r="BC7" s="77"/>
      <c r="BD7" s="72" t="s">
        <v>25</v>
      </c>
      <c r="BE7" s="72"/>
      <c r="BF7" s="84"/>
    </row>
    <row r="8" spans="1:72" ht="21" customHeight="1">
      <c r="A8" s="94"/>
      <c r="B8" s="59"/>
      <c r="C8" s="59"/>
      <c r="D8" s="59"/>
      <c r="E8" s="59"/>
      <c r="F8" s="59"/>
      <c r="G8" s="74"/>
      <c r="H8" s="74"/>
      <c r="I8" s="74"/>
      <c r="J8" s="74"/>
      <c r="K8" s="74"/>
      <c r="L8" s="59"/>
      <c r="M8" s="59"/>
      <c r="N8" s="59"/>
      <c r="O8" s="59"/>
      <c r="P8" s="59"/>
      <c r="Q8" s="59"/>
      <c r="R8" s="60"/>
      <c r="S8" s="5">
        <v>1</v>
      </c>
      <c r="T8" s="6">
        <v>2</v>
      </c>
      <c r="U8" s="6">
        <v>3</v>
      </c>
      <c r="V8" s="6">
        <v>4</v>
      </c>
      <c r="W8" s="6">
        <v>5</v>
      </c>
      <c r="X8" s="6">
        <v>6</v>
      </c>
      <c r="Y8" s="7">
        <v>7</v>
      </c>
      <c r="Z8" s="5">
        <v>8</v>
      </c>
      <c r="AA8" s="6">
        <v>9</v>
      </c>
      <c r="AB8" s="6">
        <v>10</v>
      </c>
      <c r="AC8" s="6">
        <v>11</v>
      </c>
      <c r="AD8" s="6">
        <v>12</v>
      </c>
      <c r="AE8" s="6">
        <v>13</v>
      </c>
      <c r="AF8" s="7">
        <v>14</v>
      </c>
      <c r="AG8" s="5">
        <v>15</v>
      </c>
      <c r="AH8" s="6">
        <v>16</v>
      </c>
      <c r="AI8" s="6">
        <v>17</v>
      </c>
      <c r="AJ8" s="6">
        <v>18</v>
      </c>
      <c r="AK8" s="6">
        <v>19</v>
      </c>
      <c r="AL8" s="6">
        <v>20</v>
      </c>
      <c r="AM8" s="7">
        <v>21</v>
      </c>
      <c r="AN8" s="8">
        <v>22</v>
      </c>
      <c r="AO8" s="6">
        <v>23</v>
      </c>
      <c r="AP8" s="6">
        <v>24</v>
      </c>
      <c r="AQ8" s="6">
        <v>25</v>
      </c>
      <c r="AR8" s="6">
        <v>26</v>
      </c>
      <c r="AS8" s="6">
        <v>27</v>
      </c>
      <c r="AT8" s="7">
        <v>28</v>
      </c>
      <c r="AU8" s="73"/>
      <c r="AV8" s="74"/>
      <c r="AW8" s="74"/>
      <c r="AX8" s="74"/>
      <c r="AY8" s="74"/>
      <c r="AZ8" s="74"/>
      <c r="BA8" s="78"/>
      <c r="BB8" s="79"/>
      <c r="BC8" s="80"/>
      <c r="BD8" s="74"/>
      <c r="BE8" s="74"/>
      <c r="BF8" s="85"/>
    </row>
    <row r="9" spans="1:72" ht="21" customHeight="1">
      <c r="A9" s="94"/>
      <c r="B9" s="59"/>
      <c r="C9" s="59"/>
      <c r="D9" s="59"/>
      <c r="E9" s="59"/>
      <c r="F9" s="59"/>
      <c r="G9" s="74"/>
      <c r="H9" s="74"/>
      <c r="I9" s="74"/>
      <c r="J9" s="74"/>
      <c r="K9" s="74"/>
      <c r="L9" s="59"/>
      <c r="M9" s="59"/>
      <c r="N9" s="59"/>
      <c r="O9" s="59"/>
      <c r="P9" s="59"/>
      <c r="Q9" s="59"/>
      <c r="R9" s="60"/>
      <c r="S9" s="9" t="s">
        <v>26</v>
      </c>
      <c r="T9" s="6" t="s">
        <v>27</v>
      </c>
      <c r="U9" s="6" t="s">
        <v>28</v>
      </c>
      <c r="V9" s="6" t="s">
        <v>29</v>
      </c>
      <c r="W9" s="6" t="s">
        <v>30</v>
      </c>
      <c r="X9" s="6" t="s">
        <v>31</v>
      </c>
      <c r="Y9" s="7" t="s">
        <v>32</v>
      </c>
      <c r="Z9" s="9" t="s">
        <v>33</v>
      </c>
      <c r="AA9" s="6" t="s">
        <v>34</v>
      </c>
      <c r="AB9" s="6" t="s">
        <v>28</v>
      </c>
      <c r="AC9" s="6" t="s">
        <v>29</v>
      </c>
      <c r="AD9" s="6" t="s">
        <v>30</v>
      </c>
      <c r="AE9" s="6" t="s">
        <v>31</v>
      </c>
      <c r="AF9" s="7" t="s">
        <v>32</v>
      </c>
      <c r="AG9" s="9" t="s">
        <v>33</v>
      </c>
      <c r="AH9" s="6" t="s">
        <v>34</v>
      </c>
      <c r="AI9" s="6" t="s">
        <v>28</v>
      </c>
      <c r="AJ9" s="6" t="s">
        <v>29</v>
      </c>
      <c r="AK9" s="6" t="s">
        <v>30</v>
      </c>
      <c r="AL9" s="6" t="s">
        <v>31</v>
      </c>
      <c r="AM9" s="7" t="s">
        <v>32</v>
      </c>
      <c r="AN9" s="9" t="s">
        <v>33</v>
      </c>
      <c r="AO9" s="6" t="s">
        <v>34</v>
      </c>
      <c r="AP9" s="6" t="s">
        <v>28</v>
      </c>
      <c r="AQ9" s="6" t="s">
        <v>29</v>
      </c>
      <c r="AR9" s="6" t="s">
        <v>30</v>
      </c>
      <c r="AS9" s="6" t="s">
        <v>31</v>
      </c>
      <c r="AT9" s="7" t="s">
        <v>32</v>
      </c>
      <c r="AU9" s="73"/>
      <c r="AV9" s="74"/>
      <c r="AW9" s="74"/>
      <c r="AX9" s="74"/>
      <c r="AY9" s="74"/>
      <c r="AZ9" s="74"/>
      <c r="BA9" s="81"/>
      <c r="BB9" s="82"/>
      <c r="BC9" s="83"/>
      <c r="BD9" s="74"/>
      <c r="BE9" s="74"/>
      <c r="BF9" s="85"/>
    </row>
    <row r="10" spans="1:72" ht="17.25" customHeight="1">
      <c r="A10" s="57" t="s">
        <v>35</v>
      </c>
      <c r="B10" s="58"/>
      <c r="C10" s="58"/>
      <c r="D10" s="58"/>
      <c r="E10" s="58"/>
      <c r="F10" s="58"/>
      <c r="G10" s="58" t="s">
        <v>36</v>
      </c>
      <c r="H10" s="58"/>
      <c r="I10" s="58"/>
      <c r="J10" s="58"/>
      <c r="K10" s="58"/>
      <c r="L10" s="59" t="s">
        <v>37</v>
      </c>
      <c r="M10" s="59"/>
      <c r="N10" s="59"/>
      <c r="O10" s="59"/>
      <c r="P10" s="59"/>
      <c r="Q10" s="59"/>
      <c r="R10" s="60"/>
      <c r="S10" s="10" t="s">
        <v>38</v>
      </c>
      <c r="T10" s="11" t="s">
        <v>38</v>
      </c>
      <c r="U10" s="11"/>
      <c r="V10" s="11"/>
      <c r="W10" s="11" t="s">
        <v>38</v>
      </c>
      <c r="X10" s="11" t="s">
        <v>38</v>
      </c>
      <c r="Y10" s="12" t="s">
        <v>38</v>
      </c>
      <c r="Z10" s="10" t="s">
        <v>38</v>
      </c>
      <c r="AA10" s="11" t="s">
        <v>38</v>
      </c>
      <c r="AB10" s="11"/>
      <c r="AC10" s="11"/>
      <c r="AD10" s="11" t="s">
        <v>38</v>
      </c>
      <c r="AE10" s="11" t="s">
        <v>38</v>
      </c>
      <c r="AF10" s="12" t="s">
        <v>38</v>
      </c>
      <c r="AG10" s="10" t="s">
        <v>38</v>
      </c>
      <c r="AH10" s="11" t="s">
        <v>38</v>
      </c>
      <c r="AI10" s="11"/>
      <c r="AJ10" s="11"/>
      <c r="AK10" s="11" t="s">
        <v>38</v>
      </c>
      <c r="AL10" s="11" t="s">
        <v>38</v>
      </c>
      <c r="AM10" s="12" t="s">
        <v>38</v>
      </c>
      <c r="AN10" s="10" t="s">
        <v>38</v>
      </c>
      <c r="AO10" s="11"/>
      <c r="AP10" s="11" t="s">
        <v>38</v>
      </c>
      <c r="AQ10" s="11"/>
      <c r="AR10" s="11" t="s">
        <v>38</v>
      </c>
      <c r="AS10" s="11" t="s">
        <v>38</v>
      </c>
      <c r="AT10" s="12" t="s">
        <v>38</v>
      </c>
      <c r="AU10" s="61">
        <f>6.5*20</f>
        <v>130</v>
      </c>
      <c r="AV10" s="61"/>
      <c r="AW10" s="62"/>
      <c r="AX10" s="40">
        <f>6.5*5</f>
        <v>32.5</v>
      </c>
      <c r="AY10" s="41"/>
      <c r="AZ10" s="63"/>
      <c r="BA10" s="40">
        <f>6.5*5</f>
        <v>32.5</v>
      </c>
      <c r="BB10" s="41"/>
      <c r="BC10" s="63"/>
      <c r="BD10" s="40">
        <f>BA10/AU21</f>
        <v>1</v>
      </c>
      <c r="BE10" s="41"/>
      <c r="BF10" s="42"/>
    </row>
    <row r="11" spans="1:72" ht="17.25" customHeight="1">
      <c r="A11" s="57" t="s">
        <v>39</v>
      </c>
      <c r="B11" s="58"/>
      <c r="C11" s="58"/>
      <c r="D11" s="58"/>
      <c r="E11" s="58"/>
      <c r="F11" s="58"/>
      <c r="G11" s="58" t="s">
        <v>36</v>
      </c>
      <c r="H11" s="58"/>
      <c r="I11" s="58"/>
      <c r="J11" s="58"/>
      <c r="K11" s="58"/>
      <c r="L11" s="59" t="s">
        <v>40</v>
      </c>
      <c r="M11" s="59"/>
      <c r="N11" s="59"/>
      <c r="O11" s="59"/>
      <c r="P11" s="59"/>
      <c r="Q11" s="59"/>
      <c r="R11" s="60"/>
      <c r="S11" s="10" t="s">
        <v>38</v>
      </c>
      <c r="T11" s="11" t="s">
        <v>38</v>
      </c>
      <c r="U11" s="11"/>
      <c r="V11" s="11"/>
      <c r="W11" s="11" t="s">
        <v>38</v>
      </c>
      <c r="X11" s="11" t="s">
        <v>38</v>
      </c>
      <c r="Y11" s="12" t="s">
        <v>38</v>
      </c>
      <c r="Z11" s="10" t="s">
        <v>38</v>
      </c>
      <c r="AA11" s="11" t="s">
        <v>38</v>
      </c>
      <c r="AB11" s="11"/>
      <c r="AC11" s="11"/>
      <c r="AD11" s="11" t="s">
        <v>38</v>
      </c>
      <c r="AE11" s="11" t="s">
        <v>38</v>
      </c>
      <c r="AF11" s="12" t="s">
        <v>38</v>
      </c>
      <c r="AG11" s="10" t="s">
        <v>38</v>
      </c>
      <c r="AH11" s="11" t="s">
        <v>38</v>
      </c>
      <c r="AI11" s="11"/>
      <c r="AJ11" s="11"/>
      <c r="AK11" s="11" t="s">
        <v>38</v>
      </c>
      <c r="AL11" s="11" t="s">
        <v>38</v>
      </c>
      <c r="AM11" s="12" t="s">
        <v>38</v>
      </c>
      <c r="AN11" s="10" t="s">
        <v>38</v>
      </c>
      <c r="AO11" s="11"/>
      <c r="AP11" s="11" t="s">
        <v>38</v>
      </c>
      <c r="AQ11" s="11"/>
      <c r="AR11" s="11" t="s">
        <v>38</v>
      </c>
      <c r="AS11" s="11" t="s">
        <v>38</v>
      </c>
      <c r="AT11" s="12" t="s">
        <v>38</v>
      </c>
      <c r="AU11" s="61">
        <f>6.5*20</f>
        <v>130</v>
      </c>
      <c r="AV11" s="61"/>
      <c r="AW11" s="62"/>
      <c r="AX11" s="40">
        <f>6.5*5</f>
        <v>32.5</v>
      </c>
      <c r="AY11" s="41"/>
      <c r="AZ11" s="63"/>
      <c r="BA11" s="40">
        <f>6.5*5</f>
        <v>32.5</v>
      </c>
      <c r="BB11" s="41"/>
      <c r="BC11" s="63"/>
      <c r="BD11" s="40">
        <f>BA11/AU21</f>
        <v>1</v>
      </c>
      <c r="BE11" s="41"/>
      <c r="BF11" s="42"/>
    </row>
    <row r="12" spans="1:72" ht="17.25" customHeight="1">
      <c r="A12" s="57" t="s">
        <v>41</v>
      </c>
      <c r="B12" s="58"/>
      <c r="C12" s="58"/>
      <c r="D12" s="58"/>
      <c r="E12" s="58"/>
      <c r="F12" s="58"/>
      <c r="G12" s="59"/>
      <c r="H12" s="59"/>
      <c r="I12" s="59"/>
      <c r="J12" s="59"/>
      <c r="K12" s="59"/>
      <c r="L12" s="59"/>
      <c r="M12" s="59"/>
      <c r="N12" s="59"/>
      <c r="O12" s="59"/>
      <c r="P12" s="59"/>
      <c r="Q12" s="59"/>
      <c r="R12" s="60"/>
      <c r="S12" s="10"/>
      <c r="T12" s="13"/>
      <c r="U12" s="13"/>
      <c r="V12" s="13"/>
      <c r="W12" s="13"/>
      <c r="X12" s="13"/>
      <c r="Y12" s="12"/>
      <c r="Z12" s="10"/>
      <c r="AA12" s="13"/>
      <c r="AB12" s="13"/>
      <c r="AC12" s="13"/>
      <c r="AD12" s="13"/>
      <c r="AE12" s="13"/>
      <c r="AF12" s="12"/>
      <c r="AG12" s="10"/>
      <c r="AH12" s="13"/>
      <c r="AI12" s="13"/>
      <c r="AJ12" s="13"/>
      <c r="AK12" s="13"/>
      <c r="AL12" s="13"/>
      <c r="AM12" s="12"/>
      <c r="AN12" s="10"/>
      <c r="AO12" s="13"/>
      <c r="AP12" s="13"/>
      <c r="AQ12" s="13"/>
      <c r="AR12" s="13"/>
      <c r="AS12" s="13"/>
      <c r="AT12" s="12"/>
      <c r="AU12" s="61"/>
      <c r="AV12" s="61"/>
      <c r="AW12" s="62"/>
      <c r="AX12" s="40"/>
      <c r="AY12" s="41"/>
      <c r="AZ12" s="63"/>
      <c r="BA12" s="40"/>
      <c r="BB12" s="41"/>
      <c r="BC12" s="63"/>
      <c r="BD12" s="40"/>
      <c r="BE12" s="41"/>
      <c r="BF12" s="42"/>
    </row>
    <row r="13" spans="1:72" ht="17.25" customHeight="1">
      <c r="A13" s="57" t="s">
        <v>42</v>
      </c>
      <c r="B13" s="58"/>
      <c r="C13" s="58"/>
      <c r="D13" s="58"/>
      <c r="E13" s="58"/>
      <c r="F13" s="58"/>
      <c r="G13" s="58" t="s">
        <v>36</v>
      </c>
      <c r="H13" s="58"/>
      <c r="I13" s="58"/>
      <c r="J13" s="58"/>
      <c r="K13" s="58"/>
      <c r="L13" s="59" t="s">
        <v>37</v>
      </c>
      <c r="M13" s="59"/>
      <c r="N13" s="59"/>
      <c r="O13" s="59"/>
      <c r="P13" s="59"/>
      <c r="Q13" s="59"/>
      <c r="R13" s="60"/>
      <c r="S13" s="10" t="s">
        <v>38</v>
      </c>
      <c r="T13" s="11" t="s">
        <v>38</v>
      </c>
      <c r="U13" s="11"/>
      <c r="V13" s="11"/>
      <c r="W13" s="11" t="s">
        <v>38</v>
      </c>
      <c r="X13" s="11" t="s">
        <v>38</v>
      </c>
      <c r="Y13" s="12" t="s">
        <v>38</v>
      </c>
      <c r="Z13" s="10" t="s">
        <v>38</v>
      </c>
      <c r="AA13" s="11" t="s">
        <v>38</v>
      </c>
      <c r="AB13" s="11"/>
      <c r="AC13" s="11"/>
      <c r="AD13" s="11" t="s">
        <v>38</v>
      </c>
      <c r="AE13" s="11" t="s">
        <v>38</v>
      </c>
      <c r="AF13" s="12" t="s">
        <v>38</v>
      </c>
      <c r="AG13" s="10" t="s">
        <v>38</v>
      </c>
      <c r="AH13" s="11" t="s">
        <v>38</v>
      </c>
      <c r="AI13" s="11"/>
      <c r="AJ13" s="11"/>
      <c r="AK13" s="11" t="s">
        <v>38</v>
      </c>
      <c r="AL13" s="11" t="s">
        <v>38</v>
      </c>
      <c r="AM13" s="12" t="s">
        <v>38</v>
      </c>
      <c r="AN13" s="10" t="s">
        <v>38</v>
      </c>
      <c r="AO13" s="11"/>
      <c r="AP13" s="11" t="s">
        <v>38</v>
      </c>
      <c r="AQ13" s="11"/>
      <c r="AR13" s="11" t="s">
        <v>38</v>
      </c>
      <c r="AS13" s="11" t="s">
        <v>38</v>
      </c>
      <c r="AT13" s="12" t="s">
        <v>38</v>
      </c>
      <c r="AU13" s="61">
        <v>130</v>
      </c>
      <c r="AV13" s="61"/>
      <c r="AW13" s="62"/>
      <c r="AX13" s="40">
        <v>32.5</v>
      </c>
      <c r="AY13" s="41"/>
      <c r="AZ13" s="63"/>
      <c r="BA13" s="40">
        <v>32.5</v>
      </c>
      <c r="BB13" s="41"/>
      <c r="BC13" s="63"/>
      <c r="BD13" s="40">
        <f>BA13/AU21</f>
        <v>1</v>
      </c>
      <c r="BE13" s="41"/>
      <c r="BF13" s="42"/>
    </row>
    <row r="14" spans="1:72" ht="16.5" customHeight="1">
      <c r="A14" s="57" t="s">
        <v>43</v>
      </c>
      <c r="B14" s="58"/>
      <c r="C14" s="58"/>
      <c r="D14" s="58"/>
      <c r="E14" s="58"/>
      <c r="F14" s="58"/>
      <c r="G14" s="58" t="s">
        <v>44</v>
      </c>
      <c r="H14" s="58"/>
      <c r="I14" s="58"/>
      <c r="J14" s="58"/>
      <c r="K14" s="58"/>
      <c r="L14" s="59" t="s">
        <v>45</v>
      </c>
      <c r="M14" s="59"/>
      <c r="N14" s="59"/>
      <c r="O14" s="59"/>
      <c r="P14" s="59"/>
      <c r="Q14" s="59"/>
      <c r="R14" s="60"/>
      <c r="S14" s="10" t="s">
        <v>46</v>
      </c>
      <c r="T14" s="11" t="s">
        <v>46</v>
      </c>
      <c r="U14" s="11"/>
      <c r="V14" s="11"/>
      <c r="W14" s="11" t="s">
        <v>46</v>
      </c>
      <c r="X14" s="11" t="s">
        <v>46</v>
      </c>
      <c r="Y14" s="12" t="s">
        <v>46</v>
      </c>
      <c r="Z14" s="10" t="s">
        <v>46</v>
      </c>
      <c r="AA14" s="11" t="s">
        <v>46</v>
      </c>
      <c r="AB14" s="11"/>
      <c r="AC14" s="11"/>
      <c r="AD14" s="11" t="s">
        <v>46</v>
      </c>
      <c r="AE14" s="11" t="s">
        <v>46</v>
      </c>
      <c r="AF14" s="12" t="s">
        <v>46</v>
      </c>
      <c r="AG14" s="10" t="s">
        <v>46</v>
      </c>
      <c r="AH14" s="11" t="s">
        <v>46</v>
      </c>
      <c r="AI14" s="11"/>
      <c r="AJ14" s="11"/>
      <c r="AK14" s="11" t="s">
        <v>46</v>
      </c>
      <c r="AL14" s="11" t="s">
        <v>46</v>
      </c>
      <c r="AM14" s="12" t="s">
        <v>46</v>
      </c>
      <c r="AN14" s="10" t="s">
        <v>46</v>
      </c>
      <c r="AO14" s="11"/>
      <c r="AP14" s="11" t="s">
        <v>46</v>
      </c>
      <c r="AQ14" s="11"/>
      <c r="AR14" s="11" t="s">
        <v>46</v>
      </c>
      <c r="AS14" s="11" t="s">
        <v>46</v>
      </c>
      <c r="AT14" s="12" t="s">
        <v>46</v>
      </c>
      <c r="AU14" s="61">
        <f>3.5*5*4</f>
        <v>70</v>
      </c>
      <c r="AV14" s="61"/>
      <c r="AW14" s="62"/>
      <c r="AX14" s="64">
        <f>AU14/4</f>
        <v>17.5</v>
      </c>
      <c r="AY14" s="65"/>
      <c r="AZ14" s="66"/>
      <c r="BA14" s="64">
        <f>AX14</f>
        <v>17.5</v>
      </c>
      <c r="BB14" s="65"/>
      <c r="BC14" s="66"/>
      <c r="BD14" s="40">
        <f>BA14/AU21</f>
        <v>0.53846153846153844</v>
      </c>
      <c r="BE14" s="41"/>
      <c r="BF14" s="42"/>
      <c r="BT14" s="3">
        <f>3.4/7.5</f>
        <v>0.45333333333333331</v>
      </c>
    </row>
    <row r="15" spans="1:72" ht="17.25" hidden="1" customHeight="1">
      <c r="A15" s="57"/>
      <c r="B15" s="58"/>
      <c r="C15" s="58"/>
      <c r="D15" s="58"/>
      <c r="E15" s="58"/>
      <c r="F15" s="58"/>
      <c r="G15" s="58"/>
      <c r="H15" s="58"/>
      <c r="I15" s="58"/>
      <c r="J15" s="58"/>
      <c r="K15" s="58"/>
      <c r="L15" s="59"/>
      <c r="M15" s="59"/>
      <c r="N15" s="59"/>
      <c r="O15" s="59"/>
      <c r="P15" s="59"/>
      <c r="Q15" s="59"/>
      <c r="R15" s="60"/>
      <c r="S15" s="10"/>
      <c r="T15" s="11"/>
      <c r="U15" s="11"/>
      <c r="V15" s="11"/>
      <c r="W15" s="11"/>
      <c r="X15" s="11"/>
      <c r="Y15" s="12"/>
      <c r="Z15" s="10"/>
      <c r="AA15" s="11"/>
      <c r="AB15" s="11"/>
      <c r="AC15" s="11"/>
      <c r="AD15" s="11"/>
      <c r="AE15" s="11"/>
      <c r="AF15" s="12"/>
      <c r="AG15" s="11"/>
      <c r="AH15" s="11"/>
      <c r="AI15" s="11"/>
      <c r="AJ15" s="11"/>
      <c r="AK15" s="11"/>
      <c r="AL15" s="11"/>
      <c r="AM15" s="12"/>
      <c r="AN15" s="11"/>
      <c r="AO15" s="11"/>
      <c r="AP15" s="11"/>
      <c r="AQ15" s="11"/>
      <c r="AR15" s="11"/>
      <c r="AS15" s="11"/>
      <c r="AT15" s="12"/>
      <c r="AU15" s="61"/>
      <c r="AV15" s="61"/>
      <c r="AW15" s="62"/>
      <c r="AX15" s="40"/>
      <c r="AY15" s="41"/>
      <c r="AZ15" s="63"/>
      <c r="BA15" s="40"/>
      <c r="BB15" s="41"/>
      <c r="BC15" s="63"/>
      <c r="BD15" s="40"/>
      <c r="BE15" s="41"/>
      <c r="BF15" s="42"/>
    </row>
    <row r="16" spans="1:72" ht="17.25" customHeight="1">
      <c r="A16" s="57" t="s">
        <v>47</v>
      </c>
      <c r="B16" s="58"/>
      <c r="C16" s="58"/>
      <c r="D16" s="58"/>
      <c r="E16" s="58"/>
      <c r="F16" s="58"/>
      <c r="G16" s="58"/>
      <c r="H16" s="58"/>
      <c r="I16" s="58"/>
      <c r="J16" s="58"/>
      <c r="K16" s="58"/>
      <c r="L16" s="59"/>
      <c r="M16" s="59"/>
      <c r="N16" s="59"/>
      <c r="O16" s="59"/>
      <c r="P16" s="59"/>
      <c r="Q16" s="59"/>
      <c r="R16" s="60"/>
      <c r="S16" s="10"/>
      <c r="T16" s="11"/>
      <c r="U16" s="11"/>
      <c r="V16" s="11"/>
      <c r="W16" s="11"/>
      <c r="X16" s="11"/>
      <c r="Y16" s="12"/>
      <c r="Z16" s="10"/>
      <c r="AA16" s="11"/>
      <c r="AB16" s="11"/>
      <c r="AC16" s="11"/>
      <c r="AD16" s="11"/>
      <c r="AE16" s="11"/>
      <c r="AF16" s="12"/>
      <c r="AG16" s="10"/>
      <c r="AH16" s="11"/>
      <c r="AI16" s="11"/>
      <c r="AJ16" s="11"/>
      <c r="AK16" s="11"/>
      <c r="AL16" s="11"/>
      <c r="AM16" s="12"/>
      <c r="AN16" s="14"/>
      <c r="AO16" s="11"/>
      <c r="AP16" s="11"/>
      <c r="AQ16" s="11"/>
      <c r="AR16" s="11"/>
      <c r="AS16" s="11"/>
      <c r="AT16" s="12"/>
      <c r="AU16" s="61"/>
      <c r="AV16" s="61"/>
      <c r="AW16" s="62"/>
      <c r="AX16" s="40"/>
      <c r="AY16" s="41"/>
      <c r="AZ16" s="63"/>
      <c r="BA16" s="40">
        <f>SUM(BA13:BC15)</f>
        <v>50</v>
      </c>
      <c r="BB16" s="41"/>
      <c r="BC16" s="63"/>
      <c r="BD16" s="40">
        <f>BA16/32.5</f>
        <v>1.5384615384615385</v>
      </c>
      <c r="BE16" s="41"/>
      <c r="BF16" s="42"/>
    </row>
    <row r="17" spans="1:58" ht="17.25" customHeight="1">
      <c r="A17" s="57"/>
      <c r="B17" s="58"/>
      <c r="C17" s="58"/>
      <c r="D17" s="58"/>
      <c r="E17" s="58"/>
      <c r="F17" s="58"/>
      <c r="G17" s="58"/>
      <c r="H17" s="58"/>
      <c r="I17" s="58"/>
      <c r="J17" s="58"/>
      <c r="K17" s="58"/>
      <c r="L17" s="59"/>
      <c r="M17" s="59"/>
      <c r="N17" s="59"/>
      <c r="O17" s="59"/>
      <c r="P17" s="59"/>
      <c r="Q17" s="59"/>
      <c r="R17" s="60"/>
      <c r="S17" s="10"/>
      <c r="T17" s="11"/>
      <c r="U17" s="11"/>
      <c r="V17" s="11"/>
      <c r="W17" s="11"/>
      <c r="X17" s="11"/>
      <c r="Y17" s="12"/>
      <c r="Z17" s="10"/>
      <c r="AA17" s="11"/>
      <c r="AB17" s="11"/>
      <c r="AC17" s="11"/>
      <c r="AD17" s="11"/>
      <c r="AE17" s="11"/>
      <c r="AF17" s="12"/>
      <c r="AG17" s="10"/>
      <c r="AH17" s="11"/>
      <c r="AI17" s="11"/>
      <c r="AJ17" s="11"/>
      <c r="AK17" s="11"/>
      <c r="AL17" s="11"/>
      <c r="AM17" s="12"/>
      <c r="AN17" s="14"/>
      <c r="AO17" s="11"/>
      <c r="AP17" s="11"/>
      <c r="AQ17" s="11"/>
      <c r="AR17" s="11"/>
      <c r="AS17" s="11"/>
      <c r="AT17" s="12"/>
      <c r="AU17" s="61"/>
      <c r="AV17" s="61"/>
      <c r="AW17" s="62"/>
      <c r="AX17" s="40"/>
      <c r="AY17" s="41"/>
      <c r="AZ17" s="63"/>
      <c r="BA17" s="40"/>
      <c r="BB17" s="41"/>
      <c r="BC17" s="63"/>
      <c r="BD17" s="40"/>
      <c r="BE17" s="41"/>
      <c r="BF17" s="42"/>
    </row>
    <row r="18" spans="1:58" ht="17.25" customHeight="1">
      <c r="A18" s="57"/>
      <c r="B18" s="58"/>
      <c r="C18" s="58"/>
      <c r="D18" s="58"/>
      <c r="E18" s="58"/>
      <c r="F18" s="58"/>
      <c r="G18" s="59"/>
      <c r="H18" s="59"/>
      <c r="I18" s="59"/>
      <c r="J18" s="59"/>
      <c r="K18" s="59"/>
      <c r="L18" s="59"/>
      <c r="M18" s="59"/>
      <c r="N18" s="59"/>
      <c r="O18" s="59"/>
      <c r="P18" s="59"/>
      <c r="Q18" s="59"/>
      <c r="R18" s="60"/>
      <c r="S18" s="10"/>
      <c r="T18" s="13"/>
      <c r="U18" s="13"/>
      <c r="V18" s="13"/>
      <c r="W18" s="13"/>
      <c r="X18" s="13"/>
      <c r="Y18" s="12"/>
      <c r="Z18" s="10"/>
      <c r="AA18" s="13"/>
      <c r="AB18" s="13"/>
      <c r="AC18" s="13"/>
      <c r="AD18" s="13"/>
      <c r="AE18" s="13"/>
      <c r="AF18" s="12"/>
      <c r="AG18" s="10"/>
      <c r="AH18" s="13"/>
      <c r="AI18" s="13"/>
      <c r="AJ18" s="13"/>
      <c r="AK18" s="13"/>
      <c r="AL18" s="13"/>
      <c r="AM18" s="12"/>
      <c r="AN18" s="14"/>
      <c r="AO18" s="13"/>
      <c r="AP18" s="13"/>
      <c r="AQ18" s="13"/>
      <c r="AR18" s="13"/>
      <c r="AS18" s="13"/>
      <c r="AT18" s="12"/>
      <c r="AU18" s="61"/>
      <c r="AV18" s="61"/>
      <c r="AW18" s="62"/>
      <c r="AX18" s="40"/>
      <c r="AY18" s="41"/>
      <c r="AZ18" s="63"/>
      <c r="BA18" s="40"/>
      <c r="BB18" s="41"/>
      <c r="BC18" s="63"/>
      <c r="BD18" s="40"/>
      <c r="BE18" s="41"/>
      <c r="BF18" s="42"/>
    </row>
    <row r="19" spans="1:58" ht="17.25" customHeight="1">
      <c r="A19" s="57" t="s">
        <v>48</v>
      </c>
      <c r="B19" s="58"/>
      <c r="C19" s="58"/>
      <c r="D19" s="58"/>
      <c r="E19" s="58"/>
      <c r="F19" s="58"/>
      <c r="G19" s="59"/>
      <c r="H19" s="59"/>
      <c r="I19" s="59"/>
      <c r="J19" s="59"/>
      <c r="K19" s="59"/>
      <c r="L19" s="59"/>
      <c r="M19" s="59"/>
      <c r="N19" s="59"/>
      <c r="O19" s="59"/>
      <c r="P19" s="59"/>
      <c r="Q19" s="59"/>
      <c r="R19" s="60"/>
      <c r="S19" s="10"/>
      <c r="T19" s="13"/>
      <c r="U19" s="13"/>
      <c r="V19" s="13"/>
      <c r="W19" s="13"/>
      <c r="X19" s="13"/>
      <c r="Y19" s="12"/>
      <c r="Z19" s="10"/>
      <c r="AA19" s="13"/>
      <c r="AB19" s="13"/>
      <c r="AC19" s="13"/>
      <c r="AD19" s="13"/>
      <c r="AE19" s="13"/>
      <c r="AF19" s="12"/>
      <c r="AG19" s="10"/>
      <c r="AH19" s="13"/>
      <c r="AI19" s="13"/>
      <c r="AJ19" s="13"/>
      <c r="AK19" s="13"/>
      <c r="AL19" s="13"/>
      <c r="AM19" s="12"/>
      <c r="AN19" s="14"/>
      <c r="AO19" s="13"/>
      <c r="AP19" s="13"/>
      <c r="AQ19" s="13"/>
      <c r="AR19" s="13"/>
      <c r="AS19" s="13"/>
      <c r="AT19" s="12"/>
      <c r="AU19" s="61"/>
      <c r="AV19" s="61"/>
      <c r="AW19" s="62"/>
      <c r="AX19" s="40"/>
      <c r="AY19" s="41"/>
      <c r="AZ19" s="63"/>
      <c r="BA19" s="40"/>
      <c r="BB19" s="41"/>
      <c r="BC19" s="63"/>
      <c r="BD19" s="40"/>
      <c r="BE19" s="41"/>
      <c r="BF19" s="42"/>
    </row>
    <row r="20" spans="1:58" ht="17.25" customHeight="1" thickBot="1">
      <c r="A20" s="57"/>
      <c r="B20" s="58"/>
      <c r="C20" s="58"/>
      <c r="D20" s="58"/>
      <c r="E20" s="58"/>
      <c r="F20" s="58"/>
      <c r="G20" s="59"/>
      <c r="H20" s="59"/>
      <c r="I20" s="59"/>
      <c r="J20" s="59"/>
      <c r="K20" s="59"/>
      <c r="L20" s="59"/>
      <c r="M20" s="59"/>
      <c r="N20" s="59"/>
      <c r="O20" s="59"/>
      <c r="P20" s="59"/>
      <c r="Q20" s="59"/>
      <c r="R20" s="60"/>
      <c r="S20" s="10"/>
      <c r="T20" s="13"/>
      <c r="U20" s="13"/>
      <c r="V20" s="13"/>
      <c r="W20" s="13"/>
      <c r="X20" s="13"/>
      <c r="Y20" s="12"/>
      <c r="Z20" s="10"/>
      <c r="AA20" s="13"/>
      <c r="AB20" s="13"/>
      <c r="AC20" s="13"/>
      <c r="AD20" s="13"/>
      <c r="AE20" s="13"/>
      <c r="AF20" s="12"/>
      <c r="AG20" s="10"/>
      <c r="AH20" s="13"/>
      <c r="AI20" s="13"/>
      <c r="AJ20" s="13"/>
      <c r="AK20" s="13"/>
      <c r="AL20" s="13"/>
      <c r="AM20" s="12"/>
      <c r="AN20" s="14"/>
      <c r="AO20" s="13"/>
      <c r="AP20" s="13"/>
      <c r="AQ20" s="13"/>
      <c r="AR20" s="13"/>
      <c r="AS20" s="13"/>
      <c r="AT20" s="12"/>
      <c r="AU20" s="61"/>
      <c r="AV20" s="61"/>
      <c r="AW20" s="62"/>
      <c r="AX20" s="40"/>
      <c r="AY20" s="41"/>
      <c r="AZ20" s="63"/>
      <c r="BA20" s="40"/>
      <c r="BB20" s="41"/>
      <c r="BC20" s="63"/>
      <c r="BD20" s="40"/>
      <c r="BE20" s="41"/>
      <c r="BF20" s="42"/>
    </row>
    <row r="21" spans="1:58" ht="21" customHeight="1" thickBot="1">
      <c r="A21" s="43" t="s">
        <v>49</v>
      </c>
      <c r="B21" s="44"/>
      <c r="C21" s="44"/>
      <c r="D21" s="44"/>
      <c r="E21" s="44"/>
      <c r="F21" s="44"/>
      <c r="G21" s="44"/>
      <c r="H21" s="44"/>
      <c r="I21" s="44"/>
      <c r="J21" s="44"/>
      <c r="K21" s="44"/>
      <c r="L21" s="44"/>
      <c r="M21" s="44"/>
      <c r="N21" s="44"/>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5"/>
      <c r="AU21" s="46">
        <f>6.5*5</f>
        <v>32.5</v>
      </c>
      <c r="AV21" s="47"/>
      <c r="AW21" s="47"/>
      <c r="AX21" s="47"/>
      <c r="AY21" s="47"/>
      <c r="AZ21" s="47"/>
      <c r="BA21" s="47"/>
      <c r="BB21" s="47"/>
      <c r="BC21" s="47"/>
      <c r="BD21" s="47"/>
      <c r="BE21" s="47"/>
      <c r="BF21" s="48"/>
    </row>
    <row r="22" spans="1:58" ht="21" customHeight="1" thickBot="1">
      <c r="A22" s="49" t="s">
        <v>50</v>
      </c>
      <c r="B22" s="50"/>
      <c r="C22" s="50"/>
      <c r="D22" s="50"/>
      <c r="E22" s="50"/>
      <c r="F22" s="50"/>
      <c r="G22" s="50"/>
      <c r="H22" s="50"/>
      <c r="I22" s="50"/>
      <c r="J22" s="50"/>
      <c r="K22" s="50"/>
      <c r="L22" s="50"/>
      <c r="M22" s="50"/>
      <c r="N22" s="50"/>
      <c r="O22" s="50"/>
      <c r="P22" s="50"/>
      <c r="Q22" s="50"/>
      <c r="R22" s="51"/>
      <c r="S22" s="15"/>
      <c r="T22" s="16"/>
      <c r="U22" s="16"/>
      <c r="V22" s="16"/>
      <c r="W22" s="16">
        <v>6</v>
      </c>
      <c r="X22" s="16">
        <v>6</v>
      </c>
      <c r="Y22" s="17"/>
      <c r="Z22" s="15">
        <v>6</v>
      </c>
      <c r="AA22" s="16">
        <v>6</v>
      </c>
      <c r="AB22" s="16">
        <v>6</v>
      </c>
      <c r="AC22" s="16">
        <v>6</v>
      </c>
      <c r="AD22" s="16">
        <v>6</v>
      </c>
      <c r="AE22" s="16">
        <v>6</v>
      </c>
      <c r="AF22" s="18"/>
      <c r="AG22" s="15">
        <v>6</v>
      </c>
      <c r="AH22" s="16">
        <v>6</v>
      </c>
      <c r="AI22" s="16">
        <v>6</v>
      </c>
      <c r="AJ22" s="16">
        <v>6</v>
      </c>
      <c r="AK22" s="16">
        <v>6</v>
      </c>
      <c r="AL22" s="16">
        <v>6</v>
      </c>
      <c r="AM22" s="18"/>
      <c r="AN22" s="15">
        <v>6</v>
      </c>
      <c r="AO22" s="16">
        <v>6</v>
      </c>
      <c r="AP22" s="16">
        <v>6</v>
      </c>
      <c r="AQ22" s="16">
        <v>6</v>
      </c>
      <c r="AR22" s="16">
        <v>6</v>
      </c>
      <c r="AS22" s="16">
        <v>6</v>
      </c>
      <c r="AT22" s="18"/>
      <c r="AU22" s="47">
        <f>6*20</f>
        <v>120</v>
      </c>
      <c r="AV22" s="47"/>
      <c r="AW22" s="52"/>
      <c r="AX22" s="53"/>
      <c r="AY22" s="54"/>
      <c r="AZ22" s="55"/>
      <c r="BA22" s="53"/>
      <c r="BB22" s="54"/>
      <c r="BC22" s="55"/>
      <c r="BD22" s="53"/>
      <c r="BE22" s="54"/>
      <c r="BF22" s="56"/>
    </row>
    <row r="23" spans="1:58" customFormat="1" ht="21" customHeight="1">
      <c r="A23" s="19" t="s">
        <v>51</v>
      </c>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1"/>
    </row>
    <row r="24" spans="1:58" customFormat="1" ht="21" customHeight="1">
      <c r="A24" s="22"/>
      <c r="B24" s="23" t="s">
        <v>52</v>
      </c>
      <c r="C24" s="23"/>
      <c r="D24" s="23"/>
      <c r="E24" s="23"/>
      <c r="F24" s="23"/>
      <c r="G24" s="23"/>
      <c r="H24" s="23"/>
      <c r="I24" s="105" t="s">
        <v>76</v>
      </c>
      <c r="J24" s="104"/>
      <c r="K24" s="104"/>
      <c r="L24" s="104"/>
      <c r="M24" s="104"/>
      <c r="N24" s="104"/>
      <c r="O24" s="104"/>
      <c r="P24" s="104"/>
      <c r="Q24" s="104"/>
      <c r="R24" s="104"/>
      <c r="S24" s="104"/>
      <c r="T24" s="104"/>
      <c r="U24" s="104"/>
      <c r="V24" s="104"/>
      <c r="W24" s="104"/>
      <c r="X24" s="104"/>
      <c r="Y24" s="104"/>
      <c r="Z24" s="104"/>
      <c r="AA24" s="104"/>
      <c r="AB24" s="104"/>
      <c r="AC24" s="104"/>
      <c r="AD24" s="104"/>
      <c r="AE24" s="104"/>
      <c r="AF24" s="104"/>
      <c r="AG24" s="104"/>
      <c r="AH24" s="104"/>
      <c r="AI24" s="104"/>
      <c r="AJ24" s="104"/>
      <c r="AK24" s="104"/>
      <c r="AL24" s="104"/>
      <c r="AM24" s="104"/>
      <c r="AN24" s="104"/>
      <c r="AO24" s="104"/>
      <c r="AP24" s="104"/>
      <c r="AQ24" s="104"/>
      <c r="AR24" s="104"/>
      <c r="AS24" s="104"/>
      <c r="AT24" s="104"/>
      <c r="AU24" s="104"/>
      <c r="AV24" s="104"/>
      <c r="AW24" s="104"/>
      <c r="AX24" s="104"/>
      <c r="AY24" s="104"/>
      <c r="AZ24" s="104"/>
      <c r="BA24" s="104"/>
      <c r="BB24" s="104"/>
      <c r="BC24" s="104"/>
      <c r="BD24" s="104"/>
      <c r="BE24" s="104"/>
      <c r="BF24" s="24"/>
    </row>
    <row r="25" spans="1:58" customFormat="1" ht="39" customHeight="1" thickBot="1">
      <c r="A25" s="25"/>
      <c r="B25" s="26"/>
      <c r="C25" s="26"/>
      <c r="D25" s="26"/>
      <c r="E25" s="26"/>
      <c r="F25" s="26"/>
      <c r="G25" s="26"/>
      <c r="H25" s="26"/>
      <c r="I25" s="103"/>
      <c r="J25" s="103"/>
      <c r="K25" s="103"/>
      <c r="L25" s="103"/>
      <c r="M25" s="103"/>
      <c r="N25" s="103"/>
      <c r="O25" s="103"/>
      <c r="P25" s="103"/>
      <c r="Q25" s="103"/>
      <c r="R25" s="103"/>
      <c r="S25" s="103"/>
      <c r="T25" s="103"/>
      <c r="U25" s="103"/>
      <c r="V25" s="103"/>
      <c r="W25" s="103"/>
      <c r="X25" s="103"/>
      <c r="Y25" s="103"/>
      <c r="Z25" s="103"/>
      <c r="AA25" s="103"/>
      <c r="AB25" s="103"/>
      <c r="AC25" s="103"/>
      <c r="AD25" s="103"/>
      <c r="AE25" s="103"/>
      <c r="AF25" s="103"/>
      <c r="AG25" s="103"/>
      <c r="AH25" s="103"/>
      <c r="AI25" s="103"/>
      <c r="AJ25" s="103"/>
      <c r="AK25" s="103"/>
      <c r="AL25" s="103"/>
      <c r="AM25" s="103"/>
      <c r="AN25" s="103"/>
      <c r="AO25" s="103"/>
      <c r="AP25" s="103"/>
      <c r="AQ25" s="103"/>
      <c r="AR25" s="103"/>
      <c r="AS25" s="103"/>
      <c r="AT25" s="103"/>
      <c r="AU25" s="103"/>
      <c r="AV25" s="103"/>
      <c r="AW25" s="103"/>
      <c r="AX25" s="103"/>
      <c r="AY25" s="103"/>
      <c r="AZ25" s="103"/>
      <c r="BA25" s="103"/>
      <c r="BB25" s="103"/>
      <c r="BC25" s="103"/>
      <c r="BD25" s="103"/>
      <c r="BE25" s="103"/>
      <c r="BF25" s="27"/>
    </row>
    <row r="26" spans="1:58" ht="28.5" customHeight="1">
      <c r="A26" s="37" t="s">
        <v>53</v>
      </c>
      <c r="B26" s="37"/>
      <c r="C26" s="38" t="s">
        <v>54</v>
      </c>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38"/>
      <c r="AL26" s="38"/>
      <c r="AM26" s="38"/>
      <c r="AN26" s="38"/>
      <c r="AO26" s="38"/>
      <c r="AP26" s="38"/>
      <c r="AQ26" s="38"/>
      <c r="AR26" s="38"/>
      <c r="AS26" s="38"/>
      <c r="AT26" s="38"/>
      <c r="AU26" s="38"/>
      <c r="AV26" s="38"/>
      <c r="AW26" s="38"/>
      <c r="AX26" s="38"/>
      <c r="AY26" s="38"/>
      <c r="AZ26" s="38"/>
      <c r="BA26" s="38"/>
      <c r="BB26" s="38"/>
      <c r="BC26" s="38"/>
      <c r="BD26" s="38"/>
      <c r="BE26" s="38"/>
      <c r="BF26" s="38"/>
    </row>
    <row r="27" spans="1:58" ht="18" customHeight="1">
      <c r="A27" s="28"/>
      <c r="B27" s="28"/>
      <c r="C27" s="33" t="s">
        <v>55</v>
      </c>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row>
    <row r="28" spans="1:58" ht="27.75" customHeight="1">
      <c r="A28" s="29"/>
      <c r="B28" s="29"/>
      <c r="C28" s="39" t="s">
        <v>56</v>
      </c>
      <c r="D28" s="39"/>
      <c r="E28" s="39"/>
      <c r="F28" s="39"/>
      <c r="G28" s="39"/>
      <c r="H28" s="39"/>
      <c r="I28" s="39"/>
      <c r="J28" s="39"/>
      <c r="K28" s="39"/>
      <c r="L28" s="39"/>
      <c r="M28" s="39"/>
      <c r="N28" s="39"/>
      <c r="O28" s="39"/>
      <c r="P28" s="39"/>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c r="AX28" s="39"/>
      <c r="AY28" s="39"/>
      <c r="AZ28" s="39"/>
      <c r="BA28" s="39"/>
      <c r="BB28" s="39"/>
      <c r="BC28" s="39"/>
      <c r="BD28" s="39"/>
      <c r="BE28" s="39"/>
      <c r="BF28" s="39"/>
    </row>
    <row r="29" spans="1:58" ht="29.25" customHeight="1">
      <c r="A29" s="30"/>
      <c r="B29" s="30"/>
      <c r="C29" s="34" t="s">
        <v>57</v>
      </c>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c r="BA29" s="34"/>
      <c r="BB29" s="34"/>
      <c r="BC29" s="34"/>
      <c r="BD29" s="34"/>
      <c r="BE29" s="34"/>
      <c r="BF29" s="34"/>
    </row>
    <row r="30" spans="1:58" ht="42.75" customHeight="1">
      <c r="A30" s="30"/>
      <c r="B30" s="30"/>
      <c r="C30" s="34" t="s">
        <v>74</v>
      </c>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c r="BA30" s="34"/>
      <c r="BB30" s="34"/>
      <c r="BC30" s="34"/>
      <c r="BD30" s="34"/>
      <c r="BE30" s="34"/>
      <c r="BF30" s="34"/>
    </row>
    <row r="31" spans="1:58" ht="18" customHeight="1">
      <c r="A31" s="28"/>
      <c r="B31" s="28"/>
      <c r="C31" s="33" t="s">
        <v>58</v>
      </c>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row>
    <row r="32" spans="1:58" ht="14.25">
      <c r="A32" s="28"/>
      <c r="B32" s="28"/>
      <c r="C32" s="31"/>
      <c r="D32" s="31"/>
      <c r="E32" s="31" t="s">
        <v>59</v>
      </c>
      <c r="F32" s="31"/>
      <c r="G32" s="31"/>
      <c r="H32" s="31"/>
      <c r="I32" s="31"/>
      <c r="J32" s="31" t="s">
        <v>60</v>
      </c>
      <c r="K32" s="31"/>
      <c r="L32" s="31"/>
      <c r="M32" s="31"/>
      <c r="N32" s="31"/>
      <c r="O32" s="31"/>
      <c r="P32" s="31"/>
      <c r="Q32" s="31"/>
      <c r="R32" s="31"/>
      <c r="S32" s="31"/>
      <c r="T32" s="31"/>
      <c r="U32" s="31"/>
      <c r="V32" s="31"/>
      <c r="W32" s="31"/>
      <c r="X32" s="31" t="s">
        <v>61</v>
      </c>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row>
    <row r="33" spans="1:58" ht="28.5" customHeight="1">
      <c r="A33" s="28"/>
      <c r="B33" s="28"/>
      <c r="C33" s="31"/>
      <c r="D33" s="31"/>
      <c r="E33" s="34" t="s">
        <v>62</v>
      </c>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row>
    <row r="34" spans="1:58" ht="18" customHeight="1">
      <c r="A34" s="28"/>
      <c r="B34" s="28"/>
      <c r="C34" s="34" t="s">
        <v>63</v>
      </c>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c r="BA34" s="34"/>
      <c r="BB34" s="34"/>
      <c r="BC34" s="34"/>
      <c r="BD34" s="34"/>
      <c r="BE34" s="34"/>
      <c r="BF34" s="34"/>
    </row>
    <row r="35" spans="1:58" ht="28.5" customHeight="1">
      <c r="A35" s="28"/>
      <c r="B35" s="28"/>
      <c r="C35" s="34" t="s">
        <v>64</v>
      </c>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4"/>
      <c r="AZ35" s="34"/>
      <c r="BA35" s="34"/>
      <c r="BB35" s="34"/>
      <c r="BC35" s="34"/>
      <c r="BD35" s="34"/>
      <c r="BE35" s="34"/>
      <c r="BF35" s="34"/>
    </row>
    <row r="36" spans="1:58" ht="28.5" customHeight="1">
      <c r="A36" s="30"/>
      <c r="B36" s="30"/>
      <c r="C36" s="36" t="s">
        <v>65</v>
      </c>
      <c r="D36" s="36"/>
      <c r="E36" s="36"/>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row>
  </sheetData>
  <mergeCells count="122">
    <mergeCell ref="I24:BE25"/>
    <mergeCell ref="A2:BF2"/>
    <mergeCell ref="A4:R4"/>
    <mergeCell ref="S4:AE4"/>
    <mergeCell ref="AF4:AM4"/>
    <mergeCell ref="AN4:BF4"/>
    <mergeCell ref="A5:G5"/>
    <mergeCell ref="H5:R5"/>
    <mergeCell ref="S5:Z5"/>
    <mergeCell ref="AA5:AJ5"/>
    <mergeCell ref="AK5:AS5"/>
    <mergeCell ref="AG7:AM7"/>
    <mergeCell ref="AN7:AT7"/>
    <mergeCell ref="AU7:AW9"/>
    <mergeCell ref="AX7:AZ9"/>
    <mergeCell ref="BA7:BC9"/>
    <mergeCell ref="BD7:BF9"/>
    <mergeCell ref="AT5:BF5"/>
    <mergeCell ref="A6:R6"/>
    <mergeCell ref="S6:AE6"/>
    <mergeCell ref="AF6:AM6"/>
    <mergeCell ref="AN6:BF6"/>
    <mergeCell ref="A7:F9"/>
    <mergeCell ref="G7:K9"/>
    <mergeCell ref="L7:R9"/>
    <mergeCell ref="S7:Y7"/>
    <mergeCell ref="Z7:AF7"/>
    <mergeCell ref="BD10:BF10"/>
    <mergeCell ref="A11:F11"/>
    <mergeCell ref="G11:K11"/>
    <mergeCell ref="L11:R11"/>
    <mergeCell ref="AU11:AW11"/>
    <mergeCell ref="AX11:AZ11"/>
    <mergeCell ref="BA11:BC11"/>
    <mergeCell ref="BD11:BF11"/>
    <mergeCell ref="A10:F10"/>
    <mergeCell ref="G10:K10"/>
    <mergeCell ref="L10:R10"/>
    <mergeCell ref="AU10:AW10"/>
    <mergeCell ref="AX10:AZ10"/>
    <mergeCell ref="BA10:BC10"/>
    <mergeCell ref="BD12:BF12"/>
    <mergeCell ref="A13:F13"/>
    <mergeCell ref="G13:K13"/>
    <mergeCell ref="L13:R13"/>
    <mergeCell ref="AU13:AW13"/>
    <mergeCell ref="AX13:AZ13"/>
    <mergeCell ref="BA13:BC13"/>
    <mergeCell ref="BD13:BF13"/>
    <mergeCell ref="A12:F12"/>
    <mergeCell ref="G12:K12"/>
    <mergeCell ref="L12:R12"/>
    <mergeCell ref="AU12:AW12"/>
    <mergeCell ref="AX12:AZ12"/>
    <mergeCell ref="BA12:BC12"/>
    <mergeCell ref="BD14:BF14"/>
    <mergeCell ref="A15:F15"/>
    <mergeCell ref="G15:K15"/>
    <mergeCell ref="L15:R15"/>
    <mergeCell ref="AU15:AW15"/>
    <mergeCell ref="AX15:AZ15"/>
    <mergeCell ref="BA15:BC15"/>
    <mergeCell ref="BD15:BF15"/>
    <mergeCell ref="A14:F14"/>
    <mergeCell ref="G14:K14"/>
    <mergeCell ref="L14:R14"/>
    <mergeCell ref="AU14:AW14"/>
    <mergeCell ref="AX14:AZ14"/>
    <mergeCell ref="BA14:BC14"/>
    <mergeCell ref="BD16:BF16"/>
    <mergeCell ref="A17:F17"/>
    <mergeCell ref="G17:K17"/>
    <mergeCell ref="L17:R17"/>
    <mergeCell ref="AU17:AW17"/>
    <mergeCell ref="AX17:AZ17"/>
    <mergeCell ref="BA17:BC17"/>
    <mergeCell ref="BD17:BF17"/>
    <mergeCell ref="A16:F16"/>
    <mergeCell ref="G16:K16"/>
    <mergeCell ref="L16:R16"/>
    <mergeCell ref="AU16:AW16"/>
    <mergeCell ref="AX16:AZ16"/>
    <mergeCell ref="BA16:BC16"/>
    <mergeCell ref="BD18:BF18"/>
    <mergeCell ref="A18:F18"/>
    <mergeCell ref="G18:K18"/>
    <mergeCell ref="L18:R18"/>
    <mergeCell ref="AU18:AW18"/>
    <mergeCell ref="AX18:AZ18"/>
    <mergeCell ref="BA18:BC18"/>
    <mergeCell ref="A19:F19"/>
    <mergeCell ref="G19:K19"/>
    <mergeCell ref="L19:R19"/>
    <mergeCell ref="AU19:AW19"/>
    <mergeCell ref="AX19:AZ19"/>
    <mergeCell ref="BA19:BC19"/>
    <mergeCell ref="BD19:BF19"/>
    <mergeCell ref="BD20:BF20"/>
    <mergeCell ref="A21:AT21"/>
    <mergeCell ref="AU21:BF21"/>
    <mergeCell ref="A22:R22"/>
    <mergeCell ref="AU22:AW22"/>
    <mergeCell ref="AX22:AZ22"/>
    <mergeCell ref="BA22:BC22"/>
    <mergeCell ref="BD22:BF22"/>
    <mergeCell ref="A20:F20"/>
    <mergeCell ref="G20:K20"/>
    <mergeCell ref="L20:R20"/>
    <mergeCell ref="AU20:AW20"/>
    <mergeCell ref="AX20:AZ20"/>
    <mergeCell ref="BA20:BC20"/>
    <mergeCell ref="C31:BF31"/>
    <mergeCell ref="E33:BF33"/>
    <mergeCell ref="C34:BF34"/>
    <mergeCell ref="C35:BF35"/>
    <mergeCell ref="C36:BF36"/>
    <mergeCell ref="A26:B26"/>
    <mergeCell ref="C26:BF26"/>
    <mergeCell ref="C27:BF27"/>
    <mergeCell ref="C28:BF28"/>
    <mergeCell ref="C29:BF29"/>
    <mergeCell ref="C30:BF30"/>
  </mergeCells>
  <phoneticPr fontId="3"/>
  <printOptions horizontalCentered="1"/>
  <pageMargins left="0.39370078740157483" right="0.39370078740157483" top="0.39370078740157483" bottom="0.39370078740157483" header="0.39370078740157483" footer="0.39370078740157483"/>
  <pageSetup paperSize="9" scale="78"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C2DA7-C514-46A6-B07D-47A1620297F6}">
  <sheetPr>
    <tabColor rgb="FF00B0F0"/>
    <pageSetUpPr fitToPage="1"/>
  </sheetPr>
  <dimension ref="A1:BU36"/>
  <sheetViews>
    <sheetView showGridLines="0" view="pageBreakPreview" topLeftCell="A4" zoomScale="85" zoomScaleNormal="70" zoomScaleSheetLayoutView="85" zoomScalePageLayoutView="70" workbookViewId="0">
      <selection activeCell="C34" sqref="C34:BF34"/>
    </sheetView>
  </sheetViews>
  <sheetFormatPr defaultColWidth="8.875" defaultRowHeight="21" customHeight="1"/>
  <cols>
    <col min="1" max="4" width="2.75" style="32" customWidth="1"/>
    <col min="5" max="18" width="2.75" style="3" customWidth="1"/>
    <col min="19" max="46" width="2.875" style="3" customWidth="1"/>
    <col min="47" max="71" width="2.75" style="3" customWidth="1"/>
    <col min="72" max="16384" width="8.875" style="3"/>
  </cols>
  <sheetData>
    <row r="1" spans="1:73" ht="21" customHeight="1">
      <c r="A1" s="1" t="s">
        <v>0</v>
      </c>
      <c r="B1" s="1"/>
      <c r="C1" s="1"/>
      <c r="D1" s="1"/>
      <c r="E1" s="1"/>
      <c r="F1" s="1"/>
      <c r="G1" s="1"/>
      <c r="H1" s="1"/>
      <c r="I1" s="1"/>
      <c r="J1" s="1"/>
      <c r="K1" s="1"/>
      <c r="L1" s="1"/>
      <c r="M1" s="1"/>
      <c r="N1" s="1"/>
      <c r="O1" s="1"/>
      <c r="P1" s="1"/>
      <c r="Q1" s="1"/>
      <c r="R1" s="1"/>
      <c r="S1" s="1"/>
      <c r="T1" s="1"/>
      <c r="U1" s="1"/>
      <c r="V1" s="1"/>
      <c r="W1" s="1"/>
      <c r="X1" s="1"/>
      <c r="Y1" s="1"/>
      <c r="Z1" s="2"/>
      <c r="AA1" s="1"/>
      <c r="AB1" s="1"/>
      <c r="AC1" s="1"/>
      <c r="AD1" s="1"/>
      <c r="AE1" s="1"/>
      <c r="AF1" s="1"/>
      <c r="AG1" s="1"/>
      <c r="AH1" s="1"/>
      <c r="AI1" s="1"/>
      <c r="AJ1" s="1"/>
      <c r="AK1" s="1"/>
      <c r="AL1" s="1"/>
      <c r="AM1" s="1"/>
      <c r="AN1" s="1"/>
      <c r="AO1" s="1"/>
      <c r="AP1" s="1"/>
      <c r="AQ1" s="1"/>
      <c r="AR1" s="1"/>
      <c r="AS1" s="1"/>
      <c r="AT1" s="1"/>
      <c r="AU1" s="1"/>
      <c r="AV1" s="1"/>
      <c r="AW1" s="1"/>
    </row>
    <row r="2" spans="1:73" ht="21" customHeight="1">
      <c r="A2" s="96" t="s">
        <v>1</v>
      </c>
      <c r="B2" s="96"/>
      <c r="C2" s="96"/>
      <c r="D2" s="96"/>
      <c r="E2" s="96"/>
      <c r="F2" s="96"/>
      <c r="G2" s="96"/>
      <c r="H2" s="96"/>
      <c r="I2" s="96"/>
      <c r="J2" s="96"/>
      <c r="K2" s="96"/>
      <c r="L2" s="96"/>
      <c r="M2" s="96"/>
      <c r="N2" s="96"/>
      <c r="O2" s="96"/>
      <c r="P2" s="96"/>
      <c r="Q2" s="96"/>
      <c r="R2" s="96"/>
      <c r="S2" s="96"/>
      <c r="T2" s="96"/>
      <c r="U2" s="96"/>
      <c r="V2" s="96"/>
      <c r="W2" s="96"/>
      <c r="X2" s="96"/>
      <c r="Y2" s="96"/>
      <c r="Z2" s="96"/>
      <c r="AA2" s="96"/>
      <c r="AB2" s="96"/>
      <c r="AC2" s="96"/>
      <c r="AD2" s="96"/>
      <c r="AE2" s="96"/>
      <c r="AF2" s="96"/>
      <c r="AG2" s="96"/>
      <c r="AH2" s="96"/>
      <c r="AI2" s="96"/>
      <c r="AJ2" s="96"/>
      <c r="AK2" s="96"/>
      <c r="AL2" s="96"/>
      <c r="AM2" s="96"/>
      <c r="AN2" s="96"/>
      <c r="AO2" s="96"/>
      <c r="AP2" s="96"/>
      <c r="AQ2" s="96"/>
      <c r="AR2" s="96"/>
      <c r="AS2" s="96"/>
      <c r="AT2" s="96"/>
      <c r="AU2" s="96"/>
      <c r="AV2" s="96"/>
      <c r="AW2" s="96"/>
      <c r="AX2" s="96"/>
      <c r="AY2" s="96"/>
      <c r="AZ2" s="96"/>
      <c r="BA2" s="96"/>
      <c r="BB2" s="96"/>
      <c r="BC2" s="96"/>
      <c r="BD2" s="96"/>
      <c r="BE2" s="96"/>
      <c r="BF2" s="96"/>
    </row>
    <row r="3" spans="1:73" ht="9.75" customHeight="1" thickBot="1">
      <c r="A3" s="4"/>
      <c r="B3" s="4"/>
      <c r="C3" s="4"/>
      <c r="D3" s="4"/>
      <c r="E3" s="4"/>
    </row>
    <row r="4" spans="1:73" ht="21" customHeight="1" thickBot="1">
      <c r="A4" s="97" t="s">
        <v>2</v>
      </c>
      <c r="B4" s="98"/>
      <c r="C4" s="98"/>
      <c r="D4" s="98"/>
      <c r="E4" s="98"/>
      <c r="F4" s="98"/>
      <c r="G4" s="98"/>
      <c r="H4" s="98"/>
      <c r="I4" s="98"/>
      <c r="J4" s="98"/>
      <c r="K4" s="98"/>
      <c r="L4" s="98"/>
      <c r="M4" s="98"/>
      <c r="N4" s="98"/>
      <c r="O4" s="98"/>
      <c r="P4" s="98"/>
      <c r="Q4" s="98"/>
      <c r="R4" s="98"/>
      <c r="S4" s="98" t="s">
        <v>66</v>
      </c>
      <c r="T4" s="98"/>
      <c r="U4" s="98"/>
      <c r="V4" s="98"/>
      <c r="W4" s="98"/>
      <c r="X4" s="98"/>
      <c r="Y4" s="98"/>
      <c r="Z4" s="98"/>
      <c r="AA4" s="98"/>
      <c r="AB4" s="98"/>
      <c r="AC4" s="98"/>
      <c r="AD4" s="98"/>
      <c r="AE4" s="98"/>
      <c r="AF4" s="98" t="s">
        <v>4</v>
      </c>
      <c r="AG4" s="98"/>
      <c r="AH4" s="98"/>
      <c r="AI4" s="98"/>
      <c r="AJ4" s="98"/>
      <c r="AK4" s="98"/>
      <c r="AL4" s="98"/>
      <c r="AM4" s="98"/>
      <c r="AN4" s="98" t="s">
        <v>5</v>
      </c>
      <c r="AO4" s="98"/>
      <c r="AP4" s="98"/>
      <c r="AQ4" s="98"/>
      <c r="AR4" s="98"/>
      <c r="AS4" s="98"/>
      <c r="AT4" s="98"/>
      <c r="AU4" s="98"/>
      <c r="AV4" s="98"/>
      <c r="AW4" s="98"/>
      <c r="AX4" s="98"/>
      <c r="AY4" s="98"/>
      <c r="AZ4" s="98"/>
      <c r="BA4" s="98"/>
      <c r="BB4" s="98"/>
      <c r="BC4" s="98"/>
      <c r="BD4" s="98"/>
      <c r="BE4" s="98"/>
      <c r="BF4" s="99"/>
    </row>
    <row r="5" spans="1:73" ht="21" customHeight="1" thickBot="1">
      <c r="A5" s="100" t="s">
        <v>6</v>
      </c>
      <c r="B5" s="101"/>
      <c r="C5" s="101"/>
      <c r="D5" s="101"/>
      <c r="E5" s="101"/>
      <c r="F5" s="101"/>
      <c r="G5" s="101"/>
      <c r="H5" s="102">
        <v>6</v>
      </c>
      <c r="I5" s="47"/>
      <c r="J5" s="47"/>
      <c r="K5" s="47"/>
      <c r="L5" s="47"/>
      <c r="M5" s="47"/>
      <c r="N5" s="47"/>
      <c r="O5" s="47"/>
      <c r="P5" s="47"/>
      <c r="Q5" s="47"/>
      <c r="R5" s="47"/>
      <c r="S5" s="51" t="s">
        <v>7</v>
      </c>
      <c r="T5" s="91"/>
      <c r="U5" s="91"/>
      <c r="V5" s="91"/>
      <c r="W5" s="91"/>
      <c r="X5" s="91"/>
      <c r="Y5" s="91"/>
      <c r="Z5" s="92"/>
      <c r="AA5" s="102" t="s">
        <v>67</v>
      </c>
      <c r="AB5" s="47"/>
      <c r="AC5" s="47"/>
      <c r="AD5" s="47"/>
      <c r="AE5" s="47"/>
      <c r="AF5" s="47"/>
      <c r="AG5" s="47"/>
      <c r="AH5" s="47"/>
      <c r="AI5" s="47"/>
      <c r="AJ5" s="52"/>
      <c r="AK5" s="102" t="s">
        <v>9</v>
      </c>
      <c r="AL5" s="47"/>
      <c r="AM5" s="47"/>
      <c r="AN5" s="47"/>
      <c r="AO5" s="47"/>
      <c r="AP5" s="47"/>
      <c r="AQ5" s="47"/>
      <c r="AR5" s="47"/>
      <c r="AS5" s="52"/>
      <c r="AT5" s="86" t="s">
        <v>68</v>
      </c>
      <c r="AU5" s="87"/>
      <c r="AV5" s="87"/>
      <c r="AW5" s="87"/>
      <c r="AX5" s="87"/>
      <c r="AY5" s="87"/>
      <c r="AZ5" s="87"/>
      <c r="BA5" s="87"/>
      <c r="BB5" s="87"/>
      <c r="BC5" s="87"/>
      <c r="BD5" s="87"/>
      <c r="BE5" s="87"/>
      <c r="BF5" s="88"/>
    </row>
    <row r="6" spans="1:73" ht="21" customHeight="1" thickBot="1">
      <c r="A6" s="89" t="s">
        <v>11</v>
      </c>
      <c r="B6" s="90"/>
      <c r="C6" s="90"/>
      <c r="D6" s="90"/>
      <c r="E6" s="90"/>
      <c r="F6" s="90"/>
      <c r="G6" s="90"/>
      <c r="H6" s="90"/>
      <c r="I6" s="90"/>
      <c r="J6" s="90"/>
      <c r="K6" s="90"/>
      <c r="L6" s="90"/>
      <c r="M6" s="90"/>
      <c r="N6" s="90"/>
      <c r="O6" s="90"/>
      <c r="P6" s="90"/>
      <c r="Q6" s="90"/>
      <c r="R6" s="90"/>
      <c r="S6" s="51"/>
      <c r="T6" s="91"/>
      <c r="U6" s="91"/>
      <c r="V6" s="91"/>
      <c r="W6" s="91"/>
      <c r="X6" s="91"/>
      <c r="Y6" s="91"/>
      <c r="Z6" s="91"/>
      <c r="AA6" s="91"/>
      <c r="AB6" s="91"/>
      <c r="AC6" s="91"/>
      <c r="AD6" s="91"/>
      <c r="AE6" s="92"/>
      <c r="AF6" s="90" t="s">
        <v>13</v>
      </c>
      <c r="AG6" s="90"/>
      <c r="AH6" s="90"/>
      <c r="AI6" s="90"/>
      <c r="AJ6" s="90"/>
      <c r="AK6" s="90"/>
      <c r="AL6" s="90"/>
      <c r="AM6" s="90"/>
      <c r="AN6" s="90" t="s">
        <v>14</v>
      </c>
      <c r="AO6" s="90"/>
      <c r="AP6" s="90"/>
      <c r="AQ6" s="90"/>
      <c r="AR6" s="90"/>
      <c r="AS6" s="90"/>
      <c r="AT6" s="90"/>
      <c r="AU6" s="90"/>
      <c r="AV6" s="90"/>
      <c r="AW6" s="90"/>
      <c r="AX6" s="90"/>
      <c r="AY6" s="90"/>
      <c r="AZ6" s="90"/>
      <c r="BA6" s="90"/>
      <c r="BB6" s="90"/>
      <c r="BC6" s="90"/>
      <c r="BD6" s="90"/>
      <c r="BE6" s="90"/>
      <c r="BF6" s="93"/>
    </row>
    <row r="7" spans="1:73" ht="21" customHeight="1">
      <c r="A7" s="67" t="s">
        <v>15</v>
      </c>
      <c r="B7" s="68"/>
      <c r="C7" s="68"/>
      <c r="D7" s="68"/>
      <c r="E7" s="68"/>
      <c r="F7" s="68"/>
      <c r="G7" s="72" t="s">
        <v>16</v>
      </c>
      <c r="H7" s="72"/>
      <c r="I7" s="72"/>
      <c r="J7" s="72"/>
      <c r="K7" s="72"/>
      <c r="L7" s="68" t="s">
        <v>17</v>
      </c>
      <c r="M7" s="68"/>
      <c r="N7" s="68"/>
      <c r="O7" s="68"/>
      <c r="P7" s="68"/>
      <c r="Q7" s="68"/>
      <c r="R7" s="95"/>
      <c r="S7" s="67" t="s">
        <v>18</v>
      </c>
      <c r="T7" s="68"/>
      <c r="U7" s="68"/>
      <c r="V7" s="68"/>
      <c r="W7" s="68"/>
      <c r="X7" s="68"/>
      <c r="Y7" s="69"/>
      <c r="Z7" s="67" t="s">
        <v>19</v>
      </c>
      <c r="AA7" s="68"/>
      <c r="AB7" s="68"/>
      <c r="AC7" s="68"/>
      <c r="AD7" s="68"/>
      <c r="AE7" s="68"/>
      <c r="AF7" s="69"/>
      <c r="AG7" s="67" t="s">
        <v>20</v>
      </c>
      <c r="AH7" s="68"/>
      <c r="AI7" s="68"/>
      <c r="AJ7" s="68"/>
      <c r="AK7" s="68"/>
      <c r="AL7" s="68"/>
      <c r="AM7" s="69"/>
      <c r="AN7" s="70" t="s">
        <v>21</v>
      </c>
      <c r="AO7" s="68"/>
      <c r="AP7" s="68"/>
      <c r="AQ7" s="68"/>
      <c r="AR7" s="68"/>
      <c r="AS7" s="68"/>
      <c r="AT7" s="69"/>
      <c r="AU7" s="71" t="s">
        <v>22</v>
      </c>
      <c r="AV7" s="72"/>
      <c r="AW7" s="72"/>
      <c r="AX7" s="72" t="s">
        <v>23</v>
      </c>
      <c r="AY7" s="72"/>
      <c r="AZ7" s="72"/>
      <c r="BA7" s="75" t="s">
        <v>24</v>
      </c>
      <c r="BB7" s="76"/>
      <c r="BC7" s="77"/>
      <c r="BD7" s="72" t="s">
        <v>25</v>
      </c>
      <c r="BE7" s="72"/>
      <c r="BF7" s="84"/>
    </row>
    <row r="8" spans="1:73" ht="21" customHeight="1">
      <c r="A8" s="94"/>
      <c r="B8" s="59"/>
      <c r="C8" s="59"/>
      <c r="D8" s="59"/>
      <c r="E8" s="59"/>
      <c r="F8" s="59"/>
      <c r="G8" s="74"/>
      <c r="H8" s="74"/>
      <c r="I8" s="74"/>
      <c r="J8" s="74"/>
      <c r="K8" s="74"/>
      <c r="L8" s="59"/>
      <c r="M8" s="59"/>
      <c r="N8" s="59"/>
      <c r="O8" s="59"/>
      <c r="P8" s="59"/>
      <c r="Q8" s="59"/>
      <c r="R8" s="60"/>
      <c r="S8" s="5">
        <v>1</v>
      </c>
      <c r="T8" s="6">
        <v>2</v>
      </c>
      <c r="U8" s="6">
        <v>3</v>
      </c>
      <c r="V8" s="6">
        <v>4</v>
      </c>
      <c r="W8" s="6">
        <v>5</v>
      </c>
      <c r="X8" s="6">
        <v>6</v>
      </c>
      <c r="Y8" s="7">
        <v>7</v>
      </c>
      <c r="Z8" s="5">
        <v>8</v>
      </c>
      <c r="AA8" s="6">
        <v>9</v>
      </c>
      <c r="AB8" s="6">
        <v>10</v>
      </c>
      <c r="AC8" s="6">
        <v>11</v>
      </c>
      <c r="AD8" s="6">
        <v>12</v>
      </c>
      <c r="AE8" s="6">
        <v>13</v>
      </c>
      <c r="AF8" s="7">
        <v>14</v>
      </c>
      <c r="AG8" s="5">
        <v>15</v>
      </c>
      <c r="AH8" s="6">
        <v>16</v>
      </c>
      <c r="AI8" s="6">
        <v>17</v>
      </c>
      <c r="AJ8" s="6">
        <v>18</v>
      </c>
      <c r="AK8" s="6">
        <v>19</v>
      </c>
      <c r="AL8" s="6">
        <v>20</v>
      </c>
      <c r="AM8" s="7">
        <v>21</v>
      </c>
      <c r="AN8" s="8">
        <v>22</v>
      </c>
      <c r="AO8" s="6">
        <v>23</v>
      </c>
      <c r="AP8" s="6">
        <v>24</v>
      </c>
      <c r="AQ8" s="6">
        <v>25</v>
      </c>
      <c r="AR8" s="6">
        <v>26</v>
      </c>
      <c r="AS8" s="6">
        <v>27</v>
      </c>
      <c r="AT8" s="7">
        <v>28</v>
      </c>
      <c r="AU8" s="73"/>
      <c r="AV8" s="74"/>
      <c r="AW8" s="74"/>
      <c r="AX8" s="74"/>
      <c r="AY8" s="74"/>
      <c r="AZ8" s="74"/>
      <c r="BA8" s="78"/>
      <c r="BB8" s="79"/>
      <c r="BC8" s="80"/>
      <c r="BD8" s="74"/>
      <c r="BE8" s="74"/>
      <c r="BF8" s="85"/>
      <c r="BU8" s="3">
        <f>5.4/6</f>
        <v>0.9</v>
      </c>
    </row>
    <row r="9" spans="1:73" ht="21" customHeight="1">
      <c r="A9" s="94"/>
      <c r="B9" s="59"/>
      <c r="C9" s="59"/>
      <c r="D9" s="59"/>
      <c r="E9" s="59"/>
      <c r="F9" s="59"/>
      <c r="G9" s="74"/>
      <c r="H9" s="74"/>
      <c r="I9" s="74"/>
      <c r="J9" s="74"/>
      <c r="K9" s="74"/>
      <c r="L9" s="59"/>
      <c r="M9" s="59"/>
      <c r="N9" s="59"/>
      <c r="O9" s="59"/>
      <c r="P9" s="59"/>
      <c r="Q9" s="59"/>
      <c r="R9" s="60"/>
      <c r="S9" s="9" t="s">
        <v>26</v>
      </c>
      <c r="T9" s="6" t="s">
        <v>27</v>
      </c>
      <c r="U9" s="6" t="s">
        <v>28</v>
      </c>
      <c r="V9" s="6" t="s">
        <v>29</v>
      </c>
      <c r="W9" s="6" t="s">
        <v>30</v>
      </c>
      <c r="X9" s="6" t="s">
        <v>31</v>
      </c>
      <c r="Y9" s="7" t="s">
        <v>32</v>
      </c>
      <c r="Z9" s="9" t="s">
        <v>33</v>
      </c>
      <c r="AA9" s="6" t="s">
        <v>34</v>
      </c>
      <c r="AB9" s="6" t="s">
        <v>28</v>
      </c>
      <c r="AC9" s="6" t="s">
        <v>29</v>
      </c>
      <c r="AD9" s="6" t="s">
        <v>30</v>
      </c>
      <c r="AE9" s="6" t="s">
        <v>31</v>
      </c>
      <c r="AF9" s="7" t="s">
        <v>32</v>
      </c>
      <c r="AG9" s="9" t="s">
        <v>33</v>
      </c>
      <c r="AH9" s="6" t="s">
        <v>34</v>
      </c>
      <c r="AI9" s="6" t="s">
        <v>28</v>
      </c>
      <c r="AJ9" s="6" t="s">
        <v>29</v>
      </c>
      <c r="AK9" s="6" t="s">
        <v>30</v>
      </c>
      <c r="AL9" s="6" t="s">
        <v>31</v>
      </c>
      <c r="AM9" s="7" t="s">
        <v>32</v>
      </c>
      <c r="AN9" s="9" t="s">
        <v>33</v>
      </c>
      <c r="AO9" s="6" t="s">
        <v>34</v>
      </c>
      <c r="AP9" s="6" t="s">
        <v>28</v>
      </c>
      <c r="AQ9" s="6" t="s">
        <v>29</v>
      </c>
      <c r="AR9" s="6" t="s">
        <v>30</v>
      </c>
      <c r="AS9" s="6" t="s">
        <v>31</v>
      </c>
      <c r="AT9" s="7" t="s">
        <v>32</v>
      </c>
      <c r="AU9" s="73"/>
      <c r="AV9" s="74"/>
      <c r="AW9" s="74"/>
      <c r="AX9" s="74"/>
      <c r="AY9" s="74"/>
      <c r="AZ9" s="74"/>
      <c r="BA9" s="81"/>
      <c r="BB9" s="82"/>
      <c r="BC9" s="83"/>
      <c r="BD9" s="74"/>
      <c r="BE9" s="74"/>
      <c r="BF9" s="85"/>
    </row>
    <row r="10" spans="1:73" ht="17.25" customHeight="1">
      <c r="A10" s="57" t="s">
        <v>35</v>
      </c>
      <c r="B10" s="58"/>
      <c r="C10" s="58"/>
      <c r="D10" s="58"/>
      <c r="E10" s="58"/>
      <c r="F10" s="58"/>
      <c r="G10" s="58" t="s">
        <v>36</v>
      </c>
      <c r="H10" s="58"/>
      <c r="I10" s="58"/>
      <c r="J10" s="58"/>
      <c r="K10" s="58"/>
      <c r="L10" s="59" t="s">
        <v>37</v>
      </c>
      <c r="M10" s="59"/>
      <c r="N10" s="59"/>
      <c r="O10" s="59"/>
      <c r="P10" s="59"/>
      <c r="Q10" s="59"/>
      <c r="R10" s="60"/>
      <c r="S10" s="10" t="s">
        <v>38</v>
      </c>
      <c r="T10" s="11" t="s">
        <v>38</v>
      </c>
      <c r="U10" s="11"/>
      <c r="V10" s="11"/>
      <c r="W10" s="11" t="s">
        <v>38</v>
      </c>
      <c r="X10" s="11" t="s">
        <v>38</v>
      </c>
      <c r="Y10" s="12" t="s">
        <v>38</v>
      </c>
      <c r="Z10" s="10" t="s">
        <v>38</v>
      </c>
      <c r="AA10" s="11" t="s">
        <v>38</v>
      </c>
      <c r="AB10" s="11"/>
      <c r="AC10" s="11"/>
      <c r="AD10" s="11" t="s">
        <v>38</v>
      </c>
      <c r="AE10" s="11" t="s">
        <v>38</v>
      </c>
      <c r="AF10" s="12" t="s">
        <v>38</v>
      </c>
      <c r="AG10" s="10" t="s">
        <v>38</v>
      </c>
      <c r="AH10" s="11" t="s">
        <v>38</v>
      </c>
      <c r="AI10" s="11"/>
      <c r="AJ10" s="11"/>
      <c r="AK10" s="11" t="s">
        <v>38</v>
      </c>
      <c r="AL10" s="11" t="s">
        <v>38</v>
      </c>
      <c r="AM10" s="12" t="s">
        <v>38</v>
      </c>
      <c r="AN10" s="10" t="s">
        <v>38</v>
      </c>
      <c r="AO10" s="11"/>
      <c r="AP10" s="11" t="s">
        <v>38</v>
      </c>
      <c r="AQ10" s="11"/>
      <c r="AR10" s="11" t="s">
        <v>38</v>
      </c>
      <c r="AS10" s="11" t="s">
        <v>38</v>
      </c>
      <c r="AT10" s="12" t="s">
        <v>38</v>
      </c>
      <c r="AU10" s="61">
        <f>6.5*20</f>
        <v>130</v>
      </c>
      <c r="AV10" s="61"/>
      <c r="AW10" s="62"/>
      <c r="AX10" s="40">
        <f>6.5*5</f>
        <v>32.5</v>
      </c>
      <c r="AY10" s="41"/>
      <c r="AZ10" s="63"/>
      <c r="BA10" s="40">
        <f>6.5*5</f>
        <v>32.5</v>
      </c>
      <c r="BB10" s="41"/>
      <c r="BC10" s="63"/>
      <c r="BD10" s="40">
        <f>BA10/AU21</f>
        <v>1</v>
      </c>
      <c r="BE10" s="41"/>
      <c r="BF10" s="42"/>
    </row>
    <row r="11" spans="1:73" ht="17.25" customHeight="1">
      <c r="A11" s="57" t="s">
        <v>39</v>
      </c>
      <c r="B11" s="58"/>
      <c r="C11" s="58"/>
      <c r="D11" s="58"/>
      <c r="E11" s="58"/>
      <c r="F11" s="58"/>
      <c r="G11" s="58" t="s">
        <v>36</v>
      </c>
      <c r="H11" s="58"/>
      <c r="I11" s="58"/>
      <c r="J11" s="58"/>
      <c r="K11" s="58"/>
      <c r="L11" s="59" t="s">
        <v>40</v>
      </c>
      <c r="M11" s="59"/>
      <c r="N11" s="59"/>
      <c r="O11" s="59"/>
      <c r="P11" s="59"/>
      <c r="Q11" s="59"/>
      <c r="R11" s="60"/>
      <c r="S11" s="10" t="s">
        <v>38</v>
      </c>
      <c r="T11" s="11" t="s">
        <v>38</v>
      </c>
      <c r="U11" s="11"/>
      <c r="V11" s="11"/>
      <c r="W11" s="11" t="s">
        <v>38</v>
      </c>
      <c r="X11" s="11" t="s">
        <v>38</v>
      </c>
      <c r="Y11" s="12" t="s">
        <v>38</v>
      </c>
      <c r="Z11" s="10" t="s">
        <v>38</v>
      </c>
      <c r="AA11" s="11" t="s">
        <v>38</v>
      </c>
      <c r="AB11" s="11"/>
      <c r="AC11" s="11"/>
      <c r="AD11" s="11" t="s">
        <v>38</v>
      </c>
      <c r="AE11" s="11" t="s">
        <v>38</v>
      </c>
      <c r="AF11" s="12" t="s">
        <v>38</v>
      </c>
      <c r="AG11" s="10" t="s">
        <v>38</v>
      </c>
      <c r="AH11" s="11" t="s">
        <v>38</v>
      </c>
      <c r="AI11" s="11"/>
      <c r="AJ11" s="11"/>
      <c r="AK11" s="11" t="s">
        <v>38</v>
      </c>
      <c r="AL11" s="11" t="s">
        <v>38</v>
      </c>
      <c r="AM11" s="12" t="s">
        <v>38</v>
      </c>
      <c r="AN11" s="10" t="s">
        <v>38</v>
      </c>
      <c r="AO11" s="11"/>
      <c r="AP11" s="11" t="s">
        <v>38</v>
      </c>
      <c r="AQ11" s="11"/>
      <c r="AR11" s="11" t="s">
        <v>38</v>
      </c>
      <c r="AS11" s="11" t="s">
        <v>38</v>
      </c>
      <c r="AT11" s="12" t="s">
        <v>38</v>
      </c>
      <c r="AU11" s="61">
        <f>6.5*20</f>
        <v>130</v>
      </c>
      <c r="AV11" s="61"/>
      <c r="AW11" s="62"/>
      <c r="AX11" s="40">
        <f>6.5*5</f>
        <v>32.5</v>
      </c>
      <c r="AY11" s="41"/>
      <c r="AZ11" s="63"/>
      <c r="BA11" s="40">
        <f>6.5*5</f>
        <v>32.5</v>
      </c>
      <c r="BB11" s="41"/>
      <c r="BC11" s="63"/>
      <c r="BD11" s="40">
        <v>1</v>
      </c>
      <c r="BE11" s="41"/>
      <c r="BF11" s="42"/>
    </row>
    <row r="12" spans="1:73" ht="17.25" customHeight="1">
      <c r="A12" s="57" t="s">
        <v>41</v>
      </c>
      <c r="B12" s="58"/>
      <c r="C12" s="58"/>
      <c r="D12" s="58"/>
      <c r="E12" s="58"/>
      <c r="F12" s="58"/>
      <c r="G12" s="59"/>
      <c r="H12" s="59"/>
      <c r="I12" s="59"/>
      <c r="J12" s="59"/>
      <c r="K12" s="59"/>
      <c r="L12" s="59"/>
      <c r="M12" s="59"/>
      <c r="N12" s="59"/>
      <c r="O12" s="59"/>
      <c r="P12" s="59"/>
      <c r="Q12" s="59"/>
      <c r="R12" s="60"/>
      <c r="S12" s="10"/>
      <c r="T12" s="13"/>
      <c r="U12" s="13"/>
      <c r="V12" s="13"/>
      <c r="W12" s="13"/>
      <c r="X12" s="13"/>
      <c r="Y12" s="12"/>
      <c r="Z12" s="10"/>
      <c r="AA12" s="13"/>
      <c r="AB12" s="13"/>
      <c r="AC12" s="13"/>
      <c r="AD12" s="13"/>
      <c r="AE12" s="13"/>
      <c r="AF12" s="12"/>
      <c r="AG12" s="10"/>
      <c r="AH12" s="13"/>
      <c r="AI12" s="13"/>
      <c r="AJ12" s="13"/>
      <c r="AK12" s="13"/>
      <c r="AL12" s="13"/>
      <c r="AM12" s="12"/>
      <c r="AN12" s="10"/>
      <c r="AO12" s="13"/>
      <c r="AP12" s="13"/>
      <c r="AQ12" s="13"/>
      <c r="AR12" s="13"/>
      <c r="AS12" s="13"/>
      <c r="AT12" s="12"/>
      <c r="AU12" s="61"/>
      <c r="AV12" s="61"/>
      <c r="AW12" s="62"/>
      <c r="AX12" s="40"/>
      <c r="AY12" s="41"/>
      <c r="AZ12" s="63"/>
      <c r="BA12" s="40"/>
      <c r="BB12" s="41"/>
      <c r="BC12" s="63"/>
      <c r="BD12" s="40"/>
      <c r="BE12" s="41"/>
      <c r="BF12" s="42"/>
    </row>
    <row r="13" spans="1:73" ht="15.75" customHeight="1">
      <c r="A13" s="57" t="s">
        <v>42</v>
      </c>
      <c r="B13" s="58"/>
      <c r="C13" s="58"/>
      <c r="D13" s="58"/>
      <c r="E13" s="58"/>
      <c r="F13" s="58"/>
      <c r="G13" s="58" t="s">
        <v>69</v>
      </c>
      <c r="H13" s="58"/>
      <c r="I13" s="58"/>
      <c r="J13" s="58"/>
      <c r="K13" s="58"/>
      <c r="L13" s="59" t="s">
        <v>70</v>
      </c>
      <c r="M13" s="59"/>
      <c r="N13" s="59"/>
      <c r="O13" s="59"/>
      <c r="P13" s="59"/>
      <c r="Q13" s="59"/>
      <c r="R13" s="60"/>
      <c r="S13" s="10" t="s">
        <v>38</v>
      </c>
      <c r="T13" s="11" t="s">
        <v>38</v>
      </c>
      <c r="U13" s="11"/>
      <c r="V13" s="11"/>
      <c r="W13" s="11" t="s">
        <v>38</v>
      </c>
      <c r="X13" s="11" t="s">
        <v>38</v>
      </c>
      <c r="Y13" s="12" t="s">
        <v>38</v>
      </c>
      <c r="Z13" s="10" t="s">
        <v>38</v>
      </c>
      <c r="AA13" s="11" t="s">
        <v>38</v>
      </c>
      <c r="AB13" s="11"/>
      <c r="AC13" s="11"/>
      <c r="AD13" s="11" t="s">
        <v>38</v>
      </c>
      <c r="AE13" s="11" t="s">
        <v>38</v>
      </c>
      <c r="AF13" s="12" t="s">
        <v>38</v>
      </c>
      <c r="AG13" s="10" t="s">
        <v>38</v>
      </c>
      <c r="AH13" s="11" t="s">
        <v>38</v>
      </c>
      <c r="AI13" s="11"/>
      <c r="AJ13" s="11"/>
      <c r="AK13" s="11" t="s">
        <v>38</v>
      </c>
      <c r="AL13" s="11" t="s">
        <v>38</v>
      </c>
      <c r="AM13" s="12" t="s">
        <v>38</v>
      </c>
      <c r="AN13" s="10" t="s">
        <v>38</v>
      </c>
      <c r="AO13" s="11"/>
      <c r="AP13" s="11" t="s">
        <v>38</v>
      </c>
      <c r="AQ13" s="11"/>
      <c r="AR13" s="11" t="s">
        <v>38</v>
      </c>
      <c r="AS13" s="11" t="s">
        <v>38</v>
      </c>
      <c r="AT13" s="12" t="s">
        <v>38</v>
      </c>
      <c r="AU13" s="61">
        <v>130</v>
      </c>
      <c r="AV13" s="61"/>
      <c r="AW13" s="62"/>
      <c r="AX13" s="64">
        <v>32.5</v>
      </c>
      <c r="AY13" s="65"/>
      <c r="AZ13" s="66"/>
      <c r="BA13" s="64">
        <v>32.5</v>
      </c>
      <c r="BB13" s="65"/>
      <c r="BC13" s="66"/>
      <c r="BD13" s="40">
        <v>1</v>
      </c>
      <c r="BE13" s="41"/>
      <c r="BF13" s="42"/>
    </row>
    <row r="14" spans="1:73" ht="15.75" customHeight="1">
      <c r="A14" s="57" t="s">
        <v>43</v>
      </c>
      <c r="B14" s="58"/>
      <c r="C14" s="58"/>
      <c r="D14" s="58"/>
      <c r="E14" s="58"/>
      <c r="F14" s="58"/>
      <c r="G14" s="58" t="s">
        <v>36</v>
      </c>
      <c r="H14" s="58"/>
      <c r="I14" s="58"/>
      <c r="J14" s="58"/>
      <c r="K14" s="58"/>
      <c r="L14" s="59" t="s">
        <v>45</v>
      </c>
      <c r="M14" s="59"/>
      <c r="N14" s="59"/>
      <c r="O14" s="59"/>
      <c r="P14" s="59"/>
      <c r="Q14" s="59"/>
      <c r="R14" s="60"/>
      <c r="S14" s="10" t="s">
        <v>71</v>
      </c>
      <c r="T14" s="11" t="s">
        <v>71</v>
      </c>
      <c r="U14" s="11"/>
      <c r="V14" s="11"/>
      <c r="W14" s="11" t="s">
        <v>71</v>
      </c>
      <c r="X14" s="11" t="s">
        <v>71</v>
      </c>
      <c r="Y14" s="12" t="s">
        <v>71</v>
      </c>
      <c r="Z14" s="10" t="s">
        <v>71</v>
      </c>
      <c r="AA14" s="11" t="s">
        <v>71</v>
      </c>
      <c r="AB14" s="11"/>
      <c r="AC14" s="11"/>
      <c r="AD14" s="11" t="s">
        <v>71</v>
      </c>
      <c r="AE14" s="11" t="s">
        <v>71</v>
      </c>
      <c r="AF14" s="12" t="s">
        <v>71</v>
      </c>
      <c r="AG14" s="10" t="s">
        <v>71</v>
      </c>
      <c r="AH14" s="11" t="s">
        <v>71</v>
      </c>
      <c r="AI14" s="11"/>
      <c r="AJ14" s="11"/>
      <c r="AK14" s="11" t="s">
        <v>71</v>
      </c>
      <c r="AL14" s="11" t="s">
        <v>71</v>
      </c>
      <c r="AM14" s="12" t="s">
        <v>71</v>
      </c>
      <c r="AN14" s="10" t="s">
        <v>71</v>
      </c>
      <c r="AO14" s="11"/>
      <c r="AP14" s="11" t="s">
        <v>71</v>
      </c>
      <c r="AQ14" s="11"/>
      <c r="AR14" s="11" t="s">
        <v>71</v>
      </c>
      <c r="AS14" s="11" t="s">
        <v>71</v>
      </c>
      <c r="AT14" s="12" t="s">
        <v>71</v>
      </c>
      <c r="AU14" s="61">
        <f>3*4*5</f>
        <v>60</v>
      </c>
      <c r="AV14" s="61"/>
      <c r="AW14" s="62"/>
      <c r="AX14" s="64">
        <f>AU14/4</f>
        <v>15</v>
      </c>
      <c r="AY14" s="65"/>
      <c r="AZ14" s="66"/>
      <c r="BA14" s="64">
        <v>15</v>
      </c>
      <c r="BB14" s="65"/>
      <c r="BC14" s="66"/>
      <c r="BD14" s="40">
        <f>BA14/AU21</f>
        <v>0.46153846153846156</v>
      </c>
      <c r="BE14" s="41"/>
      <c r="BF14" s="42"/>
    </row>
    <row r="15" spans="1:73" ht="0.75" customHeight="1">
      <c r="A15" s="57"/>
      <c r="B15" s="58"/>
      <c r="C15" s="58"/>
      <c r="D15" s="58"/>
      <c r="E15" s="58"/>
      <c r="F15" s="58"/>
      <c r="G15" s="58"/>
      <c r="H15" s="58"/>
      <c r="I15" s="58"/>
      <c r="J15" s="58"/>
      <c r="K15" s="58"/>
      <c r="L15" s="59"/>
      <c r="M15" s="59"/>
      <c r="N15" s="59"/>
      <c r="O15" s="59"/>
      <c r="P15" s="59"/>
      <c r="Q15" s="59"/>
      <c r="R15" s="60"/>
      <c r="S15" s="10"/>
      <c r="T15" s="11"/>
      <c r="U15" s="11"/>
      <c r="V15" s="11"/>
      <c r="W15" s="11"/>
      <c r="X15" s="11"/>
      <c r="Y15" s="12"/>
      <c r="Z15" s="10"/>
      <c r="AA15" s="11"/>
      <c r="AB15" s="11"/>
      <c r="AC15" s="11"/>
      <c r="AD15" s="11"/>
      <c r="AE15" s="11"/>
      <c r="AF15" s="12"/>
      <c r="AG15" s="10"/>
      <c r="AH15" s="11"/>
      <c r="AI15" s="11"/>
      <c r="AJ15" s="11"/>
      <c r="AK15" s="11"/>
      <c r="AL15" s="11"/>
      <c r="AM15" s="12"/>
      <c r="AN15" s="10"/>
      <c r="AO15" s="11"/>
      <c r="AP15" s="11"/>
      <c r="AQ15" s="11"/>
      <c r="AR15" s="11"/>
      <c r="AS15" s="11"/>
      <c r="AT15" s="12"/>
      <c r="AU15" s="61"/>
      <c r="AV15" s="61"/>
      <c r="AW15" s="62"/>
      <c r="AX15" s="64"/>
      <c r="AY15" s="65"/>
      <c r="AZ15" s="66"/>
      <c r="BA15" s="64"/>
      <c r="BB15" s="65"/>
      <c r="BC15" s="66"/>
      <c r="BD15" s="40"/>
      <c r="BE15" s="41"/>
      <c r="BF15" s="42"/>
    </row>
    <row r="16" spans="1:73" ht="17.25" customHeight="1">
      <c r="A16" s="57" t="s">
        <v>47</v>
      </c>
      <c r="B16" s="58"/>
      <c r="C16" s="58"/>
      <c r="D16" s="58"/>
      <c r="E16" s="58"/>
      <c r="F16" s="58"/>
      <c r="G16" s="58"/>
      <c r="H16" s="58"/>
      <c r="I16" s="58"/>
      <c r="J16" s="58"/>
      <c r="K16" s="58"/>
      <c r="L16" s="59"/>
      <c r="M16" s="59"/>
      <c r="N16" s="59"/>
      <c r="O16" s="59"/>
      <c r="P16" s="59"/>
      <c r="Q16" s="59"/>
      <c r="R16" s="60"/>
      <c r="S16" s="10"/>
      <c r="T16" s="11"/>
      <c r="U16" s="11"/>
      <c r="V16" s="11"/>
      <c r="W16" s="11"/>
      <c r="X16" s="11"/>
      <c r="Y16" s="12"/>
      <c r="Z16" s="10"/>
      <c r="AA16" s="11"/>
      <c r="AB16" s="11"/>
      <c r="AC16" s="11"/>
      <c r="AD16" s="11"/>
      <c r="AE16" s="11"/>
      <c r="AF16" s="12"/>
      <c r="AG16" s="10"/>
      <c r="AH16" s="11"/>
      <c r="AI16" s="11"/>
      <c r="AJ16" s="11"/>
      <c r="AK16" s="11"/>
      <c r="AL16" s="11"/>
      <c r="AM16" s="12"/>
      <c r="AN16" s="14"/>
      <c r="AO16" s="11"/>
      <c r="AP16" s="11"/>
      <c r="AQ16" s="11"/>
      <c r="AR16" s="11"/>
      <c r="AS16" s="11"/>
      <c r="AT16" s="12"/>
      <c r="AU16" s="61"/>
      <c r="AV16" s="61"/>
      <c r="AW16" s="62"/>
      <c r="AX16" s="40"/>
      <c r="AY16" s="41"/>
      <c r="AZ16" s="63"/>
      <c r="BA16" s="40">
        <f>SUM(BA13:BC15)</f>
        <v>47.5</v>
      </c>
      <c r="BB16" s="41"/>
      <c r="BC16" s="63"/>
      <c r="BD16" s="40">
        <f>BA16/32.5</f>
        <v>1.4615384615384615</v>
      </c>
      <c r="BE16" s="41"/>
      <c r="BF16" s="42"/>
    </row>
    <row r="17" spans="1:58" ht="17.25" customHeight="1">
      <c r="A17" s="57" t="s">
        <v>72</v>
      </c>
      <c r="B17" s="58"/>
      <c r="C17" s="58"/>
      <c r="D17" s="58"/>
      <c r="E17" s="58"/>
      <c r="F17" s="58"/>
      <c r="G17" s="58" t="s">
        <v>69</v>
      </c>
      <c r="H17" s="58"/>
      <c r="I17" s="58"/>
      <c r="J17" s="58"/>
      <c r="K17" s="58"/>
      <c r="L17" s="59" t="s">
        <v>73</v>
      </c>
      <c r="M17" s="59"/>
      <c r="N17" s="59"/>
      <c r="O17" s="59"/>
      <c r="P17" s="59"/>
      <c r="Q17" s="59"/>
      <c r="R17" s="60"/>
      <c r="S17" s="10" t="s">
        <v>38</v>
      </c>
      <c r="T17" s="11" t="s">
        <v>38</v>
      </c>
      <c r="U17" s="11"/>
      <c r="V17" s="11"/>
      <c r="W17" s="11" t="s">
        <v>38</v>
      </c>
      <c r="X17" s="11" t="s">
        <v>38</v>
      </c>
      <c r="Y17" s="12" t="s">
        <v>38</v>
      </c>
      <c r="Z17" s="10" t="s">
        <v>38</v>
      </c>
      <c r="AA17" s="11" t="s">
        <v>38</v>
      </c>
      <c r="AB17" s="11"/>
      <c r="AC17" s="11"/>
      <c r="AD17" s="11" t="s">
        <v>38</v>
      </c>
      <c r="AE17" s="11" t="s">
        <v>38</v>
      </c>
      <c r="AF17" s="12" t="s">
        <v>38</v>
      </c>
      <c r="AG17" s="10" t="s">
        <v>38</v>
      </c>
      <c r="AH17" s="11" t="s">
        <v>38</v>
      </c>
      <c r="AI17" s="11"/>
      <c r="AJ17" s="11"/>
      <c r="AK17" s="11" t="s">
        <v>38</v>
      </c>
      <c r="AL17" s="11" t="s">
        <v>38</v>
      </c>
      <c r="AM17" s="12" t="s">
        <v>38</v>
      </c>
      <c r="AN17" s="10" t="s">
        <v>38</v>
      </c>
      <c r="AO17" s="11"/>
      <c r="AP17" s="11" t="s">
        <v>38</v>
      </c>
      <c r="AQ17" s="11"/>
      <c r="AR17" s="11" t="s">
        <v>38</v>
      </c>
      <c r="AS17" s="11" t="s">
        <v>38</v>
      </c>
      <c r="AT17" s="12" t="s">
        <v>38</v>
      </c>
      <c r="AU17" s="61">
        <v>130</v>
      </c>
      <c r="AV17" s="61"/>
      <c r="AW17" s="62"/>
      <c r="AX17" s="64">
        <v>32.5</v>
      </c>
      <c r="AY17" s="65"/>
      <c r="AZ17" s="66"/>
      <c r="BA17" s="64">
        <v>32.5</v>
      </c>
      <c r="BB17" s="65"/>
      <c r="BC17" s="66"/>
      <c r="BD17" s="40">
        <v>1</v>
      </c>
      <c r="BE17" s="41"/>
      <c r="BF17" s="42"/>
    </row>
    <row r="18" spans="1:58" ht="17.25" customHeight="1">
      <c r="A18" s="57"/>
      <c r="B18" s="58"/>
      <c r="C18" s="58"/>
      <c r="D18" s="58"/>
      <c r="E18" s="58"/>
      <c r="F18" s="58"/>
      <c r="G18" s="59"/>
      <c r="H18" s="59"/>
      <c r="I18" s="59"/>
      <c r="J18" s="59"/>
      <c r="K18" s="59"/>
      <c r="L18" s="59"/>
      <c r="M18" s="59"/>
      <c r="N18" s="59"/>
      <c r="O18" s="59"/>
      <c r="P18" s="59"/>
      <c r="Q18" s="59"/>
      <c r="R18" s="60"/>
      <c r="S18" s="10"/>
      <c r="T18" s="13"/>
      <c r="U18" s="13"/>
      <c r="V18" s="13"/>
      <c r="W18" s="13"/>
      <c r="X18" s="13"/>
      <c r="Y18" s="12"/>
      <c r="Z18" s="10"/>
      <c r="AA18" s="13"/>
      <c r="AB18" s="13"/>
      <c r="AC18" s="13"/>
      <c r="AD18" s="13"/>
      <c r="AE18" s="13"/>
      <c r="AF18" s="12"/>
      <c r="AG18" s="10"/>
      <c r="AH18" s="13"/>
      <c r="AI18" s="13"/>
      <c r="AJ18" s="13"/>
      <c r="AK18" s="13"/>
      <c r="AL18" s="13"/>
      <c r="AM18" s="12"/>
      <c r="AN18" s="14"/>
      <c r="AO18" s="13"/>
      <c r="AP18" s="13"/>
      <c r="AQ18" s="13"/>
      <c r="AR18" s="13"/>
      <c r="AS18" s="13"/>
      <c r="AT18" s="12"/>
      <c r="AU18" s="61"/>
      <c r="AV18" s="61"/>
      <c r="AW18" s="62"/>
      <c r="AX18" s="40"/>
      <c r="AY18" s="41"/>
      <c r="AZ18" s="63"/>
      <c r="BA18" s="40"/>
      <c r="BB18" s="41"/>
      <c r="BC18" s="63"/>
      <c r="BD18" s="40"/>
      <c r="BE18" s="41"/>
      <c r="BF18" s="42"/>
    </row>
    <row r="19" spans="1:58" ht="17.25" customHeight="1">
      <c r="A19" s="57" t="s">
        <v>48</v>
      </c>
      <c r="B19" s="58"/>
      <c r="C19" s="58"/>
      <c r="D19" s="58"/>
      <c r="E19" s="58"/>
      <c r="F19" s="58"/>
      <c r="G19" s="59"/>
      <c r="H19" s="59"/>
      <c r="I19" s="59"/>
      <c r="J19" s="59"/>
      <c r="K19" s="59"/>
      <c r="L19" s="59"/>
      <c r="M19" s="59"/>
      <c r="N19" s="59"/>
      <c r="O19" s="59"/>
      <c r="P19" s="59"/>
      <c r="Q19" s="59"/>
      <c r="R19" s="60"/>
      <c r="S19" s="10"/>
      <c r="T19" s="13"/>
      <c r="U19" s="13"/>
      <c r="V19" s="13"/>
      <c r="W19" s="13"/>
      <c r="X19" s="13"/>
      <c r="Y19" s="12"/>
      <c r="Z19" s="10"/>
      <c r="AA19" s="13"/>
      <c r="AB19" s="13"/>
      <c r="AC19" s="13"/>
      <c r="AD19" s="13"/>
      <c r="AE19" s="13"/>
      <c r="AF19" s="12"/>
      <c r="AG19" s="10"/>
      <c r="AH19" s="13"/>
      <c r="AI19" s="13"/>
      <c r="AJ19" s="13"/>
      <c r="AK19" s="13"/>
      <c r="AL19" s="13"/>
      <c r="AM19" s="12"/>
      <c r="AN19" s="14"/>
      <c r="AO19" s="13"/>
      <c r="AP19" s="13"/>
      <c r="AQ19" s="13"/>
      <c r="AR19" s="13"/>
      <c r="AS19" s="13"/>
      <c r="AT19" s="12"/>
      <c r="AU19" s="61"/>
      <c r="AV19" s="61"/>
      <c r="AW19" s="62"/>
      <c r="AX19" s="40"/>
      <c r="AY19" s="41"/>
      <c r="AZ19" s="63"/>
      <c r="BA19" s="40"/>
      <c r="BB19" s="41"/>
      <c r="BC19" s="63"/>
      <c r="BD19" s="40"/>
      <c r="BE19" s="41"/>
      <c r="BF19" s="42"/>
    </row>
    <row r="20" spans="1:58" ht="17.25" customHeight="1" thickBot="1">
      <c r="A20" s="57"/>
      <c r="B20" s="58"/>
      <c r="C20" s="58"/>
      <c r="D20" s="58"/>
      <c r="E20" s="58"/>
      <c r="F20" s="58"/>
      <c r="G20" s="59"/>
      <c r="H20" s="59"/>
      <c r="I20" s="59"/>
      <c r="J20" s="59"/>
      <c r="K20" s="59"/>
      <c r="L20" s="59"/>
      <c r="M20" s="59"/>
      <c r="N20" s="59"/>
      <c r="O20" s="59"/>
      <c r="P20" s="59"/>
      <c r="Q20" s="59"/>
      <c r="R20" s="60"/>
      <c r="S20" s="10"/>
      <c r="T20" s="13"/>
      <c r="U20" s="13"/>
      <c r="V20" s="13"/>
      <c r="W20" s="13"/>
      <c r="X20" s="13"/>
      <c r="Y20" s="12"/>
      <c r="Z20" s="10"/>
      <c r="AA20" s="13"/>
      <c r="AB20" s="13"/>
      <c r="AC20" s="13"/>
      <c r="AD20" s="13"/>
      <c r="AE20" s="13"/>
      <c r="AF20" s="12"/>
      <c r="AG20" s="10"/>
      <c r="AH20" s="13"/>
      <c r="AI20" s="13"/>
      <c r="AJ20" s="13"/>
      <c r="AK20" s="13"/>
      <c r="AL20" s="13"/>
      <c r="AM20" s="12"/>
      <c r="AN20" s="14"/>
      <c r="AO20" s="13"/>
      <c r="AP20" s="13"/>
      <c r="AQ20" s="13"/>
      <c r="AR20" s="13"/>
      <c r="AS20" s="13"/>
      <c r="AT20" s="12"/>
      <c r="AU20" s="61"/>
      <c r="AV20" s="61"/>
      <c r="AW20" s="62"/>
      <c r="AX20" s="40"/>
      <c r="AY20" s="41"/>
      <c r="AZ20" s="63"/>
      <c r="BA20" s="40"/>
      <c r="BB20" s="41"/>
      <c r="BC20" s="63"/>
      <c r="BD20" s="40"/>
      <c r="BE20" s="41"/>
      <c r="BF20" s="42"/>
    </row>
    <row r="21" spans="1:58" ht="21" customHeight="1" thickBot="1">
      <c r="A21" s="43" t="s">
        <v>49</v>
      </c>
      <c r="B21" s="44"/>
      <c r="C21" s="44"/>
      <c r="D21" s="44"/>
      <c r="E21" s="44"/>
      <c r="F21" s="44"/>
      <c r="G21" s="44"/>
      <c r="H21" s="44"/>
      <c r="I21" s="44"/>
      <c r="J21" s="44"/>
      <c r="K21" s="44"/>
      <c r="L21" s="44"/>
      <c r="M21" s="44"/>
      <c r="N21" s="44"/>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5"/>
      <c r="AU21" s="46">
        <f>6.5*5</f>
        <v>32.5</v>
      </c>
      <c r="AV21" s="47"/>
      <c r="AW21" s="47"/>
      <c r="AX21" s="47"/>
      <c r="AY21" s="47"/>
      <c r="AZ21" s="47"/>
      <c r="BA21" s="47"/>
      <c r="BB21" s="47"/>
      <c r="BC21" s="47"/>
      <c r="BD21" s="47"/>
      <c r="BE21" s="47"/>
      <c r="BF21" s="48"/>
    </row>
    <row r="22" spans="1:58" ht="21" customHeight="1" thickBot="1">
      <c r="A22" s="49" t="s">
        <v>50</v>
      </c>
      <c r="B22" s="50"/>
      <c r="C22" s="50"/>
      <c r="D22" s="50"/>
      <c r="E22" s="50"/>
      <c r="F22" s="50"/>
      <c r="G22" s="50"/>
      <c r="H22" s="50"/>
      <c r="I22" s="50"/>
      <c r="J22" s="50"/>
      <c r="K22" s="50"/>
      <c r="L22" s="50"/>
      <c r="M22" s="50"/>
      <c r="N22" s="50"/>
      <c r="O22" s="50"/>
      <c r="P22" s="50"/>
      <c r="Q22" s="50"/>
      <c r="R22" s="51"/>
      <c r="S22" s="15">
        <v>6</v>
      </c>
      <c r="T22" s="16">
        <v>6</v>
      </c>
      <c r="U22" s="16"/>
      <c r="V22" s="16"/>
      <c r="W22" s="16">
        <v>6</v>
      </c>
      <c r="X22" s="16">
        <v>6</v>
      </c>
      <c r="Y22" s="17">
        <v>6</v>
      </c>
      <c r="Z22" s="15">
        <v>6</v>
      </c>
      <c r="AA22" s="16">
        <v>6</v>
      </c>
      <c r="AB22" s="16"/>
      <c r="AC22" s="16"/>
      <c r="AD22" s="16">
        <v>6</v>
      </c>
      <c r="AE22" s="16">
        <v>6</v>
      </c>
      <c r="AF22" s="18">
        <v>6</v>
      </c>
      <c r="AG22" s="15">
        <v>6</v>
      </c>
      <c r="AH22" s="16">
        <v>6</v>
      </c>
      <c r="AI22" s="16"/>
      <c r="AJ22" s="16"/>
      <c r="AK22" s="16">
        <v>6</v>
      </c>
      <c r="AL22" s="16">
        <v>6</v>
      </c>
      <c r="AM22" s="18">
        <v>6</v>
      </c>
      <c r="AN22" s="15">
        <v>6</v>
      </c>
      <c r="AO22" s="16"/>
      <c r="AP22" s="16">
        <v>6</v>
      </c>
      <c r="AQ22" s="16"/>
      <c r="AR22" s="16">
        <v>6</v>
      </c>
      <c r="AS22" s="16">
        <v>6</v>
      </c>
      <c r="AT22" s="18">
        <v>6</v>
      </c>
      <c r="AU22" s="47">
        <f>6*20</f>
        <v>120</v>
      </c>
      <c r="AV22" s="47"/>
      <c r="AW22" s="52"/>
      <c r="AX22" s="53"/>
      <c r="AY22" s="54"/>
      <c r="AZ22" s="55"/>
      <c r="BA22" s="53"/>
      <c r="BB22" s="54"/>
      <c r="BC22" s="55"/>
      <c r="BD22" s="53"/>
      <c r="BE22" s="54"/>
      <c r="BF22" s="56"/>
    </row>
    <row r="23" spans="1:58" customFormat="1" ht="21" customHeight="1">
      <c r="A23" s="19" t="s">
        <v>51</v>
      </c>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1"/>
    </row>
    <row r="24" spans="1:58" customFormat="1" ht="21" customHeight="1">
      <c r="A24" s="22"/>
      <c r="B24" s="23" t="s">
        <v>52</v>
      </c>
      <c r="C24" s="23"/>
      <c r="D24" s="23"/>
      <c r="E24" s="23"/>
      <c r="F24" s="23"/>
      <c r="G24" s="23"/>
      <c r="H24" s="23"/>
      <c r="I24" s="105" t="s">
        <v>76</v>
      </c>
      <c r="J24" s="104"/>
      <c r="K24" s="104"/>
      <c r="L24" s="104"/>
      <c r="M24" s="104"/>
      <c r="N24" s="104"/>
      <c r="O24" s="104"/>
      <c r="P24" s="104"/>
      <c r="Q24" s="104"/>
      <c r="R24" s="104"/>
      <c r="S24" s="104"/>
      <c r="T24" s="104"/>
      <c r="U24" s="104"/>
      <c r="V24" s="104"/>
      <c r="W24" s="104"/>
      <c r="X24" s="104"/>
      <c r="Y24" s="104"/>
      <c r="Z24" s="104"/>
      <c r="AA24" s="104"/>
      <c r="AB24" s="104"/>
      <c r="AC24" s="104"/>
      <c r="AD24" s="104"/>
      <c r="AE24" s="104"/>
      <c r="AF24" s="104"/>
      <c r="AG24" s="104"/>
      <c r="AH24" s="104"/>
      <c r="AI24" s="104"/>
      <c r="AJ24" s="104"/>
      <c r="AK24" s="104"/>
      <c r="AL24" s="104"/>
      <c r="AM24" s="104"/>
      <c r="AN24" s="104"/>
      <c r="AO24" s="104"/>
      <c r="AP24" s="104"/>
      <c r="AQ24" s="104"/>
      <c r="AR24" s="104"/>
      <c r="AS24" s="104"/>
      <c r="AT24" s="104"/>
      <c r="AU24" s="104"/>
      <c r="AV24" s="104"/>
      <c r="AW24" s="104"/>
      <c r="AX24" s="104"/>
      <c r="AY24" s="104"/>
      <c r="AZ24" s="104"/>
      <c r="BA24" s="104"/>
      <c r="BB24" s="104"/>
      <c r="BC24" s="104"/>
      <c r="BD24" s="104"/>
      <c r="BE24" s="104"/>
      <c r="BF24" s="24"/>
    </row>
    <row r="25" spans="1:58" customFormat="1" ht="35.25" customHeight="1" thickBot="1">
      <c r="A25" s="25"/>
      <c r="B25" s="26"/>
      <c r="C25" s="26"/>
      <c r="D25" s="26"/>
      <c r="E25" s="26"/>
      <c r="F25" s="26"/>
      <c r="G25" s="26"/>
      <c r="H25" s="26"/>
      <c r="I25" s="103"/>
      <c r="J25" s="103"/>
      <c r="K25" s="103"/>
      <c r="L25" s="103"/>
      <c r="M25" s="103"/>
      <c r="N25" s="103"/>
      <c r="O25" s="103"/>
      <c r="P25" s="103"/>
      <c r="Q25" s="103"/>
      <c r="R25" s="103"/>
      <c r="S25" s="103"/>
      <c r="T25" s="103"/>
      <c r="U25" s="103"/>
      <c r="V25" s="103"/>
      <c r="W25" s="103"/>
      <c r="X25" s="103"/>
      <c r="Y25" s="103"/>
      <c r="Z25" s="103"/>
      <c r="AA25" s="103"/>
      <c r="AB25" s="103"/>
      <c r="AC25" s="103"/>
      <c r="AD25" s="103"/>
      <c r="AE25" s="103"/>
      <c r="AF25" s="103"/>
      <c r="AG25" s="103"/>
      <c r="AH25" s="103"/>
      <c r="AI25" s="103"/>
      <c r="AJ25" s="103"/>
      <c r="AK25" s="103"/>
      <c r="AL25" s="103"/>
      <c r="AM25" s="103"/>
      <c r="AN25" s="103"/>
      <c r="AO25" s="103"/>
      <c r="AP25" s="103"/>
      <c r="AQ25" s="103"/>
      <c r="AR25" s="103"/>
      <c r="AS25" s="103"/>
      <c r="AT25" s="103"/>
      <c r="AU25" s="103"/>
      <c r="AV25" s="103"/>
      <c r="AW25" s="103"/>
      <c r="AX25" s="103"/>
      <c r="AY25" s="103"/>
      <c r="AZ25" s="103"/>
      <c r="BA25" s="103"/>
      <c r="BB25" s="103"/>
      <c r="BC25" s="103"/>
      <c r="BD25" s="103"/>
      <c r="BE25" s="103"/>
      <c r="BF25" s="27"/>
    </row>
    <row r="26" spans="1:58" ht="28.5" customHeight="1">
      <c r="A26" s="37" t="s">
        <v>53</v>
      </c>
      <c r="B26" s="37"/>
      <c r="C26" s="38" t="s">
        <v>54</v>
      </c>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38"/>
      <c r="AL26" s="38"/>
      <c r="AM26" s="38"/>
      <c r="AN26" s="38"/>
      <c r="AO26" s="38"/>
      <c r="AP26" s="38"/>
      <c r="AQ26" s="38"/>
      <c r="AR26" s="38"/>
      <c r="AS26" s="38"/>
      <c r="AT26" s="38"/>
      <c r="AU26" s="38"/>
      <c r="AV26" s="38"/>
      <c r="AW26" s="38"/>
      <c r="AX26" s="38"/>
      <c r="AY26" s="38"/>
      <c r="AZ26" s="38"/>
      <c r="BA26" s="38"/>
      <c r="BB26" s="38"/>
      <c r="BC26" s="38"/>
      <c r="BD26" s="38"/>
      <c r="BE26" s="38"/>
      <c r="BF26" s="38"/>
    </row>
    <row r="27" spans="1:58" ht="18" customHeight="1">
      <c r="A27" s="28"/>
      <c r="B27" s="28"/>
      <c r="C27" s="33" t="s">
        <v>55</v>
      </c>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row>
    <row r="28" spans="1:58" ht="27.75" customHeight="1">
      <c r="A28" s="29"/>
      <c r="B28" s="29"/>
      <c r="C28" s="39" t="s">
        <v>56</v>
      </c>
      <c r="D28" s="39"/>
      <c r="E28" s="39"/>
      <c r="F28" s="39"/>
      <c r="G28" s="39"/>
      <c r="H28" s="39"/>
      <c r="I28" s="39"/>
      <c r="J28" s="39"/>
      <c r="K28" s="39"/>
      <c r="L28" s="39"/>
      <c r="M28" s="39"/>
      <c r="N28" s="39"/>
      <c r="O28" s="39"/>
      <c r="P28" s="39"/>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c r="AX28" s="39"/>
      <c r="AY28" s="39"/>
      <c r="AZ28" s="39"/>
      <c r="BA28" s="39"/>
      <c r="BB28" s="39"/>
      <c r="BC28" s="39"/>
      <c r="BD28" s="39"/>
      <c r="BE28" s="39"/>
      <c r="BF28" s="39"/>
    </row>
    <row r="29" spans="1:58" ht="29.25" customHeight="1">
      <c r="A29" s="30"/>
      <c r="B29" s="30"/>
      <c r="C29" s="34" t="s">
        <v>57</v>
      </c>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c r="BA29" s="34"/>
      <c r="BB29" s="34"/>
      <c r="BC29" s="34"/>
      <c r="BD29" s="34"/>
      <c r="BE29" s="34"/>
      <c r="BF29" s="34"/>
    </row>
    <row r="30" spans="1:58" ht="42.75" customHeight="1">
      <c r="A30" s="30"/>
      <c r="B30" s="30"/>
      <c r="C30" s="34" t="s">
        <v>75</v>
      </c>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c r="BA30" s="34"/>
      <c r="BB30" s="34"/>
      <c r="BC30" s="34"/>
      <c r="BD30" s="34"/>
      <c r="BE30" s="34"/>
      <c r="BF30" s="34"/>
    </row>
    <row r="31" spans="1:58" ht="18" customHeight="1">
      <c r="A31" s="28"/>
      <c r="B31" s="28"/>
      <c r="C31" s="33" t="s">
        <v>58</v>
      </c>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row>
    <row r="32" spans="1:58" ht="14.25">
      <c r="A32" s="28"/>
      <c r="B32" s="28"/>
      <c r="C32" s="31"/>
      <c r="D32" s="31"/>
      <c r="E32" s="31" t="s">
        <v>59</v>
      </c>
      <c r="F32" s="31"/>
      <c r="G32" s="31"/>
      <c r="H32" s="31"/>
      <c r="I32" s="31"/>
      <c r="J32" s="31" t="s">
        <v>60</v>
      </c>
      <c r="K32" s="31"/>
      <c r="L32" s="31"/>
      <c r="M32" s="31"/>
      <c r="N32" s="31"/>
      <c r="O32" s="31"/>
      <c r="P32" s="31"/>
      <c r="Q32" s="31"/>
      <c r="R32" s="31"/>
      <c r="S32" s="31"/>
      <c r="T32" s="31"/>
      <c r="U32" s="31"/>
      <c r="V32" s="31"/>
      <c r="W32" s="31"/>
      <c r="X32" s="31" t="s">
        <v>61</v>
      </c>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row>
    <row r="33" spans="1:58" ht="28.5" customHeight="1">
      <c r="A33" s="28"/>
      <c r="B33" s="28"/>
      <c r="C33" s="31"/>
      <c r="D33" s="31"/>
      <c r="E33" s="34" t="s">
        <v>62</v>
      </c>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row>
    <row r="34" spans="1:58" ht="18" customHeight="1">
      <c r="A34" s="28"/>
      <c r="B34" s="28"/>
      <c r="C34" s="34" t="s">
        <v>63</v>
      </c>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c r="BA34" s="34"/>
      <c r="BB34" s="34"/>
      <c r="BC34" s="34"/>
      <c r="BD34" s="34"/>
      <c r="BE34" s="34"/>
      <c r="BF34" s="34"/>
    </row>
    <row r="35" spans="1:58" ht="28.5" customHeight="1">
      <c r="A35" s="28"/>
      <c r="B35" s="28"/>
      <c r="C35" s="34" t="s">
        <v>64</v>
      </c>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4"/>
      <c r="AZ35" s="34"/>
      <c r="BA35" s="34"/>
      <c r="BB35" s="34"/>
      <c r="BC35" s="34"/>
      <c r="BD35" s="34"/>
      <c r="BE35" s="34"/>
      <c r="BF35" s="34"/>
    </row>
    <row r="36" spans="1:58" ht="28.5" customHeight="1">
      <c r="A36" s="30"/>
      <c r="B36" s="30"/>
      <c r="C36" s="36" t="s">
        <v>65</v>
      </c>
      <c r="D36" s="36"/>
      <c r="E36" s="36"/>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row>
  </sheetData>
  <mergeCells count="122">
    <mergeCell ref="I24:BE25"/>
    <mergeCell ref="A2:BF2"/>
    <mergeCell ref="A4:R4"/>
    <mergeCell ref="S4:AE4"/>
    <mergeCell ref="AF4:AM4"/>
    <mergeCell ref="AN4:BF4"/>
    <mergeCell ref="A5:G5"/>
    <mergeCell ref="H5:R5"/>
    <mergeCell ref="S5:Z5"/>
    <mergeCell ref="AA5:AJ5"/>
    <mergeCell ref="AK5:AS5"/>
    <mergeCell ref="AG7:AM7"/>
    <mergeCell ref="AN7:AT7"/>
    <mergeCell ref="AU7:AW9"/>
    <mergeCell ref="AX7:AZ9"/>
    <mergeCell ref="BA7:BC9"/>
    <mergeCell ref="BD7:BF9"/>
    <mergeCell ref="AT5:BF5"/>
    <mergeCell ref="A6:R6"/>
    <mergeCell ref="S6:AE6"/>
    <mergeCell ref="AF6:AM6"/>
    <mergeCell ref="AN6:BF6"/>
    <mergeCell ref="A7:F9"/>
    <mergeCell ref="G7:K9"/>
    <mergeCell ref="L7:R9"/>
    <mergeCell ref="S7:Y7"/>
    <mergeCell ref="Z7:AF7"/>
    <mergeCell ref="BD10:BF10"/>
    <mergeCell ref="A11:F11"/>
    <mergeCell ref="G11:K11"/>
    <mergeCell ref="L11:R11"/>
    <mergeCell ref="AU11:AW11"/>
    <mergeCell ref="AX11:AZ11"/>
    <mergeCell ref="BA11:BC11"/>
    <mergeCell ref="BD11:BF11"/>
    <mergeCell ref="A10:F10"/>
    <mergeCell ref="G10:K10"/>
    <mergeCell ref="L10:R10"/>
    <mergeCell ref="AU10:AW10"/>
    <mergeCell ref="AX10:AZ10"/>
    <mergeCell ref="BA10:BC10"/>
    <mergeCell ref="BD12:BF12"/>
    <mergeCell ref="A13:F13"/>
    <mergeCell ref="G13:K13"/>
    <mergeCell ref="L13:R13"/>
    <mergeCell ref="AU13:AW13"/>
    <mergeCell ref="AX13:AZ13"/>
    <mergeCell ref="BA13:BC13"/>
    <mergeCell ref="BD13:BF13"/>
    <mergeCell ref="A12:F12"/>
    <mergeCell ref="G12:K12"/>
    <mergeCell ref="L12:R12"/>
    <mergeCell ref="AU12:AW12"/>
    <mergeCell ref="AX12:AZ12"/>
    <mergeCell ref="BA12:BC12"/>
    <mergeCell ref="BD14:BF14"/>
    <mergeCell ref="A15:F15"/>
    <mergeCell ref="G15:K15"/>
    <mergeCell ref="L15:R15"/>
    <mergeCell ref="AU15:AW15"/>
    <mergeCell ref="AX15:AZ15"/>
    <mergeCell ref="BA15:BC15"/>
    <mergeCell ref="BD15:BF15"/>
    <mergeCell ref="A14:F14"/>
    <mergeCell ref="G14:K14"/>
    <mergeCell ref="L14:R14"/>
    <mergeCell ref="AU14:AW14"/>
    <mergeCell ref="AX14:AZ14"/>
    <mergeCell ref="BA14:BC14"/>
    <mergeCell ref="BD16:BF16"/>
    <mergeCell ref="A17:F17"/>
    <mergeCell ref="G17:K17"/>
    <mergeCell ref="L17:R17"/>
    <mergeCell ref="AU17:AW17"/>
    <mergeCell ref="AX17:AZ17"/>
    <mergeCell ref="BA17:BC17"/>
    <mergeCell ref="BD17:BF17"/>
    <mergeCell ref="A16:F16"/>
    <mergeCell ref="G16:K16"/>
    <mergeCell ref="L16:R16"/>
    <mergeCell ref="AU16:AW16"/>
    <mergeCell ref="AX16:AZ16"/>
    <mergeCell ref="BA16:BC16"/>
    <mergeCell ref="BD18:BF18"/>
    <mergeCell ref="A18:F18"/>
    <mergeCell ref="G18:K18"/>
    <mergeCell ref="L18:R18"/>
    <mergeCell ref="AU18:AW18"/>
    <mergeCell ref="AX18:AZ18"/>
    <mergeCell ref="BA18:BC18"/>
    <mergeCell ref="A19:F19"/>
    <mergeCell ref="G19:K19"/>
    <mergeCell ref="L19:R19"/>
    <mergeCell ref="AU19:AW19"/>
    <mergeCell ref="AX19:AZ19"/>
    <mergeCell ref="BA19:BC19"/>
    <mergeCell ref="BD19:BF19"/>
    <mergeCell ref="BD20:BF20"/>
    <mergeCell ref="A21:AT21"/>
    <mergeCell ref="AU21:BF21"/>
    <mergeCell ref="A22:R22"/>
    <mergeCell ref="AU22:AW22"/>
    <mergeCell ref="AX22:AZ22"/>
    <mergeCell ref="BA22:BC22"/>
    <mergeCell ref="BD22:BF22"/>
    <mergeCell ref="A20:F20"/>
    <mergeCell ref="G20:K20"/>
    <mergeCell ref="L20:R20"/>
    <mergeCell ref="AU20:AW20"/>
    <mergeCell ref="AX20:AZ20"/>
    <mergeCell ref="BA20:BC20"/>
    <mergeCell ref="C31:BF31"/>
    <mergeCell ref="E33:BF33"/>
    <mergeCell ref="C34:BF34"/>
    <mergeCell ref="C35:BF35"/>
    <mergeCell ref="C36:BF36"/>
    <mergeCell ref="A26:B26"/>
    <mergeCell ref="C26:BF26"/>
    <mergeCell ref="C27:BF27"/>
    <mergeCell ref="C28:BF28"/>
    <mergeCell ref="C29:BF29"/>
    <mergeCell ref="C30:BF30"/>
  </mergeCells>
  <phoneticPr fontId="4"/>
  <printOptions horizontalCentered="1"/>
  <pageMargins left="0.39370078740157483" right="0.39370078740157483" top="0.39370078740157483" bottom="0.39370078740157483" header="0.39370078740157483" footer="0.39370078740157483"/>
  <pageSetup paperSize="9" scale="7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21勤務形態一覧(就労継続支援Ｂ型)（半日勤務）</vt:lpstr>
      <vt:lpstr>21勤務形態一覧(移行支援2)（半日勤務）</vt:lpstr>
      <vt:lpstr>'21勤務形態一覧(移行支援2)（半日勤務）'!Print_Area</vt:lpstr>
      <vt:lpstr>'21勤務形態一覧(就労継続支援Ｂ型)（半日勤務）'!Print_Area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2018-10-09T01:08:50Z</cp:lastPrinted>
  <dcterms:created xsi:type="dcterms:W3CDTF">2018-10-05T00:47:32Z</dcterms:created>
  <dcterms:modified xsi:type="dcterms:W3CDTF">2018-10-09T01:09:41Z</dcterms:modified>
</cp:coreProperties>
</file>