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C:\Users\Owner\Dropbox\01.アンマー事業管理\01.福祉施設設立関係\多機能申請\"/>
    </mc:Choice>
  </mc:AlternateContent>
  <xr:revisionPtr revIDLastSave="0" documentId="13_ncr:1_{CB099E80-D575-46CC-B695-E3105EDF6A9F}" xr6:coauthVersionLast="43" xr6:coauthVersionMax="43" xr10:uidLastSave="{00000000-0000-0000-0000-000000000000}"/>
  <bookViews>
    <workbookView xWindow="-108" yWindow="-108" windowWidth="23256" windowHeight="12576" activeTab="1" xr2:uid="{732CCE9A-49FD-4841-8E06-25C326691089}"/>
  </bookViews>
  <sheets>
    <sheet name="21勤務形態一覧(就労継続支援Ｂ型)（半日勤務）" sheetId="1" r:id="rId1"/>
    <sheet name="21勤務形態一覧(移行支援2)（半日勤務）" sheetId="2" r:id="rId2"/>
  </sheets>
  <definedNames>
    <definedName name="_xlnm.Print_Area" localSheetId="1">'21勤務形態一覧(移行支援2)（半日勤務）'!$A$1:$BF$36</definedName>
    <definedName name="_xlnm.Print_Area" localSheetId="0">'21勤務形態一覧(就労継続支援Ｂ型)（半日勤務）'!$A$1:$BF$37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D17" i="1" l="1"/>
  <c r="BA17" i="1"/>
  <c r="AX16" i="1"/>
  <c r="BA16" i="1" s="1"/>
  <c r="AU22" i="2" l="1"/>
  <c r="AU21" i="2"/>
  <c r="BD14" i="2" s="1"/>
  <c r="BA16" i="2"/>
  <c r="BD16" i="2" s="1"/>
  <c r="AU14" i="2"/>
  <c r="AX14" i="2" s="1"/>
  <c r="BA11" i="2"/>
  <c r="AX11" i="2"/>
  <c r="AU11" i="2"/>
  <c r="BA10" i="2"/>
  <c r="AX10" i="2"/>
  <c r="AU10" i="2"/>
  <c r="BU8" i="2"/>
  <c r="AU23" i="1"/>
  <c r="AU22" i="1"/>
  <c r="BD13" i="1" s="1"/>
  <c r="BT14" i="1"/>
  <c r="AU14" i="1"/>
  <c r="AX14" i="1" s="1"/>
  <c r="BA14" i="1" s="1"/>
  <c r="BA11" i="1"/>
  <c r="AX11" i="1"/>
  <c r="AU11" i="1"/>
  <c r="BA10" i="1"/>
  <c r="AX10" i="1"/>
  <c r="AU10" i="1"/>
  <c r="BD11" i="1" l="1"/>
  <c r="BD10" i="1"/>
  <c r="BD10" i="2"/>
  <c r="BD14" i="1"/>
</calcChain>
</file>

<file path=xl/sharedStrings.xml><?xml version="1.0" encoding="utf-8"?>
<sst xmlns="http://schemas.openxmlformats.org/spreadsheetml/2006/main" count="381" uniqueCount="83">
  <si>
    <t>（別紙２－１）</t>
    <rPh sb="1" eb="3">
      <t>ベッシ</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</si>
  <si>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</si>
  <si>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</si>
  <si>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</si>
  <si>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シェル</t>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</si>
  <si>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</si>
  <si>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</si>
  <si>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3.4（推定値）</t>
    <rPh sb="4" eb="8">
      <t>スイt</t>
    </rPh>
    <phoneticPr fontId="3"/>
  </si>
  <si>
    <t>基準上の必要職員数</t>
    <rPh sb="0" eb="2">
      <t>キジュン</t>
    </rPh>
    <rPh sb="2" eb="3">
      <t>ジョウ</t>
    </rPh>
    <rPh sb="4" eb="6">
      <t>ヒツヨウ</t>
    </rPh>
    <rPh sb="6" eb="9">
      <t>ショクインスウ</t>
    </rPh>
    <phoneticPr fontId="4"/>
  </si>
  <si>
    <t>（指定基準）0.34（報酬基準）0.45</t>
    <rPh sb="1" eb="6">
      <t>シテイキジュン</t>
    </rPh>
    <rPh sb="11" eb="16">
      <t>ホウシュウキジュン</t>
    </rPh>
    <phoneticPr fontId="3"/>
  </si>
  <si>
    <t>人員配置区分</t>
    <rPh sb="0" eb="2">
      <t>ジンイン</t>
    </rPh>
    <rPh sb="2" eb="4">
      <t>ハイチ</t>
    </rPh>
    <rPh sb="4" eb="6">
      <t>クブン</t>
    </rPh>
    <phoneticPr fontId="4"/>
  </si>
  <si>
    <r>
      <t>就労継続支援</t>
    </r>
    <r>
      <rPr>
        <sz val="12"/>
        <rFont val="ヒラギノ丸ゴ ProN W4"/>
        <family val="1"/>
        <charset val="128"/>
      </rPr>
      <t>Ｂ型サービス費Ⅰ（7:5:1）</t>
    </r>
    <rPh sb="0" eb="6">
      <t>シュウロ</t>
    </rPh>
    <rPh sb="7" eb="8">
      <t>ガタ</t>
    </rPh>
    <rPh sb="12" eb="13">
      <t>ヒ</t>
    </rPh>
    <phoneticPr fontId="3"/>
  </si>
  <si>
    <t>該当する体制等</t>
    <rPh sb="0" eb="2">
      <t>ガイトウ</t>
    </rPh>
    <rPh sb="4" eb="6">
      <t>タイセイ</t>
    </rPh>
    <rPh sb="6" eb="7">
      <t>トウ</t>
    </rPh>
    <phoneticPr fontId="4"/>
  </si>
  <si>
    <t>送迎加算Ⅱ、</t>
    <rPh sb="0" eb="4">
      <t>ソウゲイカサン</t>
    </rPh>
    <phoneticPr fontId="3"/>
  </si>
  <si>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</si>
  <si>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</si>
  <si>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</si>
  <si>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</si>
  <si>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</si>
  <si>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</si>
  <si>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</si>
  <si>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</si>
  <si>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</si>
  <si>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</si>
  <si>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</si>
  <si>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土</t>
  </si>
  <si>
    <t>日</t>
  </si>
  <si>
    <t>月</t>
  </si>
  <si>
    <t>火</t>
  </si>
  <si>
    <t>水</t>
  </si>
  <si>
    <t>木</t>
  </si>
  <si>
    <t>金</t>
  </si>
  <si>
    <t>管理者</t>
    <rPh sb="0" eb="3">
      <t>カンリシャ</t>
    </rPh>
    <phoneticPr fontId="4"/>
  </si>
  <si>
    <t>②</t>
    <phoneticPr fontId="4"/>
  </si>
  <si>
    <t>貝畑　明典</t>
    <rPh sb="0" eb="2">
      <t>カイハタ</t>
    </rPh>
    <rPh sb="3" eb="5">
      <t>アキノリ</t>
    </rPh>
    <phoneticPr fontId="3"/>
  </si>
  <si>
    <t>A</t>
    <phoneticPr fontId="4"/>
  </si>
  <si>
    <t>サービス管理責任者</t>
    <rPh sb="4" eb="6">
      <t>カンリ</t>
    </rPh>
    <rPh sb="6" eb="8">
      <t>セキニン</t>
    </rPh>
    <rPh sb="8" eb="9">
      <t>シャ</t>
    </rPh>
    <phoneticPr fontId="4"/>
  </si>
  <si>
    <t>永井　美幸</t>
    <rPh sb="0" eb="2">
      <t>ナガイ</t>
    </rPh>
    <rPh sb="3" eb="5">
      <t>ミユキ</t>
    </rPh>
    <phoneticPr fontId="4"/>
  </si>
  <si>
    <t>（常勤換算分）</t>
    <rPh sb="1" eb="3">
      <t>ジョウキン</t>
    </rPh>
    <rPh sb="3" eb="5">
      <t>カンサン</t>
    </rPh>
    <rPh sb="5" eb="6">
      <t>ブン</t>
    </rPh>
    <phoneticPr fontId="4"/>
  </si>
  <si>
    <t>職業指導員</t>
    <rPh sb="0" eb="2">
      <t>ショクギョウ</t>
    </rPh>
    <rPh sb="2" eb="5">
      <t>シドウイン</t>
    </rPh>
    <phoneticPr fontId="4"/>
  </si>
  <si>
    <t>生活支援員</t>
    <rPh sb="0" eb="2">
      <t>セイカツ</t>
    </rPh>
    <rPh sb="2" eb="4">
      <t>シエン</t>
    </rPh>
    <rPh sb="4" eb="5">
      <t>イン</t>
    </rPh>
    <phoneticPr fontId="4"/>
  </si>
  <si>
    <t>①</t>
    <phoneticPr fontId="4"/>
  </si>
  <si>
    <t>山内　ノリ子</t>
    <rPh sb="0" eb="2">
      <t>ヤマウチ</t>
    </rPh>
    <rPh sb="5" eb="6">
      <t>コ</t>
    </rPh>
    <phoneticPr fontId="4"/>
  </si>
  <si>
    <t>B</t>
    <phoneticPr fontId="4"/>
  </si>
  <si>
    <t>計</t>
    <rPh sb="0" eb="1">
      <t>ケイ</t>
    </rPh>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</si>
  <si>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</si>
  <si>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</si>
  <si>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サービス提供時間</t>
    <rPh sb="4" eb="6">
      <t>テイキョウ</t>
    </rPh>
    <rPh sb="6" eb="8">
      <t>ジカン</t>
    </rPh>
    <phoneticPr fontId="4"/>
  </si>
  <si>
    <t>＜備考＞</t>
    <rPh sb="1" eb="3">
      <t>ビコウ</t>
    </rPh>
    <phoneticPr fontId="4"/>
  </si>
  <si>
    <t>勤務時間の区分</t>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</si>
  <si>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</si>
  <si>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</si>
  <si>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</si>
  <si>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</si>
  <si>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</si>
  <si>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</si>
  <si>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</si>
  <si>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</si>
  <si>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</si>
  <si>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</si>
  <si>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</si>
  <si>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</si>
  <si>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</si>
  <si>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就労移行支援</t>
    <rPh sb="0" eb="2">
      <t>シュウロウ</t>
    </rPh>
    <rPh sb="2" eb="4">
      <t>イコウ</t>
    </rPh>
    <rPh sb="4" eb="6">
      <t>シエン</t>
    </rPh>
    <phoneticPr fontId="4"/>
  </si>
  <si>
    <t>5.4 （推定値）</t>
    <rPh sb="5" eb="9">
      <t>スイt</t>
    </rPh>
    <phoneticPr fontId="3"/>
  </si>
  <si>
    <t>（指定基準）0.9（報酬基準）0.9</t>
    <rPh sb="1" eb="6">
      <t>シテイキジュン</t>
    </rPh>
    <rPh sb="10" eb="15">
      <t>ホウシュウキジュン</t>
    </rPh>
    <phoneticPr fontId="3"/>
  </si>
  <si>
    <t>➀</t>
    <phoneticPr fontId="4"/>
  </si>
  <si>
    <t>C</t>
    <phoneticPr fontId="4"/>
  </si>
  <si>
    <t>就労支援員</t>
    <rPh sb="0" eb="2">
      <t>シュウロウ</t>
    </rPh>
    <rPh sb="2" eb="4">
      <t>シエン</t>
    </rPh>
    <rPh sb="4" eb="5">
      <t>イン</t>
    </rPh>
    <phoneticPr fontId="4"/>
  </si>
  <si>
    <t>山内　雄司</t>
    <rPh sb="0" eb="2">
      <t>ヤマウチ</t>
    </rPh>
    <rPh sb="3" eb="4">
      <t>ユウ</t>
    </rPh>
    <rPh sb="4" eb="5">
      <t>ツカサ</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</si>
  <si>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rPh sb="159" eb="160">
      <t>フン</t>
    </rPh>
    <rPh sb="160" eb="162">
      <t>キュウケイ</t>
    </rPh>
    <rPh sb="199" eb="201">
      <t>ジカン</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</si>
  <si>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</si>
  <si>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営業日：月曜日から土曜日の指定する日（ただし、祝日、８月１３日〜１６日、１２月２９日〜１月４日を除く）　９時００分から１５時３０分
サービス提供時間：９時３０分から１５時３０分
勤務時間の区分:Ａ：8:45～16:00　6.5時間（４５分休憩）、Ｂ：8:45～12:15　3.5時間  C:13:00～16：00　3時間</t>
    <rPh sb="0" eb="2">
      <t>エイギョ</t>
    </rPh>
    <rPh sb="2" eb="3">
      <t>b</t>
    </rPh>
    <rPh sb="4" eb="7">
      <t>ゲツヨウ</t>
    </rPh>
    <rPh sb="9" eb="12">
      <t>ドヨ</t>
    </rPh>
    <rPh sb="13" eb="15">
      <t>シテイ</t>
    </rPh>
    <rPh sb="17" eb="18">
      <t>ヒ</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ジ</t>
    </rPh>
    <rPh sb="64" eb="65">
      <t>フン</t>
    </rPh>
    <phoneticPr fontId="3"/>
  </si>
  <si>
    <t>③</t>
    <phoneticPr fontId="4"/>
  </si>
  <si>
    <t>目標工賃達成指導員</t>
    <rPh sb="0" eb="2">
      <t>モクヒョウ</t>
    </rPh>
    <rPh sb="2" eb="4">
      <t>コウチン</t>
    </rPh>
    <rPh sb="4" eb="6">
      <t>タッセイ</t>
    </rPh>
    <rPh sb="6" eb="9">
      <t>シドウイン</t>
    </rPh>
    <phoneticPr fontId="4"/>
  </si>
  <si>
    <t>山内　継成</t>
    <rPh sb="0" eb="2">
      <t>ヤマウチ</t>
    </rPh>
    <rPh sb="3" eb="5">
      <t>ツグナリ</t>
    </rPh>
    <phoneticPr fontId="4"/>
  </si>
  <si>
    <t>従業者の勤務の体制及び勤務形態一覧表（令和元年７月分）</t>
    <rPh sb="0" eb="3">
      <t>ジュウギョウシャ</t>
    </rPh>
    <rPh sb="4" eb="6">
      <t>キンム</t>
    </rPh>
    <rPh sb="7" eb="9">
      <t>タイセイ</t>
    </rPh>
    <rPh sb="9" eb="10">
      <t>オヨ</t>
    </rPh>
    <rPh sb="11" eb="13">
      <t>キンム</t>
    </rPh>
    <rPh sb="13" eb="15">
      <t>ケイタイ</t>
    </rPh>
    <rPh sb="15" eb="18">
      <t>イチランヒョウ</t>
    </rPh>
    <rPh sb="19" eb="21">
      <t>レイワ</t>
    </rPh>
    <rPh sb="21" eb="23">
      <t>ガンネン</t>
    </rPh>
    <rPh sb="22" eb="23">
      <t>ネン</t>
    </rPh>
    <rPh sb="24" eb="25">
      <t>ガt</t>
    </rPh>
    <rPh sb="25" eb="26">
      <t>ブン</t>
    </rPh>
    <phoneticPr fontId="4"/>
  </si>
  <si>
    <t>送迎加算Ⅱ</t>
    <rPh sb="0" eb="4">
      <t>ソウゲイカサン</t>
    </rPh>
    <phoneticPr fontId="3"/>
  </si>
  <si>
    <t>月</t>
    <rPh sb="0" eb="1">
      <t>ゲツ</t>
    </rPh>
    <phoneticPr fontId="4"/>
  </si>
  <si>
    <t>火</t>
    <rPh sb="0" eb="1">
      <t>ヒ</t>
    </rPh>
    <phoneticPr fontId="4"/>
  </si>
  <si>
    <t>上野　仁志</t>
    <rPh sb="0" eb="2">
      <t>ウエノ</t>
    </rPh>
    <rPh sb="3" eb="4">
      <t>ヒトシ</t>
    </rPh>
    <rPh sb="4" eb="5">
      <t>シ</t>
    </rPh>
    <phoneticPr fontId="3"/>
  </si>
  <si>
    <t>C</t>
    <phoneticPr fontId="4"/>
  </si>
  <si>
    <t>従業者の勤務の体制及び勤務形態一覧表（令和元年　７月分）</t>
    <rPh sb="0" eb="3">
      <t>ジュウギョウシャ</t>
    </rPh>
    <rPh sb="4" eb="6">
      <t>キンム</t>
    </rPh>
    <rPh sb="7" eb="9">
      <t>タイセイ</t>
    </rPh>
    <rPh sb="9" eb="10">
      <t>オヨ</t>
    </rPh>
    <rPh sb="11" eb="13">
      <t>キンム</t>
    </rPh>
    <rPh sb="13" eb="15">
      <t>ケイタイ</t>
    </rPh>
    <rPh sb="15" eb="18">
      <t>イチランヒョウ</t>
    </rPh>
    <rPh sb="19" eb="21">
      <t>レイワ</t>
    </rPh>
    <rPh sb="21" eb="22">
      <t>モト</t>
    </rPh>
    <rPh sb="22" eb="23">
      <t>ネン</t>
    </rPh>
    <rPh sb="25" eb="26">
      <t>ガt</t>
    </rPh>
    <rPh sb="26" eb="27">
      <t>ブン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</si>
</sst>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_ "/>
    <numFmt numFmtId="178" formatCode="0.00_ "/>
  </numFmts>
  <fonts count="10">
    <font>
      <sz val="11"/>
      <name val="ＭＳ Ｐゴシック"/>
      <family val="3"/>
      <charset val="128"/>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2"/>
      <name val="ヒラギノ丸ゴ ProN W4"/>
      <family val="1"/>
      <charset val="128"/>
    </font>
    <font>
      <sz val="11"/>
      <name val="ＭＳ 明朝"/>
      <family val="1"/>
      <charset val="128"/>
    </font>
    <font>
      <sz val="10"/>
      <name val="ＭＳ 明朝"/>
      <family val="1"/>
      <charset val="128"/>
    </font>
  </fonts>
  <fills count="2">
    <fill>
      <patternFill patternType="none"/>
    </fill>
    <fill>
      <patternFill patternType="gray125"/>
    </fill>
  </fills>
  <borders count="4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Up="1">
      <left style="thin">
        <color indexed="64"/>
      </left>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diagonalUp="1">
      <left/>
      <right style="medium">
        <color indexed="64"/>
      </right>
      <top style="medium">
        <color indexed="64"/>
      </top>
      <bottom style="medium">
        <color indexed="64"/>
      </bottom>
      <diagonal style="thin">
        <color indexed="64"/>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lignment vertical="center"/>
    </xf>
  </cellStyleXfs>
  <cellXfs count="112">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35" xfId="1" applyFont="1" applyFill="1" applyBorder="1">
      <alignment vertical="center"/>
    </xf>
    <xf numFmtId="0" fontId="8" fillId="0" borderId="40" xfId="0" applyFont="1" applyBorder="1" applyAlignment="1">
      <alignment vertical="center"/>
    </xf>
    <xf numFmtId="0" fontId="8" fillId="0" borderId="19" xfId="0" applyFont="1" applyBorder="1" applyAlignment="1">
      <alignment vertical="center"/>
    </xf>
    <xf numFmtId="0" fontId="8" fillId="0" borderId="41" xfId="0" applyFont="1" applyBorder="1" applyAlignment="1">
      <alignment vertical="center"/>
    </xf>
    <xf numFmtId="0" fontId="8" fillId="0" borderId="42" xfId="0" applyFont="1" applyBorder="1" applyAlignment="1">
      <alignment vertical="center"/>
    </xf>
    <xf numFmtId="0" fontId="8" fillId="0" borderId="0" xfId="0" applyFont="1" applyBorder="1" applyAlignment="1">
      <alignment vertical="center"/>
    </xf>
    <xf numFmtId="0" fontId="8" fillId="0" borderId="43" xfId="0" applyFont="1" applyBorder="1" applyAlignment="1">
      <alignment vertical="center"/>
    </xf>
    <xf numFmtId="0" fontId="8" fillId="0" borderId="44" xfId="0" applyFont="1" applyBorder="1" applyAlignment="1">
      <alignment vertical="center"/>
    </xf>
    <xf numFmtId="0" fontId="8" fillId="0" borderId="45" xfId="0" applyFont="1" applyBorder="1" applyAlignment="1">
      <alignment vertical="center"/>
    </xf>
    <xf numFmtId="0" fontId="8" fillId="0" borderId="46" xfId="0" applyFont="1" applyBorder="1" applyAlignment="1">
      <alignment vertical="center"/>
    </xf>
    <xf numFmtId="0" fontId="9" fillId="0" borderId="0" xfId="1" applyFont="1" applyAlignment="1">
      <alignment vertical="center"/>
    </xf>
    <xf numFmtId="0" fontId="9" fillId="0" borderId="0" xfId="1" applyFont="1" applyAlignment="1">
      <alignment vertical="center" wrapText="1" shrinkToFit="1"/>
    </xf>
    <xf numFmtId="0" fontId="9" fillId="0" borderId="0" xfId="1" applyFont="1" applyAlignment="1">
      <alignment vertical="center" wrapText="1"/>
    </xf>
    <xf numFmtId="0" fontId="9" fillId="0" borderId="0" xfId="1" applyFont="1" applyAlignment="1">
      <alignment horizontal="left" vertical="center"/>
    </xf>
    <xf numFmtId="0" fontId="2" fillId="0" borderId="0" xfId="1" applyFont="1" applyAlignment="1">
      <alignment vertical="center" textRotation="255" shrinkToFit="1"/>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1" xfId="1" applyFont="1" applyFill="1" applyBorder="1" applyAlignment="1">
      <alignment horizontal="center" vertical="center"/>
    </xf>
    <xf numFmtId="0" fontId="8" fillId="0" borderId="0" xfId="0" applyFont="1" applyBorder="1" applyAlignment="1">
      <alignment horizontal="left" vertical="top" wrapText="1"/>
    </xf>
    <xf numFmtId="0" fontId="8" fillId="0" borderId="0" xfId="0" applyFont="1" applyBorder="1" applyAlignment="1">
      <alignment horizontal="left" vertical="top"/>
    </xf>
    <xf numFmtId="0" fontId="8" fillId="0" borderId="45" xfId="0" applyFont="1" applyBorder="1" applyAlignment="1">
      <alignment horizontal="left" vertical="top"/>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7" xfId="1" applyFont="1" applyFill="1" applyBorder="1" applyAlignment="1">
      <alignment horizontal="center" vertical="center"/>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8" xfId="1" applyFont="1" applyFill="1" applyBorder="1" applyAlignment="1">
      <alignment horizontal="center" vertical="center"/>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14"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6" xfId="1" applyFont="1" applyFill="1" applyBorder="1" applyAlignment="1">
      <alignment horizontal="center" vertical="center" wrapText="1"/>
    </xf>
    <xf numFmtId="0" fontId="2" fillId="0" borderId="24" xfId="1" applyFont="1" applyFill="1" applyBorder="1" applyAlignment="1">
      <alignment horizontal="center" vertical="center" wrapText="1"/>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xf numFmtId="0" fontId="2" fillId="0" borderId="10"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12" xfId="1" applyFont="1" applyFill="1" applyBorder="1" applyAlignment="1">
      <alignment horizontal="center" vertical="center"/>
    </xf>
    <xf numFmtId="0" fontId="2" fillId="0" borderId="21"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15" xfId="1" applyFont="1" applyFill="1" applyBorder="1" applyAlignment="1">
      <alignment horizontal="center" vertical="center"/>
    </xf>
    <xf numFmtId="0" fontId="2" fillId="0" borderId="23" xfId="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7" fontId="2" fillId="0" borderId="25" xfId="1" applyNumberFormat="1" applyFont="1" applyFill="1" applyBorder="1" applyAlignment="1">
      <alignment horizontal="center" vertical="center"/>
    </xf>
    <xf numFmtId="178" fontId="2" fillId="0" borderId="23" xfId="1" applyNumberFormat="1" applyFont="1" applyFill="1" applyBorder="1" applyAlignment="1">
      <alignment horizontal="center" vertical="center"/>
    </xf>
    <xf numFmtId="178" fontId="2" fillId="0" borderId="32" xfId="1" applyNumberFormat="1" applyFont="1" applyFill="1" applyBorder="1" applyAlignment="1">
      <alignment horizontal="center" vertical="center"/>
    </xf>
    <xf numFmtId="178" fontId="2" fillId="0" borderId="25" xfId="1" applyNumberFormat="1" applyFont="1" applyFill="1" applyBorder="1" applyAlignment="1">
      <alignment horizontal="center" vertical="center"/>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9" fillId="0" borderId="0" xfId="1" applyFont="1" applyAlignment="1">
      <alignment horizontal="left" vertical="center"/>
    </xf>
    <xf numFmtId="0" fontId="9" fillId="0" borderId="0" xfId="1" applyFont="1" applyAlignment="1">
      <alignment horizontal="left" vertical="center" wrapText="1"/>
    </xf>
    <xf numFmtId="0" fontId="0" fillId="0" borderId="0" xfId="0" applyAlignment="1">
      <alignment horizontal="left" vertical="center" wrapText="1"/>
    </xf>
    <xf numFmtId="0" fontId="9" fillId="0" borderId="0" xfId="1" applyFont="1" applyAlignment="1">
      <alignment vertical="center" wrapText="1"/>
    </xf>
    <xf numFmtId="0" fontId="9" fillId="0" borderId="19" xfId="1" applyFont="1" applyBorder="1" applyAlignment="1">
      <alignment horizontal="center" vertical="center" wrapText="1"/>
    </xf>
    <xf numFmtId="0" fontId="9" fillId="0" borderId="19" xfId="1" applyFont="1" applyBorder="1" applyAlignment="1">
      <alignment horizontal="left" vertical="center" wrapText="1"/>
    </xf>
    <xf numFmtId="0" fontId="9" fillId="0" borderId="0" xfId="1" applyFont="1" applyAlignment="1">
      <alignment horizontal="left" vertical="center" wrapText="1" shrinkToFit="1"/>
    </xf>
    <xf numFmtId="176" fontId="2" fillId="0" borderId="5" xfId="1" applyNumberFormat="1" applyFont="1" applyFill="1" applyBorder="1" applyAlignment="1">
      <alignment vertical="center" shrinkToFit="1"/>
    </xf>
    <xf numFmtId="176" fontId="2" fillId="0" borderId="6" xfId="1" applyNumberFormat="1" applyFont="1" applyFill="1" applyBorder="1" applyAlignment="1">
      <alignment vertical="center" shrinkToFit="1"/>
    </xf>
    <xf numFmtId="176" fontId="2" fillId="0" borderId="4" xfId="1" applyNumberFormat="1" applyFont="1" applyFill="1" applyBorder="1" applyAlignment="1">
      <alignment vertical="center" shrinkToFit="1"/>
    </xf>
    <xf numFmtId="176" fontId="2" fillId="0" borderId="35" xfId="1" applyNumberFormat="1" applyFont="1" applyFill="1" applyBorder="1" applyAlignment="1">
      <alignment vertical="center" shrinkToFit="1"/>
    </xf>
  </cellXfs>
  <cellStyles count="2">
    <cellStyle name="標準" xfId="0" builtinId="0"/>
    <cellStyle name="標準_③-２加算様式（就労）" xfId="1" xr:uid="{7BF47577-3FBE-4D14-93DD-6B42109A73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42A9-AF71-475A-97BC-4624F0406F85}">
  <sheetPr>
    <tabColor rgb="FF00B0F0"/>
    <pageSetUpPr fitToPage="1"/>
  </sheetPr>
  <dimension ref="A1:BT37"/>
  <sheetViews>
    <sheetView showGridLines="0" view="pageBreakPreview" zoomScale="85" zoomScaleNormal="70" zoomScaleSheetLayoutView="85" zoomScalePageLayoutView="70" workbookViewId="0">
      <selection activeCell="V23" sqref="V23"/>
    </sheetView>
  </sheetViews>
  <sheetFormatPr defaultColWidth="8.88671875" defaultRowHeight="21" customHeight="1"/>
  <cols>
    <col min="1" max="4" width="2.77734375" style="31" customWidth="1"/>
    <col min="5" max="18" width="2.77734375" style="3" customWidth="1"/>
    <col min="19" max="46" width="2.88671875" style="3" customWidth="1"/>
    <col min="47" max="71" width="2.77734375" style="3" customWidth="1"/>
    <col min="72" max="16384" width="8.88671875" style="3"/>
  </cols>
  <sheetData>
    <row r="1" spans="1:72"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2" ht="21" customHeight="1">
      <c r="A2" s="38" t="s">
        <v>76</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row>
    <row r="3" spans="1:72" ht="9.75" customHeight="1" thickBot="1">
      <c r="A3" s="4"/>
      <c r="B3" s="4"/>
      <c r="C3" s="4"/>
      <c r="D3" s="4"/>
      <c r="E3" s="4"/>
    </row>
    <row r="4" spans="1:72" ht="21" customHeight="1" thickBot="1">
      <c r="A4" s="39" t="s">
        <v>1</v>
      </c>
      <c r="B4" s="40"/>
      <c r="C4" s="40"/>
      <c r="D4" s="40"/>
      <c r="E4" s="40"/>
      <c r="F4" s="40"/>
      <c r="G4" s="40"/>
      <c r="H4" s="40"/>
      <c r="I4" s="40"/>
      <c r="J4" s="40"/>
      <c r="K4" s="40"/>
      <c r="L4" s="40"/>
      <c r="M4" s="40"/>
      <c r="N4" s="40"/>
      <c r="O4" s="40"/>
      <c r="P4" s="40"/>
      <c r="Q4" s="40"/>
      <c r="R4" s="40"/>
      <c r="S4" s="40" t="s">
        <v>2</v>
      </c>
      <c r="T4" s="40"/>
      <c r="U4" s="40"/>
      <c r="V4" s="40"/>
      <c r="W4" s="40"/>
      <c r="X4" s="40"/>
      <c r="Y4" s="40"/>
      <c r="Z4" s="40"/>
      <c r="AA4" s="40"/>
      <c r="AB4" s="40"/>
      <c r="AC4" s="40"/>
      <c r="AD4" s="40"/>
      <c r="AE4" s="40"/>
      <c r="AF4" s="40" t="s">
        <v>3</v>
      </c>
      <c r="AG4" s="40"/>
      <c r="AH4" s="40"/>
      <c r="AI4" s="40"/>
      <c r="AJ4" s="40"/>
      <c r="AK4" s="40"/>
      <c r="AL4" s="40"/>
      <c r="AM4" s="40"/>
      <c r="AN4" s="40" t="s">
        <v>4</v>
      </c>
      <c r="AO4" s="40"/>
      <c r="AP4" s="40"/>
      <c r="AQ4" s="40"/>
      <c r="AR4" s="40"/>
      <c r="AS4" s="40"/>
      <c r="AT4" s="40"/>
      <c r="AU4" s="40"/>
      <c r="AV4" s="40"/>
      <c r="AW4" s="40"/>
      <c r="AX4" s="40"/>
      <c r="AY4" s="40"/>
      <c r="AZ4" s="40"/>
      <c r="BA4" s="40"/>
      <c r="BB4" s="40"/>
      <c r="BC4" s="40"/>
      <c r="BD4" s="40"/>
      <c r="BE4" s="40"/>
      <c r="BF4" s="41"/>
    </row>
    <row r="5" spans="1:72" ht="21" customHeight="1" thickBot="1">
      <c r="A5" s="42" t="s">
        <v>5</v>
      </c>
      <c r="B5" s="43"/>
      <c r="C5" s="43"/>
      <c r="D5" s="43"/>
      <c r="E5" s="43"/>
      <c r="F5" s="43"/>
      <c r="G5" s="43"/>
      <c r="H5" s="44">
        <v>14</v>
      </c>
      <c r="I5" s="45"/>
      <c r="J5" s="45"/>
      <c r="K5" s="45"/>
      <c r="L5" s="45"/>
      <c r="M5" s="45"/>
      <c r="N5" s="45"/>
      <c r="O5" s="45"/>
      <c r="P5" s="45"/>
      <c r="Q5" s="45"/>
      <c r="R5" s="45"/>
      <c r="S5" s="46" t="s">
        <v>6</v>
      </c>
      <c r="T5" s="47"/>
      <c r="U5" s="47"/>
      <c r="V5" s="47"/>
      <c r="W5" s="47"/>
      <c r="X5" s="47"/>
      <c r="Y5" s="47"/>
      <c r="Z5" s="48"/>
      <c r="AA5" s="44" t="s">
        <v>7</v>
      </c>
      <c r="AB5" s="45"/>
      <c r="AC5" s="45"/>
      <c r="AD5" s="45"/>
      <c r="AE5" s="45"/>
      <c r="AF5" s="45"/>
      <c r="AG5" s="45"/>
      <c r="AH5" s="45"/>
      <c r="AI5" s="45"/>
      <c r="AJ5" s="49"/>
      <c r="AK5" s="44" t="s">
        <v>8</v>
      </c>
      <c r="AL5" s="45"/>
      <c r="AM5" s="45"/>
      <c r="AN5" s="45"/>
      <c r="AO5" s="45"/>
      <c r="AP5" s="45"/>
      <c r="AQ5" s="45"/>
      <c r="AR5" s="45"/>
      <c r="AS5" s="49"/>
      <c r="AT5" s="69" t="s">
        <v>9</v>
      </c>
      <c r="AU5" s="70"/>
      <c r="AV5" s="70"/>
      <c r="AW5" s="70"/>
      <c r="AX5" s="70"/>
      <c r="AY5" s="70"/>
      <c r="AZ5" s="70"/>
      <c r="BA5" s="70"/>
      <c r="BB5" s="70"/>
      <c r="BC5" s="70"/>
      <c r="BD5" s="70"/>
      <c r="BE5" s="70"/>
      <c r="BF5" s="71"/>
    </row>
    <row r="6" spans="1:72" ht="21" customHeight="1" thickBot="1">
      <c r="A6" s="72" t="s">
        <v>10</v>
      </c>
      <c r="B6" s="73"/>
      <c r="C6" s="73"/>
      <c r="D6" s="73"/>
      <c r="E6" s="73"/>
      <c r="F6" s="73"/>
      <c r="G6" s="73"/>
      <c r="H6" s="73"/>
      <c r="I6" s="73"/>
      <c r="J6" s="73"/>
      <c r="K6" s="73"/>
      <c r="L6" s="73"/>
      <c r="M6" s="73"/>
      <c r="N6" s="73"/>
      <c r="O6" s="73"/>
      <c r="P6" s="73"/>
      <c r="Q6" s="73"/>
      <c r="R6" s="73"/>
      <c r="S6" s="46" t="s">
        <v>11</v>
      </c>
      <c r="T6" s="47"/>
      <c r="U6" s="47"/>
      <c r="V6" s="47"/>
      <c r="W6" s="47"/>
      <c r="X6" s="47"/>
      <c r="Y6" s="47"/>
      <c r="Z6" s="47"/>
      <c r="AA6" s="47"/>
      <c r="AB6" s="47"/>
      <c r="AC6" s="47"/>
      <c r="AD6" s="47"/>
      <c r="AE6" s="48"/>
      <c r="AF6" s="73" t="s">
        <v>12</v>
      </c>
      <c r="AG6" s="73"/>
      <c r="AH6" s="73"/>
      <c r="AI6" s="73"/>
      <c r="AJ6" s="73"/>
      <c r="AK6" s="73"/>
      <c r="AL6" s="73"/>
      <c r="AM6" s="73"/>
      <c r="AN6" s="73" t="s">
        <v>77</v>
      </c>
      <c r="AO6" s="73"/>
      <c r="AP6" s="73"/>
      <c r="AQ6" s="73"/>
      <c r="AR6" s="73"/>
      <c r="AS6" s="73"/>
      <c r="AT6" s="73"/>
      <c r="AU6" s="73"/>
      <c r="AV6" s="73"/>
      <c r="AW6" s="73"/>
      <c r="AX6" s="73"/>
      <c r="AY6" s="73"/>
      <c r="AZ6" s="73"/>
      <c r="BA6" s="73"/>
      <c r="BB6" s="73"/>
      <c r="BC6" s="73"/>
      <c r="BD6" s="73"/>
      <c r="BE6" s="73"/>
      <c r="BF6" s="74"/>
    </row>
    <row r="7" spans="1:72" ht="21" customHeight="1">
      <c r="A7" s="50" t="s">
        <v>14</v>
      </c>
      <c r="B7" s="51"/>
      <c r="C7" s="51"/>
      <c r="D7" s="51"/>
      <c r="E7" s="51"/>
      <c r="F7" s="51"/>
      <c r="G7" s="55" t="s">
        <v>15</v>
      </c>
      <c r="H7" s="55"/>
      <c r="I7" s="55"/>
      <c r="J7" s="55"/>
      <c r="K7" s="55"/>
      <c r="L7" s="51" t="s">
        <v>16</v>
      </c>
      <c r="M7" s="51"/>
      <c r="N7" s="51"/>
      <c r="O7" s="51"/>
      <c r="P7" s="51"/>
      <c r="Q7" s="51"/>
      <c r="R7" s="77"/>
      <c r="S7" s="50" t="s">
        <v>17</v>
      </c>
      <c r="T7" s="51"/>
      <c r="U7" s="51"/>
      <c r="V7" s="51"/>
      <c r="W7" s="51"/>
      <c r="X7" s="51"/>
      <c r="Y7" s="52"/>
      <c r="Z7" s="50" t="s">
        <v>18</v>
      </c>
      <c r="AA7" s="51"/>
      <c r="AB7" s="51"/>
      <c r="AC7" s="51"/>
      <c r="AD7" s="51"/>
      <c r="AE7" s="51"/>
      <c r="AF7" s="52"/>
      <c r="AG7" s="50" t="s">
        <v>19</v>
      </c>
      <c r="AH7" s="51"/>
      <c r="AI7" s="51"/>
      <c r="AJ7" s="51"/>
      <c r="AK7" s="51"/>
      <c r="AL7" s="51"/>
      <c r="AM7" s="52"/>
      <c r="AN7" s="53" t="s">
        <v>20</v>
      </c>
      <c r="AO7" s="51"/>
      <c r="AP7" s="51"/>
      <c r="AQ7" s="51"/>
      <c r="AR7" s="51"/>
      <c r="AS7" s="51"/>
      <c r="AT7" s="52"/>
      <c r="AU7" s="54" t="s">
        <v>21</v>
      </c>
      <c r="AV7" s="55"/>
      <c r="AW7" s="55"/>
      <c r="AX7" s="55" t="s">
        <v>22</v>
      </c>
      <c r="AY7" s="55"/>
      <c r="AZ7" s="55"/>
      <c r="BA7" s="58" t="s">
        <v>23</v>
      </c>
      <c r="BB7" s="59"/>
      <c r="BC7" s="60"/>
      <c r="BD7" s="55" t="s">
        <v>24</v>
      </c>
      <c r="BE7" s="55"/>
      <c r="BF7" s="67"/>
    </row>
    <row r="8" spans="1:72" ht="21" customHeight="1">
      <c r="A8" s="75"/>
      <c r="B8" s="76"/>
      <c r="C8" s="76"/>
      <c r="D8" s="76"/>
      <c r="E8" s="76"/>
      <c r="F8" s="76"/>
      <c r="G8" s="57"/>
      <c r="H8" s="57"/>
      <c r="I8" s="57"/>
      <c r="J8" s="57"/>
      <c r="K8" s="57"/>
      <c r="L8" s="76"/>
      <c r="M8" s="76"/>
      <c r="N8" s="76"/>
      <c r="O8" s="76"/>
      <c r="P8" s="76"/>
      <c r="Q8" s="76"/>
      <c r="R8" s="78"/>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56"/>
      <c r="AV8" s="57"/>
      <c r="AW8" s="57"/>
      <c r="AX8" s="57"/>
      <c r="AY8" s="57"/>
      <c r="AZ8" s="57"/>
      <c r="BA8" s="61"/>
      <c r="BB8" s="62"/>
      <c r="BC8" s="63"/>
      <c r="BD8" s="57"/>
      <c r="BE8" s="57"/>
      <c r="BF8" s="68"/>
    </row>
    <row r="9" spans="1:72" ht="21" customHeight="1">
      <c r="A9" s="75"/>
      <c r="B9" s="76"/>
      <c r="C9" s="76"/>
      <c r="D9" s="76"/>
      <c r="E9" s="76"/>
      <c r="F9" s="76"/>
      <c r="G9" s="57"/>
      <c r="H9" s="57"/>
      <c r="I9" s="57"/>
      <c r="J9" s="57"/>
      <c r="K9" s="57"/>
      <c r="L9" s="76"/>
      <c r="M9" s="76"/>
      <c r="N9" s="76"/>
      <c r="O9" s="76"/>
      <c r="P9" s="76"/>
      <c r="Q9" s="76"/>
      <c r="R9" s="78"/>
      <c r="S9" s="9" t="s">
        <v>78</v>
      </c>
      <c r="T9" s="6" t="s">
        <v>79</v>
      </c>
      <c r="U9" s="6" t="s">
        <v>29</v>
      </c>
      <c r="V9" s="6" t="s">
        <v>30</v>
      </c>
      <c r="W9" s="6" t="s">
        <v>31</v>
      </c>
      <c r="X9" s="6" t="s">
        <v>25</v>
      </c>
      <c r="Y9" s="7" t="s">
        <v>26</v>
      </c>
      <c r="Z9" s="9" t="s">
        <v>27</v>
      </c>
      <c r="AA9" s="6" t="s">
        <v>28</v>
      </c>
      <c r="AB9" s="6" t="s">
        <v>29</v>
      </c>
      <c r="AC9" s="6" t="s">
        <v>30</v>
      </c>
      <c r="AD9" s="6" t="s">
        <v>31</v>
      </c>
      <c r="AE9" s="6" t="s">
        <v>25</v>
      </c>
      <c r="AF9" s="7" t="s">
        <v>26</v>
      </c>
      <c r="AG9" s="9" t="s">
        <v>27</v>
      </c>
      <c r="AH9" s="6" t="s">
        <v>28</v>
      </c>
      <c r="AI9" s="6" t="s">
        <v>29</v>
      </c>
      <c r="AJ9" s="6" t="s">
        <v>30</v>
      </c>
      <c r="AK9" s="6" t="s">
        <v>31</v>
      </c>
      <c r="AL9" s="6" t="s">
        <v>25</v>
      </c>
      <c r="AM9" s="7" t="s">
        <v>26</v>
      </c>
      <c r="AN9" s="9" t="s">
        <v>27</v>
      </c>
      <c r="AO9" s="6" t="s">
        <v>28</v>
      </c>
      <c r="AP9" s="6" t="s">
        <v>29</v>
      </c>
      <c r="AQ9" s="6" t="s">
        <v>30</v>
      </c>
      <c r="AR9" s="6" t="s">
        <v>31</v>
      </c>
      <c r="AS9" s="6" t="s">
        <v>25</v>
      </c>
      <c r="AT9" s="7" t="s">
        <v>26</v>
      </c>
      <c r="AU9" s="56"/>
      <c r="AV9" s="57"/>
      <c r="AW9" s="57"/>
      <c r="AX9" s="57"/>
      <c r="AY9" s="57"/>
      <c r="AZ9" s="57"/>
      <c r="BA9" s="64"/>
      <c r="BB9" s="65"/>
      <c r="BC9" s="66"/>
      <c r="BD9" s="57"/>
      <c r="BE9" s="57"/>
      <c r="BF9" s="68"/>
    </row>
    <row r="10" spans="1:72" ht="17.25" customHeight="1">
      <c r="A10" s="82" t="s">
        <v>32</v>
      </c>
      <c r="B10" s="83"/>
      <c r="C10" s="83"/>
      <c r="D10" s="83"/>
      <c r="E10" s="83"/>
      <c r="F10" s="83"/>
      <c r="G10" s="83" t="s">
        <v>33</v>
      </c>
      <c r="H10" s="83"/>
      <c r="I10" s="83"/>
      <c r="J10" s="83"/>
      <c r="K10" s="83"/>
      <c r="L10" s="76" t="s">
        <v>34</v>
      </c>
      <c r="M10" s="76"/>
      <c r="N10" s="76"/>
      <c r="O10" s="76"/>
      <c r="P10" s="76"/>
      <c r="Q10" s="76"/>
      <c r="R10" s="78"/>
      <c r="S10" s="10" t="s">
        <v>35</v>
      </c>
      <c r="T10" s="11" t="s">
        <v>35</v>
      </c>
      <c r="U10" s="11" t="s">
        <v>35</v>
      </c>
      <c r="V10" s="11" t="s">
        <v>35</v>
      </c>
      <c r="W10" s="11" t="s">
        <v>35</v>
      </c>
      <c r="X10" s="11"/>
      <c r="Y10" s="12"/>
      <c r="Z10" s="34" t="s">
        <v>35</v>
      </c>
      <c r="AA10" s="11" t="s">
        <v>35</v>
      </c>
      <c r="AB10" s="11" t="s">
        <v>35</v>
      </c>
      <c r="AC10" s="11" t="s">
        <v>35</v>
      </c>
      <c r="AD10" s="11" t="s">
        <v>35</v>
      </c>
      <c r="AE10" s="11" t="s">
        <v>35</v>
      </c>
      <c r="AF10" s="12"/>
      <c r="AG10" s="34"/>
      <c r="AH10" s="11" t="s">
        <v>35</v>
      </c>
      <c r="AI10" s="11" t="s">
        <v>35</v>
      </c>
      <c r="AJ10" s="11" t="s">
        <v>35</v>
      </c>
      <c r="AK10" s="11" t="s">
        <v>35</v>
      </c>
      <c r="AL10" s="11"/>
      <c r="AM10" s="12"/>
      <c r="AN10" s="34" t="s">
        <v>35</v>
      </c>
      <c r="AO10" s="11" t="s">
        <v>35</v>
      </c>
      <c r="AP10" s="11" t="s">
        <v>35</v>
      </c>
      <c r="AQ10" s="11" t="s">
        <v>35</v>
      </c>
      <c r="AR10" s="11" t="s">
        <v>35</v>
      </c>
      <c r="AS10" s="11"/>
      <c r="AT10" s="12"/>
      <c r="AU10" s="84">
        <f>6.5*20</f>
        <v>130</v>
      </c>
      <c r="AV10" s="84"/>
      <c r="AW10" s="85"/>
      <c r="AX10" s="79">
        <f>6.5*5</f>
        <v>32.5</v>
      </c>
      <c r="AY10" s="80"/>
      <c r="AZ10" s="86"/>
      <c r="BA10" s="79">
        <f>6.5*5</f>
        <v>32.5</v>
      </c>
      <c r="BB10" s="80"/>
      <c r="BC10" s="86"/>
      <c r="BD10" s="79">
        <f>BA10/AU22</f>
        <v>1</v>
      </c>
      <c r="BE10" s="80"/>
      <c r="BF10" s="81"/>
    </row>
    <row r="11" spans="1:72" ht="17.25" customHeight="1">
      <c r="A11" s="82" t="s">
        <v>36</v>
      </c>
      <c r="B11" s="83"/>
      <c r="C11" s="83"/>
      <c r="D11" s="83"/>
      <c r="E11" s="83"/>
      <c r="F11" s="83"/>
      <c r="G11" s="83" t="s">
        <v>33</v>
      </c>
      <c r="H11" s="83"/>
      <c r="I11" s="83"/>
      <c r="J11" s="83"/>
      <c r="K11" s="83"/>
      <c r="L11" s="76" t="s">
        <v>37</v>
      </c>
      <c r="M11" s="76"/>
      <c r="N11" s="76"/>
      <c r="O11" s="76"/>
      <c r="P11" s="76"/>
      <c r="Q11" s="76"/>
      <c r="R11" s="78"/>
      <c r="S11" s="10" t="s">
        <v>35</v>
      </c>
      <c r="T11" s="11" t="s">
        <v>35</v>
      </c>
      <c r="U11" s="11" t="s">
        <v>35</v>
      </c>
      <c r="V11" s="11" t="s">
        <v>35</v>
      </c>
      <c r="W11" s="11" t="s">
        <v>35</v>
      </c>
      <c r="X11" s="11"/>
      <c r="Y11" s="12"/>
      <c r="Z11" s="34" t="s">
        <v>35</v>
      </c>
      <c r="AA11" s="11" t="s">
        <v>35</v>
      </c>
      <c r="AB11" s="11" t="s">
        <v>35</v>
      </c>
      <c r="AC11" s="11" t="s">
        <v>35</v>
      </c>
      <c r="AD11" s="11" t="s">
        <v>35</v>
      </c>
      <c r="AE11" s="11" t="s">
        <v>35</v>
      </c>
      <c r="AF11" s="12"/>
      <c r="AG11" s="34"/>
      <c r="AH11" s="11" t="s">
        <v>35</v>
      </c>
      <c r="AI11" s="11" t="s">
        <v>35</v>
      </c>
      <c r="AJ11" s="11" t="s">
        <v>35</v>
      </c>
      <c r="AK11" s="11" t="s">
        <v>35</v>
      </c>
      <c r="AL11" s="11"/>
      <c r="AM11" s="12"/>
      <c r="AN11" s="34" t="s">
        <v>35</v>
      </c>
      <c r="AO11" s="11" t="s">
        <v>35</v>
      </c>
      <c r="AP11" s="11" t="s">
        <v>35</v>
      </c>
      <c r="AQ11" s="11" t="s">
        <v>35</v>
      </c>
      <c r="AR11" s="11" t="s">
        <v>35</v>
      </c>
      <c r="AS11" s="11"/>
      <c r="AT11" s="12"/>
      <c r="AU11" s="84">
        <f>6.5*20</f>
        <v>130</v>
      </c>
      <c r="AV11" s="84"/>
      <c r="AW11" s="85"/>
      <c r="AX11" s="79">
        <f>6.5*5</f>
        <v>32.5</v>
      </c>
      <c r="AY11" s="80"/>
      <c r="AZ11" s="86"/>
      <c r="BA11" s="79">
        <f>6.5*5</f>
        <v>32.5</v>
      </c>
      <c r="BB11" s="80"/>
      <c r="BC11" s="86"/>
      <c r="BD11" s="79">
        <f>BA11/AU22</f>
        <v>1</v>
      </c>
      <c r="BE11" s="80"/>
      <c r="BF11" s="81"/>
    </row>
    <row r="12" spans="1:72" ht="17.25" customHeight="1">
      <c r="A12" s="82" t="s">
        <v>38</v>
      </c>
      <c r="B12" s="83"/>
      <c r="C12" s="83"/>
      <c r="D12" s="83"/>
      <c r="E12" s="83"/>
      <c r="F12" s="83"/>
      <c r="G12" s="76"/>
      <c r="H12" s="76"/>
      <c r="I12" s="76"/>
      <c r="J12" s="76"/>
      <c r="K12" s="76"/>
      <c r="L12" s="76"/>
      <c r="M12" s="76"/>
      <c r="N12" s="76"/>
      <c r="O12" s="76"/>
      <c r="P12" s="76"/>
      <c r="Q12" s="76"/>
      <c r="R12" s="78"/>
      <c r="S12" s="10"/>
      <c r="T12" s="13"/>
      <c r="U12" s="33"/>
      <c r="V12" s="33"/>
      <c r="W12" s="33"/>
      <c r="X12" s="13"/>
      <c r="Y12" s="12"/>
      <c r="Z12" s="34"/>
      <c r="AA12" s="33"/>
      <c r="AB12" s="33"/>
      <c r="AC12" s="33"/>
      <c r="AD12" s="33"/>
      <c r="AE12" s="33"/>
      <c r="AF12" s="12"/>
      <c r="AG12" s="34"/>
      <c r="AH12" s="33"/>
      <c r="AI12" s="33"/>
      <c r="AJ12" s="33"/>
      <c r="AK12" s="33"/>
      <c r="AL12" s="33"/>
      <c r="AM12" s="12"/>
      <c r="AN12" s="34"/>
      <c r="AO12" s="33"/>
      <c r="AP12" s="33"/>
      <c r="AQ12" s="33"/>
      <c r="AR12" s="33"/>
      <c r="AS12" s="33"/>
      <c r="AT12" s="12"/>
      <c r="AU12" s="84"/>
      <c r="AV12" s="84"/>
      <c r="AW12" s="85"/>
      <c r="AX12" s="79"/>
      <c r="AY12" s="80"/>
      <c r="AZ12" s="86"/>
      <c r="BA12" s="79"/>
      <c r="BB12" s="80"/>
      <c r="BC12" s="86"/>
      <c r="BD12" s="79"/>
      <c r="BE12" s="80"/>
      <c r="BF12" s="81"/>
    </row>
    <row r="13" spans="1:72" ht="17.25" customHeight="1">
      <c r="A13" s="82" t="s">
        <v>39</v>
      </c>
      <c r="B13" s="83"/>
      <c r="C13" s="83"/>
      <c r="D13" s="83"/>
      <c r="E13" s="83"/>
      <c r="F13" s="83"/>
      <c r="G13" s="83" t="s">
        <v>33</v>
      </c>
      <c r="H13" s="83"/>
      <c r="I13" s="83"/>
      <c r="J13" s="83"/>
      <c r="K13" s="83"/>
      <c r="L13" s="76" t="s">
        <v>80</v>
      </c>
      <c r="M13" s="76"/>
      <c r="N13" s="76"/>
      <c r="O13" s="76"/>
      <c r="P13" s="76"/>
      <c r="Q13" s="76"/>
      <c r="R13" s="78"/>
      <c r="S13" s="10" t="s">
        <v>35</v>
      </c>
      <c r="T13" s="11" t="s">
        <v>35</v>
      </c>
      <c r="U13" s="11" t="s">
        <v>35</v>
      </c>
      <c r="V13" s="11" t="s">
        <v>35</v>
      </c>
      <c r="W13" s="11" t="s">
        <v>35</v>
      </c>
      <c r="X13" s="11"/>
      <c r="Y13" s="12"/>
      <c r="Z13" s="34" t="s">
        <v>35</v>
      </c>
      <c r="AA13" s="11" t="s">
        <v>35</v>
      </c>
      <c r="AB13" s="11" t="s">
        <v>35</v>
      </c>
      <c r="AC13" s="11" t="s">
        <v>35</v>
      </c>
      <c r="AD13" s="11" t="s">
        <v>35</v>
      </c>
      <c r="AE13" s="11" t="s">
        <v>35</v>
      </c>
      <c r="AF13" s="12"/>
      <c r="AG13" s="34"/>
      <c r="AH13" s="11" t="s">
        <v>35</v>
      </c>
      <c r="AI13" s="11" t="s">
        <v>35</v>
      </c>
      <c r="AJ13" s="11" t="s">
        <v>35</v>
      </c>
      <c r="AK13" s="11" t="s">
        <v>35</v>
      </c>
      <c r="AL13" s="11"/>
      <c r="AM13" s="12"/>
      <c r="AN13" s="34" t="s">
        <v>35</v>
      </c>
      <c r="AO13" s="11" t="s">
        <v>35</v>
      </c>
      <c r="AP13" s="11" t="s">
        <v>35</v>
      </c>
      <c r="AQ13" s="11" t="s">
        <v>35</v>
      </c>
      <c r="AR13" s="11" t="s">
        <v>35</v>
      </c>
      <c r="AS13" s="11"/>
      <c r="AT13" s="12"/>
      <c r="AU13" s="84">
        <v>130</v>
      </c>
      <c r="AV13" s="84"/>
      <c r="AW13" s="85"/>
      <c r="AX13" s="79">
        <v>32.5</v>
      </c>
      <c r="AY13" s="80"/>
      <c r="AZ13" s="86"/>
      <c r="BA13" s="79">
        <v>32.5</v>
      </c>
      <c r="BB13" s="80"/>
      <c r="BC13" s="86"/>
      <c r="BD13" s="79">
        <f>BA13/AU22</f>
        <v>1</v>
      </c>
      <c r="BE13" s="80"/>
      <c r="BF13" s="81"/>
    </row>
    <row r="14" spans="1:72" ht="16.5" customHeight="1">
      <c r="A14" s="82" t="s">
        <v>40</v>
      </c>
      <c r="B14" s="83"/>
      <c r="C14" s="83"/>
      <c r="D14" s="83"/>
      <c r="E14" s="83"/>
      <c r="F14" s="83"/>
      <c r="G14" s="83" t="s">
        <v>73</v>
      </c>
      <c r="H14" s="83"/>
      <c r="I14" s="83"/>
      <c r="J14" s="83"/>
      <c r="K14" s="83"/>
      <c r="L14" s="76" t="s">
        <v>42</v>
      </c>
      <c r="M14" s="76"/>
      <c r="N14" s="76"/>
      <c r="O14" s="76"/>
      <c r="P14" s="76"/>
      <c r="Q14" s="76"/>
      <c r="R14" s="78"/>
      <c r="S14" s="10" t="s">
        <v>43</v>
      </c>
      <c r="T14" s="11" t="s">
        <v>43</v>
      </c>
      <c r="U14" s="11" t="s">
        <v>43</v>
      </c>
      <c r="V14" s="11" t="s">
        <v>43</v>
      </c>
      <c r="W14" s="11" t="s">
        <v>43</v>
      </c>
      <c r="X14" s="11"/>
      <c r="Y14" s="12"/>
      <c r="Z14" s="34" t="s">
        <v>43</v>
      </c>
      <c r="AA14" s="11" t="s">
        <v>43</v>
      </c>
      <c r="AB14" s="11" t="s">
        <v>43</v>
      </c>
      <c r="AC14" s="11" t="s">
        <v>43</v>
      </c>
      <c r="AD14" s="11" t="s">
        <v>43</v>
      </c>
      <c r="AE14" s="11" t="s">
        <v>43</v>
      </c>
      <c r="AF14" s="12"/>
      <c r="AG14" s="34"/>
      <c r="AH14" s="11" t="s">
        <v>43</v>
      </c>
      <c r="AI14" s="11" t="s">
        <v>43</v>
      </c>
      <c r="AJ14" s="11" t="s">
        <v>43</v>
      </c>
      <c r="AK14" s="11" t="s">
        <v>43</v>
      </c>
      <c r="AL14" s="11"/>
      <c r="AM14" s="12"/>
      <c r="AN14" s="34" t="s">
        <v>43</v>
      </c>
      <c r="AO14" s="11" t="s">
        <v>43</v>
      </c>
      <c r="AP14" s="11" t="s">
        <v>43</v>
      </c>
      <c r="AQ14" s="11" t="s">
        <v>43</v>
      </c>
      <c r="AR14" s="11" t="s">
        <v>43</v>
      </c>
      <c r="AS14" s="11"/>
      <c r="AT14" s="12"/>
      <c r="AU14" s="84">
        <f>3.5*5*4</f>
        <v>70</v>
      </c>
      <c r="AV14" s="84"/>
      <c r="AW14" s="85"/>
      <c r="AX14" s="87">
        <f>AU14/4</f>
        <v>17.5</v>
      </c>
      <c r="AY14" s="88"/>
      <c r="AZ14" s="89"/>
      <c r="BA14" s="87">
        <f>AX14</f>
        <v>17.5</v>
      </c>
      <c r="BB14" s="88"/>
      <c r="BC14" s="89"/>
      <c r="BD14" s="79">
        <f>BA14/AU22</f>
        <v>0.53846153846153844</v>
      </c>
      <c r="BE14" s="80"/>
      <c r="BF14" s="81"/>
      <c r="BT14" s="3">
        <f>3.4/7.5</f>
        <v>0.45333333333333331</v>
      </c>
    </row>
    <row r="15" spans="1:72" ht="17.25" hidden="1" customHeight="1">
      <c r="A15" s="82"/>
      <c r="B15" s="83"/>
      <c r="C15" s="83"/>
      <c r="D15" s="83"/>
      <c r="E15" s="83"/>
      <c r="F15" s="83"/>
      <c r="G15" s="83"/>
      <c r="H15" s="83"/>
      <c r="I15" s="83"/>
      <c r="J15" s="83"/>
      <c r="K15" s="83"/>
      <c r="L15" s="76"/>
      <c r="M15" s="76"/>
      <c r="N15" s="76"/>
      <c r="O15" s="76"/>
      <c r="P15" s="76"/>
      <c r="Q15" s="76"/>
      <c r="R15" s="78"/>
      <c r="S15" s="10"/>
      <c r="T15" s="11"/>
      <c r="U15" s="11"/>
      <c r="V15" s="11"/>
      <c r="W15" s="11"/>
      <c r="X15" s="11"/>
      <c r="Y15" s="12"/>
      <c r="Z15" s="34"/>
      <c r="AA15" s="11"/>
      <c r="AB15" s="11"/>
      <c r="AC15" s="11"/>
      <c r="AD15" s="11"/>
      <c r="AE15" s="11"/>
      <c r="AF15" s="12"/>
      <c r="AG15" s="34"/>
      <c r="AH15" s="11"/>
      <c r="AI15" s="11"/>
      <c r="AJ15" s="11"/>
      <c r="AK15" s="11"/>
      <c r="AL15" s="11"/>
      <c r="AM15" s="12"/>
      <c r="AN15" s="34"/>
      <c r="AO15" s="11"/>
      <c r="AP15" s="11"/>
      <c r="AQ15" s="11"/>
      <c r="AR15" s="11"/>
      <c r="AS15" s="11"/>
      <c r="AT15" s="12"/>
      <c r="AU15" s="84"/>
      <c r="AV15" s="84"/>
      <c r="AW15" s="85"/>
      <c r="AX15" s="79"/>
      <c r="AY15" s="80"/>
      <c r="AZ15" s="86"/>
      <c r="BA15" s="79"/>
      <c r="BB15" s="80"/>
      <c r="BC15" s="86"/>
      <c r="BD15" s="79"/>
      <c r="BE15" s="80"/>
      <c r="BF15" s="81"/>
    </row>
    <row r="16" spans="1:72" ht="17.25" customHeight="1">
      <c r="A16" s="82" t="s">
        <v>74</v>
      </c>
      <c r="B16" s="83"/>
      <c r="C16" s="83"/>
      <c r="D16" s="83"/>
      <c r="E16" s="83"/>
      <c r="F16" s="83"/>
      <c r="G16" s="83" t="s">
        <v>41</v>
      </c>
      <c r="H16" s="83"/>
      <c r="I16" s="83"/>
      <c r="J16" s="83"/>
      <c r="K16" s="83"/>
      <c r="L16" s="76" t="s">
        <v>75</v>
      </c>
      <c r="M16" s="76"/>
      <c r="N16" s="76"/>
      <c r="O16" s="76"/>
      <c r="P16" s="76"/>
      <c r="Q16" s="76"/>
      <c r="R16" s="78"/>
      <c r="S16" s="34" t="s">
        <v>35</v>
      </c>
      <c r="T16" s="11" t="s">
        <v>35</v>
      </c>
      <c r="U16" s="11" t="s">
        <v>35</v>
      </c>
      <c r="V16" s="11" t="s">
        <v>35</v>
      </c>
      <c r="W16" s="11" t="s">
        <v>35</v>
      </c>
      <c r="X16" s="11"/>
      <c r="Y16" s="12"/>
      <c r="Z16" s="34" t="s">
        <v>35</v>
      </c>
      <c r="AA16" s="11" t="s">
        <v>35</v>
      </c>
      <c r="AB16" s="11" t="s">
        <v>35</v>
      </c>
      <c r="AC16" s="11" t="s">
        <v>35</v>
      </c>
      <c r="AD16" s="11" t="s">
        <v>35</v>
      </c>
      <c r="AE16" s="11" t="s">
        <v>35</v>
      </c>
      <c r="AF16" s="12"/>
      <c r="AG16" s="34"/>
      <c r="AH16" s="11" t="s">
        <v>35</v>
      </c>
      <c r="AI16" s="11" t="s">
        <v>35</v>
      </c>
      <c r="AJ16" s="11" t="s">
        <v>35</v>
      </c>
      <c r="AK16" s="11" t="s">
        <v>35</v>
      </c>
      <c r="AL16" s="11"/>
      <c r="AM16" s="12"/>
      <c r="AN16" s="34" t="s">
        <v>35</v>
      </c>
      <c r="AO16" s="11" t="s">
        <v>35</v>
      </c>
      <c r="AP16" s="11" t="s">
        <v>35</v>
      </c>
      <c r="AQ16" s="11" t="s">
        <v>35</v>
      </c>
      <c r="AR16" s="11" t="s">
        <v>35</v>
      </c>
      <c r="AS16" s="11"/>
      <c r="AT16" s="12"/>
      <c r="AU16" s="84">
        <v>130</v>
      </c>
      <c r="AV16" s="84"/>
      <c r="AW16" s="85"/>
      <c r="AX16" s="87">
        <f>AU16/4</f>
        <v>32.5</v>
      </c>
      <c r="AY16" s="88"/>
      <c r="AZ16" s="89"/>
      <c r="BA16" s="87">
        <f>AX16</f>
        <v>32.5</v>
      </c>
      <c r="BB16" s="88"/>
      <c r="BC16" s="89"/>
      <c r="BD16" s="79">
        <v>1</v>
      </c>
      <c r="BE16" s="80"/>
      <c r="BF16" s="81"/>
    </row>
    <row r="17" spans="1:58" ht="17.25" customHeight="1">
      <c r="A17" s="82" t="s">
        <v>44</v>
      </c>
      <c r="B17" s="83"/>
      <c r="C17" s="83"/>
      <c r="D17" s="83"/>
      <c r="E17" s="83"/>
      <c r="F17" s="83"/>
      <c r="G17" s="83"/>
      <c r="H17" s="83"/>
      <c r="I17" s="83"/>
      <c r="J17" s="83"/>
      <c r="K17" s="83"/>
      <c r="L17" s="76"/>
      <c r="M17" s="76"/>
      <c r="N17" s="76"/>
      <c r="O17" s="76"/>
      <c r="P17" s="76"/>
      <c r="Q17" s="76"/>
      <c r="R17" s="78"/>
      <c r="S17" s="10"/>
      <c r="T17" s="11"/>
      <c r="U17" s="11"/>
      <c r="V17" s="11"/>
      <c r="W17" s="11"/>
      <c r="X17" s="11"/>
      <c r="Y17" s="12"/>
      <c r="Z17" s="10"/>
      <c r="AA17" s="11"/>
      <c r="AB17" s="11"/>
      <c r="AC17" s="11"/>
      <c r="AD17" s="11"/>
      <c r="AE17" s="11"/>
      <c r="AF17" s="12"/>
      <c r="AG17" s="10"/>
      <c r="AH17" s="11"/>
      <c r="AI17" s="11"/>
      <c r="AJ17" s="11"/>
      <c r="AK17" s="11"/>
      <c r="AL17" s="11"/>
      <c r="AM17" s="12"/>
      <c r="AN17" s="14"/>
      <c r="AO17" s="11"/>
      <c r="AP17" s="11"/>
      <c r="AQ17" s="11"/>
      <c r="AR17" s="11"/>
      <c r="AS17" s="11"/>
      <c r="AT17" s="12"/>
      <c r="AU17" s="84"/>
      <c r="AV17" s="84"/>
      <c r="AW17" s="85"/>
      <c r="AX17" s="79"/>
      <c r="AY17" s="80"/>
      <c r="AZ17" s="86"/>
      <c r="BA17" s="79">
        <f>SUM(BA13:BC16)</f>
        <v>82.5</v>
      </c>
      <c r="BB17" s="80"/>
      <c r="BC17" s="86"/>
      <c r="BD17" s="79">
        <f>BA17/32.5</f>
        <v>2.5384615384615383</v>
      </c>
      <c r="BE17" s="80"/>
      <c r="BF17" s="81"/>
    </row>
    <row r="18" spans="1:58" ht="17.25" customHeight="1">
      <c r="A18" s="82"/>
      <c r="B18" s="83"/>
      <c r="C18" s="83"/>
      <c r="D18" s="83"/>
      <c r="E18" s="83"/>
      <c r="F18" s="83"/>
      <c r="G18" s="83"/>
      <c r="H18" s="83"/>
      <c r="I18" s="83"/>
      <c r="J18" s="83"/>
      <c r="K18" s="83"/>
      <c r="L18" s="76"/>
      <c r="M18" s="76"/>
      <c r="N18" s="76"/>
      <c r="O18" s="76"/>
      <c r="P18" s="76"/>
      <c r="Q18" s="76"/>
      <c r="R18" s="78"/>
      <c r="S18" s="10"/>
      <c r="T18" s="11"/>
      <c r="U18" s="11"/>
      <c r="V18" s="11"/>
      <c r="W18" s="11"/>
      <c r="X18" s="11"/>
      <c r="Y18" s="12"/>
      <c r="Z18" s="10"/>
      <c r="AA18" s="11"/>
      <c r="AB18" s="11"/>
      <c r="AC18" s="11"/>
      <c r="AD18" s="11"/>
      <c r="AE18" s="11"/>
      <c r="AF18" s="12"/>
      <c r="AG18" s="10"/>
      <c r="AH18" s="11"/>
      <c r="AI18" s="11"/>
      <c r="AJ18" s="11"/>
      <c r="AK18" s="11"/>
      <c r="AL18" s="11"/>
      <c r="AM18" s="12"/>
      <c r="AN18" s="14"/>
      <c r="AO18" s="11"/>
      <c r="AP18" s="11"/>
      <c r="AQ18" s="11"/>
      <c r="AR18" s="11"/>
      <c r="AS18" s="11"/>
      <c r="AT18" s="12"/>
      <c r="AU18" s="84"/>
      <c r="AV18" s="84"/>
      <c r="AW18" s="85"/>
      <c r="AX18" s="79"/>
      <c r="AY18" s="80"/>
      <c r="AZ18" s="86"/>
      <c r="BA18" s="79"/>
      <c r="BB18" s="80"/>
      <c r="BC18" s="86"/>
      <c r="BD18" s="79"/>
      <c r="BE18" s="80"/>
      <c r="BF18" s="81"/>
    </row>
    <row r="19" spans="1:58" ht="17.25" customHeight="1">
      <c r="A19" s="82"/>
      <c r="B19" s="83"/>
      <c r="C19" s="83"/>
      <c r="D19" s="83"/>
      <c r="E19" s="83"/>
      <c r="F19" s="83"/>
      <c r="G19" s="76"/>
      <c r="H19" s="76"/>
      <c r="I19" s="76"/>
      <c r="J19" s="76"/>
      <c r="K19" s="76"/>
      <c r="L19" s="76"/>
      <c r="M19" s="76"/>
      <c r="N19" s="76"/>
      <c r="O19" s="76"/>
      <c r="P19" s="76"/>
      <c r="Q19" s="76"/>
      <c r="R19" s="78"/>
      <c r="S19" s="10"/>
      <c r="T19" s="13"/>
      <c r="U19" s="13"/>
      <c r="V19" s="13"/>
      <c r="W19" s="13"/>
      <c r="X19" s="13"/>
      <c r="Y19" s="12"/>
      <c r="Z19" s="10"/>
      <c r="AA19" s="13"/>
      <c r="AB19" s="13"/>
      <c r="AC19" s="13"/>
      <c r="AD19" s="13"/>
      <c r="AE19" s="13"/>
      <c r="AF19" s="12"/>
      <c r="AG19" s="10"/>
      <c r="AH19" s="13"/>
      <c r="AI19" s="13"/>
      <c r="AJ19" s="13"/>
      <c r="AK19" s="13"/>
      <c r="AL19" s="13"/>
      <c r="AM19" s="12"/>
      <c r="AN19" s="14"/>
      <c r="AO19" s="13"/>
      <c r="AP19" s="13"/>
      <c r="AQ19" s="13"/>
      <c r="AR19" s="13"/>
      <c r="AS19" s="13"/>
      <c r="AT19" s="12"/>
      <c r="AU19" s="84"/>
      <c r="AV19" s="84"/>
      <c r="AW19" s="85"/>
      <c r="AX19" s="79"/>
      <c r="AY19" s="80"/>
      <c r="AZ19" s="86"/>
      <c r="BA19" s="79"/>
      <c r="BB19" s="80"/>
      <c r="BC19" s="86"/>
      <c r="BD19" s="79"/>
      <c r="BE19" s="80"/>
      <c r="BF19" s="81"/>
    </row>
    <row r="20" spans="1:58" ht="17.25" customHeight="1">
      <c r="A20" s="82" t="s">
        <v>45</v>
      </c>
      <c r="B20" s="83"/>
      <c r="C20" s="83"/>
      <c r="D20" s="83"/>
      <c r="E20" s="83"/>
      <c r="F20" s="83"/>
      <c r="G20" s="76"/>
      <c r="H20" s="76"/>
      <c r="I20" s="76"/>
      <c r="J20" s="76"/>
      <c r="K20" s="76"/>
      <c r="L20" s="76"/>
      <c r="M20" s="76"/>
      <c r="N20" s="76"/>
      <c r="O20" s="76"/>
      <c r="P20" s="76"/>
      <c r="Q20" s="76"/>
      <c r="R20" s="78"/>
      <c r="S20" s="10"/>
      <c r="T20" s="13"/>
      <c r="U20" s="13"/>
      <c r="V20" s="13"/>
      <c r="W20" s="13"/>
      <c r="X20" s="13"/>
      <c r="Y20" s="12"/>
      <c r="Z20" s="10"/>
      <c r="AA20" s="13"/>
      <c r="AB20" s="13"/>
      <c r="AC20" s="13"/>
      <c r="AD20" s="13"/>
      <c r="AE20" s="13"/>
      <c r="AF20" s="12"/>
      <c r="AG20" s="10"/>
      <c r="AH20" s="13"/>
      <c r="AI20" s="13"/>
      <c r="AJ20" s="13"/>
      <c r="AK20" s="13"/>
      <c r="AL20" s="13"/>
      <c r="AM20" s="12"/>
      <c r="AN20" s="14"/>
      <c r="AO20" s="13"/>
      <c r="AP20" s="13"/>
      <c r="AQ20" s="13"/>
      <c r="AR20" s="13"/>
      <c r="AS20" s="13"/>
      <c r="AT20" s="12"/>
      <c r="AU20" s="84"/>
      <c r="AV20" s="84"/>
      <c r="AW20" s="85"/>
      <c r="AX20" s="79"/>
      <c r="AY20" s="80"/>
      <c r="AZ20" s="86"/>
      <c r="BA20" s="79"/>
      <c r="BB20" s="80"/>
      <c r="BC20" s="86"/>
      <c r="BD20" s="79"/>
      <c r="BE20" s="80"/>
      <c r="BF20" s="81"/>
    </row>
    <row r="21" spans="1:58" ht="17.25" customHeight="1" thickBot="1">
      <c r="A21" s="82"/>
      <c r="B21" s="83"/>
      <c r="C21" s="83"/>
      <c r="D21" s="83"/>
      <c r="E21" s="83"/>
      <c r="F21" s="83"/>
      <c r="G21" s="76"/>
      <c r="H21" s="76"/>
      <c r="I21" s="76"/>
      <c r="J21" s="76"/>
      <c r="K21" s="76"/>
      <c r="L21" s="76"/>
      <c r="M21" s="76"/>
      <c r="N21" s="76"/>
      <c r="O21" s="76"/>
      <c r="P21" s="76"/>
      <c r="Q21" s="76"/>
      <c r="R21" s="78"/>
      <c r="S21" s="10"/>
      <c r="T21" s="13"/>
      <c r="U21" s="13"/>
      <c r="V21" s="13"/>
      <c r="W21" s="13"/>
      <c r="X21" s="13"/>
      <c r="Y21" s="12"/>
      <c r="Z21" s="10"/>
      <c r="AA21" s="13"/>
      <c r="AB21" s="13"/>
      <c r="AC21" s="13"/>
      <c r="AD21" s="13"/>
      <c r="AE21" s="13"/>
      <c r="AF21" s="12"/>
      <c r="AG21" s="10"/>
      <c r="AH21" s="13"/>
      <c r="AI21" s="13"/>
      <c r="AJ21" s="13"/>
      <c r="AK21" s="13"/>
      <c r="AL21" s="13"/>
      <c r="AM21" s="12"/>
      <c r="AN21" s="14"/>
      <c r="AO21" s="13"/>
      <c r="AP21" s="13"/>
      <c r="AQ21" s="13"/>
      <c r="AR21" s="13"/>
      <c r="AS21" s="13"/>
      <c r="AT21" s="12"/>
      <c r="AU21" s="84"/>
      <c r="AV21" s="84"/>
      <c r="AW21" s="85"/>
      <c r="AX21" s="79"/>
      <c r="AY21" s="80"/>
      <c r="AZ21" s="86"/>
      <c r="BA21" s="79"/>
      <c r="BB21" s="80"/>
      <c r="BC21" s="86"/>
      <c r="BD21" s="79"/>
      <c r="BE21" s="80"/>
      <c r="BF21" s="81"/>
    </row>
    <row r="22" spans="1:58" ht="21" customHeight="1" thickBot="1">
      <c r="A22" s="90" t="s">
        <v>46</v>
      </c>
      <c r="B22" s="91"/>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2"/>
      <c r="AU22" s="93">
        <f>6.5*5</f>
        <v>32.5</v>
      </c>
      <c r="AV22" s="45"/>
      <c r="AW22" s="45"/>
      <c r="AX22" s="45"/>
      <c r="AY22" s="45"/>
      <c r="AZ22" s="45"/>
      <c r="BA22" s="45"/>
      <c r="BB22" s="45"/>
      <c r="BC22" s="45"/>
      <c r="BD22" s="45"/>
      <c r="BE22" s="45"/>
      <c r="BF22" s="94"/>
    </row>
    <row r="23" spans="1:58" ht="21" customHeight="1" thickBot="1">
      <c r="A23" s="95" t="s">
        <v>47</v>
      </c>
      <c r="B23" s="96"/>
      <c r="C23" s="96"/>
      <c r="D23" s="96"/>
      <c r="E23" s="96"/>
      <c r="F23" s="96"/>
      <c r="G23" s="96"/>
      <c r="H23" s="96"/>
      <c r="I23" s="96"/>
      <c r="J23" s="96"/>
      <c r="K23" s="96"/>
      <c r="L23" s="96"/>
      <c r="M23" s="96"/>
      <c r="N23" s="96"/>
      <c r="O23" s="96"/>
      <c r="P23" s="96"/>
      <c r="Q23" s="96"/>
      <c r="R23" s="46"/>
      <c r="S23" s="15">
        <v>6</v>
      </c>
      <c r="T23" s="16">
        <v>6</v>
      </c>
      <c r="U23" s="16">
        <v>6</v>
      </c>
      <c r="V23" s="16">
        <v>6</v>
      </c>
      <c r="W23" s="16">
        <v>6</v>
      </c>
      <c r="X23" s="108"/>
      <c r="Y23" s="109"/>
      <c r="Z23" s="15">
        <v>6</v>
      </c>
      <c r="AA23" s="16">
        <v>6</v>
      </c>
      <c r="AB23" s="16">
        <v>6</v>
      </c>
      <c r="AC23" s="16">
        <v>6</v>
      </c>
      <c r="AD23" s="16">
        <v>6</v>
      </c>
      <c r="AE23" s="16">
        <v>6</v>
      </c>
      <c r="AF23" s="111"/>
      <c r="AG23" s="110"/>
      <c r="AH23" s="16">
        <v>6</v>
      </c>
      <c r="AI23" s="16">
        <v>6</v>
      </c>
      <c r="AJ23" s="16">
        <v>6</v>
      </c>
      <c r="AK23" s="16">
        <v>6</v>
      </c>
      <c r="AL23" s="108"/>
      <c r="AM23" s="111"/>
      <c r="AN23" s="16">
        <v>6</v>
      </c>
      <c r="AO23" s="16">
        <v>6</v>
      </c>
      <c r="AP23" s="16">
        <v>6</v>
      </c>
      <c r="AQ23" s="16">
        <v>6</v>
      </c>
      <c r="AR23" s="16">
        <v>6</v>
      </c>
      <c r="AS23" s="16">
        <v>6</v>
      </c>
      <c r="AT23" s="17"/>
      <c r="AU23" s="45">
        <f>6*20</f>
        <v>120</v>
      </c>
      <c r="AV23" s="45"/>
      <c r="AW23" s="49"/>
      <c r="AX23" s="97"/>
      <c r="AY23" s="98"/>
      <c r="AZ23" s="99"/>
      <c r="BA23" s="97"/>
      <c r="BB23" s="98"/>
      <c r="BC23" s="99"/>
      <c r="BD23" s="97"/>
      <c r="BE23" s="98"/>
      <c r="BF23" s="100"/>
    </row>
    <row r="24" spans="1:58" customFormat="1" ht="21" customHeight="1">
      <c r="A24" s="18" t="s">
        <v>48</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20"/>
    </row>
    <row r="25" spans="1:58" customFormat="1" ht="21" customHeight="1">
      <c r="A25" s="21"/>
      <c r="B25" s="22" t="s">
        <v>49</v>
      </c>
      <c r="C25" s="22"/>
      <c r="D25" s="22"/>
      <c r="E25" s="22"/>
      <c r="F25" s="22"/>
      <c r="G25" s="22"/>
      <c r="H25" s="22"/>
      <c r="I25" s="35" t="s">
        <v>72</v>
      </c>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23"/>
    </row>
    <row r="26" spans="1:58" customFormat="1" ht="39" customHeight="1" thickBot="1">
      <c r="A26" s="24"/>
      <c r="B26" s="25"/>
      <c r="C26" s="25"/>
      <c r="D26" s="25"/>
      <c r="E26" s="25"/>
      <c r="F26" s="25"/>
      <c r="G26" s="25"/>
      <c r="H26" s="25"/>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26"/>
    </row>
    <row r="27" spans="1:58" ht="28.5" customHeight="1">
      <c r="A27" s="105" t="s">
        <v>50</v>
      </c>
      <c r="B27" s="105"/>
      <c r="C27" s="106" t="s">
        <v>51</v>
      </c>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row>
    <row r="28" spans="1:58" ht="18" customHeight="1">
      <c r="A28" s="27"/>
      <c r="B28" s="27"/>
      <c r="C28" s="101" t="s">
        <v>52</v>
      </c>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row>
    <row r="29" spans="1:58" ht="27.75" customHeight="1">
      <c r="A29" s="28"/>
      <c r="B29" s="28"/>
      <c r="C29" s="107" t="s">
        <v>53</v>
      </c>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row>
    <row r="30" spans="1:58" ht="29.25" customHeight="1">
      <c r="A30" s="29"/>
      <c r="B30" s="29"/>
      <c r="C30" s="102" t="s">
        <v>54</v>
      </c>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row>
    <row r="31" spans="1:58" ht="42.75" customHeight="1">
      <c r="A31" s="29"/>
      <c r="B31" s="29"/>
      <c r="C31" s="102" t="s">
        <v>70</v>
      </c>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row>
    <row r="32" spans="1:58" ht="18" customHeight="1">
      <c r="A32" s="27"/>
      <c r="B32" s="27"/>
      <c r="C32" s="101" t="s">
        <v>55</v>
      </c>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row>
    <row r="33" spans="1:58" ht="14.4">
      <c r="A33" s="27"/>
      <c r="B33" s="27"/>
      <c r="C33" s="30"/>
      <c r="D33" s="30"/>
      <c r="E33" s="30" t="s">
        <v>56</v>
      </c>
      <c r="F33" s="30"/>
      <c r="G33" s="30"/>
      <c r="H33" s="30"/>
      <c r="I33" s="30"/>
      <c r="J33" s="30" t="s">
        <v>57</v>
      </c>
      <c r="K33" s="30"/>
      <c r="L33" s="30"/>
      <c r="M33" s="30"/>
      <c r="N33" s="30"/>
      <c r="O33" s="30"/>
      <c r="P33" s="30"/>
      <c r="Q33" s="30"/>
      <c r="R33" s="30"/>
      <c r="S33" s="30"/>
      <c r="T33" s="30"/>
      <c r="U33" s="30"/>
      <c r="V33" s="30"/>
      <c r="W33" s="30"/>
      <c r="X33" s="30" t="s">
        <v>58</v>
      </c>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row>
    <row r="34" spans="1:58" ht="28.5" customHeight="1">
      <c r="A34" s="27"/>
      <c r="B34" s="27"/>
      <c r="C34" s="30"/>
      <c r="D34" s="30"/>
      <c r="E34" s="102" t="s">
        <v>59</v>
      </c>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row>
    <row r="35" spans="1:58" ht="18" customHeight="1">
      <c r="A35" s="27"/>
      <c r="B35" s="27"/>
      <c r="C35" s="102" t="s">
        <v>60</v>
      </c>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row>
    <row r="36" spans="1:58" ht="28.5" customHeight="1">
      <c r="A36" s="27"/>
      <c r="B36" s="27"/>
      <c r="C36" s="102" t="s">
        <v>61</v>
      </c>
      <c r="D36" s="102"/>
      <c r="E36" s="102"/>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row>
    <row r="37" spans="1:58" ht="28.5" customHeight="1">
      <c r="A37" s="29"/>
      <c r="B37" s="29"/>
      <c r="C37" s="104" t="s">
        <v>62</v>
      </c>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row>
  </sheetData>
  <mergeCells count="129">
    <mergeCell ref="A16:F16"/>
    <mergeCell ref="G16:K16"/>
    <mergeCell ref="L16:R16"/>
    <mergeCell ref="AU16:AW16"/>
    <mergeCell ref="AX16:AZ16"/>
    <mergeCell ref="BA16:BC16"/>
    <mergeCell ref="BD16:BF16"/>
    <mergeCell ref="C32:BF32"/>
    <mergeCell ref="E34:BF34"/>
    <mergeCell ref="C35:BF35"/>
    <mergeCell ref="C36:BF36"/>
    <mergeCell ref="C37:BF37"/>
    <mergeCell ref="A27:B27"/>
    <mergeCell ref="C27:BF27"/>
    <mergeCell ref="C28:BF28"/>
    <mergeCell ref="C29:BF29"/>
    <mergeCell ref="C30:BF30"/>
    <mergeCell ref="C31:BF31"/>
    <mergeCell ref="BD21:BF21"/>
    <mergeCell ref="A22:AT22"/>
    <mergeCell ref="AU22:BF22"/>
    <mergeCell ref="A23:R23"/>
    <mergeCell ref="AU23:AW23"/>
    <mergeCell ref="AX23:AZ23"/>
    <mergeCell ref="BA23:BC23"/>
    <mergeCell ref="BD23:BF23"/>
    <mergeCell ref="A21:F21"/>
    <mergeCell ref="G21:K21"/>
    <mergeCell ref="L21:R21"/>
    <mergeCell ref="AU21:AW21"/>
    <mergeCell ref="AX21:AZ21"/>
    <mergeCell ref="BA21:BC21"/>
    <mergeCell ref="BD19:BF19"/>
    <mergeCell ref="A19:F19"/>
    <mergeCell ref="G19:K19"/>
    <mergeCell ref="L19:R19"/>
    <mergeCell ref="AU19:AW19"/>
    <mergeCell ref="AX19:AZ19"/>
    <mergeCell ref="BA19:BC19"/>
    <mergeCell ref="A20:F20"/>
    <mergeCell ref="G20:K20"/>
    <mergeCell ref="L20:R20"/>
    <mergeCell ref="AU20:AW20"/>
    <mergeCell ref="AX20:AZ20"/>
    <mergeCell ref="BA20:BC20"/>
    <mergeCell ref="BD20:BF20"/>
    <mergeCell ref="BD17:BF17"/>
    <mergeCell ref="A18:F18"/>
    <mergeCell ref="G18:K18"/>
    <mergeCell ref="L18:R18"/>
    <mergeCell ref="AU18:AW18"/>
    <mergeCell ref="AX18:AZ18"/>
    <mergeCell ref="BA18:BC18"/>
    <mergeCell ref="BD18:BF18"/>
    <mergeCell ref="A17:F17"/>
    <mergeCell ref="G17:K17"/>
    <mergeCell ref="L17:R17"/>
    <mergeCell ref="AU17:AW17"/>
    <mergeCell ref="AX17:AZ17"/>
    <mergeCell ref="BA17:BC17"/>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L7:R9"/>
    <mergeCell ref="S7:Y7"/>
    <mergeCell ref="Z7:AF7"/>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I25:BE26"/>
    <mergeCell ref="A2:BF2"/>
    <mergeCell ref="A4:R4"/>
    <mergeCell ref="S4:AE4"/>
    <mergeCell ref="AF4:AM4"/>
    <mergeCell ref="AN4:BF4"/>
    <mergeCell ref="A5:G5"/>
    <mergeCell ref="H5:R5"/>
    <mergeCell ref="S5:Z5"/>
    <mergeCell ref="AA5:AJ5"/>
    <mergeCell ref="AK5:AS5"/>
    <mergeCell ref="AG7:AM7"/>
    <mergeCell ref="AN7:AT7"/>
    <mergeCell ref="AU7:AW9"/>
    <mergeCell ref="AX7:AZ9"/>
    <mergeCell ref="BA7:BC9"/>
    <mergeCell ref="BD7:BF9"/>
    <mergeCell ref="AT5:BF5"/>
    <mergeCell ref="A6:R6"/>
    <mergeCell ref="S6:AE6"/>
    <mergeCell ref="AF6:AM6"/>
    <mergeCell ref="AN6:BF6"/>
    <mergeCell ref="A7:F9"/>
    <mergeCell ref="G7:K9"/>
  </mergeCells>
  <phoneticPr fontId="3"/>
  <printOptions horizontalCentered="1"/>
  <pageMargins left="0.39370078740157483" right="0.39370078740157483" top="0.39370078740157483" bottom="0.39370078740157483" header="0.39370078740157483" footer="0.39370078740157483"/>
  <pageSetup paperSize="9" scale="7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2DA7-C514-46A6-B07D-47A1620297F6}">
  <sheetPr>
    <tabColor rgb="FF00B0F0"/>
    <pageSetUpPr fitToPage="1"/>
  </sheetPr>
  <dimension ref="A1:BU36"/>
  <sheetViews>
    <sheetView showGridLines="0" tabSelected="1" view="pageBreakPreview" zoomScale="85" zoomScaleNormal="70" zoomScaleSheetLayoutView="85" zoomScalePageLayoutView="70" workbookViewId="0">
      <selection activeCell="AN4" sqref="AN4:BF4"/>
    </sheetView>
  </sheetViews>
  <sheetFormatPr defaultColWidth="8.88671875" defaultRowHeight="21" customHeight="1"/>
  <cols>
    <col min="1" max="4" width="2.77734375" style="31" customWidth="1"/>
    <col min="5" max="18" width="2.77734375" style="3" customWidth="1"/>
    <col min="19" max="46" width="2.88671875" style="3" customWidth="1"/>
    <col min="47" max="71" width="2.77734375" style="3" customWidth="1"/>
    <col min="72" max="16384" width="8.88671875" style="3"/>
  </cols>
  <sheetData>
    <row r="1" spans="1:73"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3" ht="21" customHeight="1">
      <c r="A2" s="38" t="s">
        <v>82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row>
    <row r="3" spans="1:73" ht="9.75" customHeight="1" thickBot="1">
      <c r="A3" s="4"/>
      <c r="B3" s="4"/>
      <c r="C3" s="4"/>
      <c r="D3" s="4"/>
      <c r="E3" s="4"/>
    </row>
    <row r="4" spans="1:73" ht="21" customHeight="1" thickBot="1">
      <c r="A4" s="39" t="s">
        <v>1</v>
      </c>
      <c r="B4" s="40"/>
      <c r="C4" s="40"/>
      <c r="D4" s="40"/>
      <c r="E4" s="40"/>
      <c r="F4" s="40"/>
      <c r="G4" s="40"/>
      <c r="H4" s="40"/>
      <c r="I4" s="40"/>
      <c r="J4" s="40"/>
      <c r="K4" s="40"/>
      <c r="L4" s="40"/>
      <c r="M4" s="40"/>
      <c r="N4" s="40"/>
      <c r="O4" s="40"/>
      <c r="P4" s="40"/>
      <c r="Q4" s="40"/>
      <c r="R4" s="40"/>
      <c r="S4" s="40" t="s">
        <v>63</v>
      </c>
      <c r="T4" s="40"/>
      <c r="U4" s="40"/>
      <c r="V4" s="40"/>
      <c r="W4" s="40"/>
      <c r="X4" s="40"/>
      <c r="Y4" s="40"/>
      <c r="Z4" s="40"/>
      <c r="AA4" s="40"/>
      <c r="AB4" s="40"/>
      <c r="AC4" s="40"/>
      <c r="AD4" s="40"/>
      <c r="AE4" s="40"/>
      <c r="AF4" s="40" t="s">
        <v>3</v>
      </c>
      <c r="AG4" s="40"/>
      <c r="AH4" s="40"/>
      <c r="AI4" s="40"/>
      <c r="AJ4" s="40"/>
      <c r="AK4" s="40"/>
      <c r="AL4" s="40"/>
      <c r="AM4" s="40"/>
      <c r="AN4" s="40" t="s">
        <v>4</v>
      </c>
      <c r="AO4" s="40"/>
      <c r="AP4" s="40"/>
      <c r="AQ4" s="40"/>
      <c r="AR4" s="40"/>
      <c r="AS4" s="40"/>
      <c r="AT4" s="40"/>
      <c r="AU4" s="40"/>
      <c r="AV4" s="40"/>
      <c r="AW4" s="40"/>
      <c r="AX4" s="40"/>
      <c r="AY4" s="40"/>
      <c r="AZ4" s="40"/>
      <c r="BA4" s="40"/>
      <c r="BB4" s="40"/>
      <c r="BC4" s="40"/>
      <c r="BD4" s="40"/>
      <c r="BE4" s="40"/>
      <c r="BF4" s="41"/>
    </row>
    <row r="5" spans="1:73" ht="21" customHeight="1" thickBot="1">
      <c r="A5" s="42" t="s">
        <v>5</v>
      </c>
      <c r="B5" s="43"/>
      <c r="C5" s="43"/>
      <c r="D5" s="43"/>
      <c r="E5" s="43"/>
      <c r="F5" s="43"/>
      <c r="G5" s="43"/>
      <c r="H5" s="44">
        <v>6</v>
      </c>
      <c r="I5" s="45"/>
      <c r="J5" s="45"/>
      <c r="K5" s="45"/>
      <c r="L5" s="45"/>
      <c r="M5" s="45"/>
      <c r="N5" s="45"/>
      <c r="O5" s="45"/>
      <c r="P5" s="45"/>
      <c r="Q5" s="45"/>
      <c r="R5" s="45"/>
      <c r="S5" s="46" t="s">
        <v>6</v>
      </c>
      <c r="T5" s="47"/>
      <c r="U5" s="47"/>
      <c r="V5" s="47"/>
      <c r="W5" s="47"/>
      <c r="X5" s="47"/>
      <c r="Y5" s="47"/>
      <c r="Z5" s="48"/>
      <c r="AA5" s="44" t="s">
        <v>64</v>
      </c>
      <c r="AB5" s="45"/>
      <c r="AC5" s="45"/>
      <c r="AD5" s="45"/>
      <c r="AE5" s="45"/>
      <c r="AF5" s="45"/>
      <c r="AG5" s="45"/>
      <c r="AH5" s="45"/>
      <c r="AI5" s="45"/>
      <c r="AJ5" s="49"/>
      <c r="AK5" s="44" t="s">
        <v>8</v>
      </c>
      <c r="AL5" s="45"/>
      <c r="AM5" s="45"/>
      <c r="AN5" s="45"/>
      <c r="AO5" s="45"/>
      <c r="AP5" s="45"/>
      <c r="AQ5" s="45"/>
      <c r="AR5" s="45"/>
      <c r="AS5" s="49"/>
      <c r="AT5" s="69" t="s">
        <v>65</v>
      </c>
      <c r="AU5" s="70"/>
      <c r="AV5" s="70"/>
      <c r="AW5" s="70"/>
      <c r="AX5" s="70"/>
      <c r="AY5" s="70"/>
      <c r="AZ5" s="70"/>
      <c r="BA5" s="70"/>
      <c r="BB5" s="70"/>
      <c r="BC5" s="70"/>
      <c r="BD5" s="70"/>
      <c r="BE5" s="70"/>
      <c r="BF5" s="71"/>
    </row>
    <row r="6" spans="1:73" ht="21" customHeight="1" thickBot="1">
      <c r="A6" s="72" t="s">
        <v>10</v>
      </c>
      <c r="B6" s="73"/>
      <c r="C6" s="73"/>
      <c r="D6" s="73"/>
      <c r="E6" s="73"/>
      <c r="F6" s="73"/>
      <c r="G6" s="73"/>
      <c r="H6" s="73"/>
      <c r="I6" s="73"/>
      <c r="J6" s="73"/>
      <c r="K6" s="73"/>
      <c r="L6" s="73"/>
      <c r="M6" s="73"/>
      <c r="N6" s="73"/>
      <c r="O6" s="73"/>
      <c r="P6" s="73"/>
      <c r="Q6" s="73"/>
      <c r="R6" s="73"/>
      <c r="S6" s="46"/>
      <c r="T6" s="47"/>
      <c r="U6" s="47"/>
      <c r="V6" s="47"/>
      <c r="W6" s="47"/>
      <c r="X6" s="47"/>
      <c r="Y6" s="47"/>
      <c r="Z6" s="47"/>
      <c r="AA6" s="47"/>
      <c r="AB6" s="47"/>
      <c r="AC6" s="47"/>
      <c r="AD6" s="47"/>
      <c r="AE6" s="48"/>
      <c r="AF6" s="73" t="s">
        <v>12</v>
      </c>
      <c r="AG6" s="73"/>
      <c r="AH6" s="73"/>
      <c r="AI6" s="73"/>
      <c r="AJ6" s="73"/>
      <c r="AK6" s="73"/>
      <c r="AL6" s="73"/>
      <c r="AM6" s="73"/>
      <c r="AN6" s="73" t="s">
        <v>13</v>
      </c>
      <c r="AO6" s="73"/>
      <c r="AP6" s="73"/>
      <c r="AQ6" s="73"/>
      <c r="AR6" s="73"/>
      <c r="AS6" s="73"/>
      <c r="AT6" s="73"/>
      <c r="AU6" s="73"/>
      <c r="AV6" s="73"/>
      <c r="AW6" s="73"/>
      <c r="AX6" s="73"/>
      <c r="AY6" s="73"/>
      <c r="AZ6" s="73"/>
      <c r="BA6" s="73"/>
      <c r="BB6" s="73"/>
      <c r="BC6" s="73"/>
      <c r="BD6" s="73"/>
      <c r="BE6" s="73"/>
      <c r="BF6" s="74"/>
    </row>
    <row r="7" spans="1:73" ht="21" customHeight="1">
      <c r="A7" s="50" t="s">
        <v>14</v>
      </c>
      <c r="B7" s="51"/>
      <c r="C7" s="51"/>
      <c r="D7" s="51"/>
      <c r="E7" s="51"/>
      <c r="F7" s="51"/>
      <c r="G7" s="55" t="s">
        <v>15</v>
      </c>
      <c r="H7" s="55"/>
      <c r="I7" s="55"/>
      <c r="J7" s="55"/>
      <c r="K7" s="55"/>
      <c r="L7" s="51" t="s">
        <v>16</v>
      </c>
      <c r="M7" s="51"/>
      <c r="N7" s="51"/>
      <c r="O7" s="51"/>
      <c r="P7" s="51"/>
      <c r="Q7" s="51"/>
      <c r="R7" s="77"/>
      <c r="S7" s="50" t="s">
        <v>17</v>
      </c>
      <c r="T7" s="51"/>
      <c r="U7" s="51"/>
      <c r="V7" s="51"/>
      <c r="W7" s="51"/>
      <c r="X7" s="51"/>
      <c r="Y7" s="52"/>
      <c r="Z7" s="50" t="s">
        <v>18</v>
      </c>
      <c r="AA7" s="51"/>
      <c r="AB7" s="51"/>
      <c r="AC7" s="51"/>
      <c r="AD7" s="51"/>
      <c r="AE7" s="51"/>
      <c r="AF7" s="52"/>
      <c r="AG7" s="50" t="s">
        <v>19</v>
      </c>
      <c r="AH7" s="51"/>
      <c r="AI7" s="51"/>
      <c r="AJ7" s="51"/>
      <c r="AK7" s="51"/>
      <c r="AL7" s="51"/>
      <c r="AM7" s="52"/>
      <c r="AN7" s="53" t="s">
        <v>20</v>
      </c>
      <c r="AO7" s="51"/>
      <c r="AP7" s="51"/>
      <c r="AQ7" s="51"/>
      <c r="AR7" s="51"/>
      <c r="AS7" s="51"/>
      <c r="AT7" s="52"/>
      <c r="AU7" s="54" t="s">
        <v>21</v>
      </c>
      <c r="AV7" s="55"/>
      <c r="AW7" s="55"/>
      <c r="AX7" s="55" t="s">
        <v>22</v>
      </c>
      <c r="AY7" s="55"/>
      <c r="AZ7" s="55"/>
      <c r="BA7" s="58" t="s">
        <v>23</v>
      </c>
      <c r="BB7" s="59"/>
      <c r="BC7" s="60"/>
      <c r="BD7" s="55" t="s">
        <v>24</v>
      </c>
      <c r="BE7" s="55"/>
      <c r="BF7" s="67"/>
    </row>
    <row r="8" spans="1:73" ht="21" customHeight="1">
      <c r="A8" s="75"/>
      <c r="B8" s="76"/>
      <c r="C8" s="76"/>
      <c r="D8" s="76"/>
      <c r="E8" s="76"/>
      <c r="F8" s="76"/>
      <c r="G8" s="57"/>
      <c r="H8" s="57"/>
      <c r="I8" s="57"/>
      <c r="J8" s="57"/>
      <c r="K8" s="57"/>
      <c r="L8" s="76"/>
      <c r="M8" s="76"/>
      <c r="N8" s="76"/>
      <c r="O8" s="76"/>
      <c r="P8" s="76"/>
      <c r="Q8" s="76"/>
      <c r="R8" s="78"/>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56"/>
      <c r="AV8" s="57"/>
      <c r="AW8" s="57"/>
      <c r="AX8" s="57"/>
      <c r="AY8" s="57"/>
      <c r="AZ8" s="57"/>
      <c r="BA8" s="61"/>
      <c r="BB8" s="62"/>
      <c r="BC8" s="63"/>
      <c r="BD8" s="57"/>
      <c r="BE8" s="57"/>
      <c r="BF8" s="68"/>
      <c r="BU8" s="3">
        <f>5.4/6</f>
        <v>0.9</v>
      </c>
    </row>
    <row r="9" spans="1:73" ht="21" customHeight="1">
      <c r="A9" s="75"/>
      <c r="B9" s="76"/>
      <c r="C9" s="76"/>
      <c r="D9" s="76"/>
      <c r="E9" s="76"/>
      <c r="F9" s="76"/>
      <c r="G9" s="57"/>
      <c r="H9" s="57"/>
      <c r="I9" s="57"/>
      <c r="J9" s="57"/>
      <c r="K9" s="57"/>
      <c r="L9" s="76"/>
      <c r="M9" s="76"/>
      <c r="N9" s="76"/>
      <c r="O9" s="76"/>
      <c r="P9" s="76"/>
      <c r="Q9" s="76"/>
      <c r="R9" s="78"/>
      <c r="S9" s="32" t="s">
        <v>78</v>
      </c>
      <c r="T9" s="6" t="s">
        <v>79</v>
      </c>
      <c r="U9" s="6" t="s">
        <v>29</v>
      </c>
      <c r="V9" s="6" t="s">
        <v>30</v>
      </c>
      <c r="W9" s="6" t="s">
        <v>31</v>
      </c>
      <c r="X9" s="6" t="s">
        <v>25</v>
      </c>
      <c r="Y9" s="7" t="s">
        <v>26</v>
      </c>
      <c r="Z9" s="32" t="s">
        <v>27</v>
      </c>
      <c r="AA9" s="6" t="s">
        <v>28</v>
      </c>
      <c r="AB9" s="6" t="s">
        <v>29</v>
      </c>
      <c r="AC9" s="6" t="s">
        <v>30</v>
      </c>
      <c r="AD9" s="6" t="s">
        <v>31</v>
      </c>
      <c r="AE9" s="6" t="s">
        <v>25</v>
      </c>
      <c r="AF9" s="7" t="s">
        <v>26</v>
      </c>
      <c r="AG9" s="32" t="s">
        <v>27</v>
      </c>
      <c r="AH9" s="6" t="s">
        <v>28</v>
      </c>
      <c r="AI9" s="6" t="s">
        <v>29</v>
      </c>
      <c r="AJ9" s="6" t="s">
        <v>30</v>
      </c>
      <c r="AK9" s="6" t="s">
        <v>31</v>
      </c>
      <c r="AL9" s="6" t="s">
        <v>25</v>
      </c>
      <c r="AM9" s="7" t="s">
        <v>26</v>
      </c>
      <c r="AN9" s="32" t="s">
        <v>27</v>
      </c>
      <c r="AO9" s="6" t="s">
        <v>28</v>
      </c>
      <c r="AP9" s="6" t="s">
        <v>29</v>
      </c>
      <c r="AQ9" s="6" t="s">
        <v>30</v>
      </c>
      <c r="AR9" s="6" t="s">
        <v>31</v>
      </c>
      <c r="AS9" s="6" t="s">
        <v>25</v>
      </c>
      <c r="AT9" s="7" t="s">
        <v>26</v>
      </c>
      <c r="AU9" s="56"/>
      <c r="AV9" s="57"/>
      <c r="AW9" s="57"/>
      <c r="AX9" s="57"/>
      <c r="AY9" s="57"/>
      <c r="AZ9" s="57"/>
      <c r="BA9" s="64"/>
      <c r="BB9" s="65"/>
      <c r="BC9" s="66"/>
      <c r="BD9" s="57"/>
      <c r="BE9" s="57"/>
      <c r="BF9" s="68"/>
    </row>
    <row r="10" spans="1:73" ht="17.25" customHeight="1">
      <c r="A10" s="82" t="s">
        <v>32</v>
      </c>
      <c r="B10" s="83"/>
      <c r="C10" s="83"/>
      <c r="D10" s="83"/>
      <c r="E10" s="83"/>
      <c r="F10" s="83"/>
      <c r="G10" s="83" t="s">
        <v>33</v>
      </c>
      <c r="H10" s="83"/>
      <c r="I10" s="83"/>
      <c r="J10" s="83"/>
      <c r="K10" s="83"/>
      <c r="L10" s="76" t="s">
        <v>34</v>
      </c>
      <c r="M10" s="76"/>
      <c r="N10" s="76"/>
      <c r="O10" s="76"/>
      <c r="P10" s="76"/>
      <c r="Q10" s="76"/>
      <c r="R10" s="78"/>
      <c r="S10" s="34" t="s">
        <v>35</v>
      </c>
      <c r="T10" s="11" t="s">
        <v>35</v>
      </c>
      <c r="U10" s="11" t="s">
        <v>35</v>
      </c>
      <c r="V10" s="11" t="s">
        <v>35</v>
      </c>
      <c r="W10" s="11" t="s">
        <v>35</v>
      </c>
      <c r="X10" s="11"/>
      <c r="Y10" s="12"/>
      <c r="Z10" s="34" t="s">
        <v>35</v>
      </c>
      <c r="AA10" s="11" t="s">
        <v>35</v>
      </c>
      <c r="AB10" s="11" t="s">
        <v>35</v>
      </c>
      <c r="AC10" s="11" t="s">
        <v>35</v>
      </c>
      <c r="AD10" s="11" t="s">
        <v>35</v>
      </c>
      <c r="AE10" s="11" t="s">
        <v>35</v>
      </c>
      <c r="AF10" s="12"/>
      <c r="AG10" s="34"/>
      <c r="AH10" s="11" t="s">
        <v>35</v>
      </c>
      <c r="AI10" s="11" t="s">
        <v>35</v>
      </c>
      <c r="AJ10" s="11" t="s">
        <v>35</v>
      </c>
      <c r="AK10" s="11" t="s">
        <v>35</v>
      </c>
      <c r="AL10" s="11"/>
      <c r="AM10" s="12"/>
      <c r="AN10" s="34" t="s">
        <v>35</v>
      </c>
      <c r="AO10" s="11" t="s">
        <v>35</v>
      </c>
      <c r="AP10" s="11" t="s">
        <v>35</v>
      </c>
      <c r="AQ10" s="11" t="s">
        <v>35</v>
      </c>
      <c r="AR10" s="11" t="s">
        <v>35</v>
      </c>
      <c r="AS10" s="11"/>
      <c r="AT10" s="12"/>
      <c r="AU10" s="84">
        <f>6.5*20</f>
        <v>130</v>
      </c>
      <c r="AV10" s="84"/>
      <c r="AW10" s="85"/>
      <c r="AX10" s="79">
        <f>6.5*5</f>
        <v>32.5</v>
      </c>
      <c r="AY10" s="80"/>
      <c r="AZ10" s="86"/>
      <c r="BA10" s="79">
        <f>6.5*5</f>
        <v>32.5</v>
      </c>
      <c r="BB10" s="80"/>
      <c r="BC10" s="86"/>
      <c r="BD10" s="79">
        <f>BA10/AU21</f>
        <v>1</v>
      </c>
      <c r="BE10" s="80"/>
      <c r="BF10" s="81"/>
    </row>
    <row r="11" spans="1:73" ht="17.25" customHeight="1">
      <c r="A11" s="82" t="s">
        <v>36</v>
      </c>
      <c r="B11" s="83"/>
      <c r="C11" s="83"/>
      <c r="D11" s="83"/>
      <c r="E11" s="83"/>
      <c r="F11" s="83"/>
      <c r="G11" s="83" t="s">
        <v>33</v>
      </c>
      <c r="H11" s="83"/>
      <c r="I11" s="83"/>
      <c r="J11" s="83"/>
      <c r="K11" s="83"/>
      <c r="L11" s="76" t="s">
        <v>37</v>
      </c>
      <c r="M11" s="76"/>
      <c r="N11" s="76"/>
      <c r="O11" s="76"/>
      <c r="P11" s="76"/>
      <c r="Q11" s="76"/>
      <c r="R11" s="78"/>
      <c r="S11" s="34" t="s">
        <v>35</v>
      </c>
      <c r="T11" s="11" t="s">
        <v>35</v>
      </c>
      <c r="U11" s="11" t="s">
        <v>35</v>
      </c>
      <c r="V11" s="11" t="s">
        <v>35</v>
      </c>
      <c r="W11" s="11" t="s">
        <v>35</v>
      </c>
      <c r="X11" s="11"/>
      <c r="Y11" s="12"/>
      <c r="Z11" s="34" t="s">
        <v>35</v>
      </c>
      <c r="AA11" s="11" t="s">
        <v>35</v>
      </c>
      <c r="AB11" s="11" t="s">
        <v>35</v>
      </c>
      <c r="AC11" s="11" t="s">
        <v>35</v>
      </c>
      <c r="AD11" s="11" t="s">
        <v>35</v>
      </c>
      <c r="AE11" s="11" t="s">
        <v>35</v>
      </c>
      <c r="AF11" s="12"/>
      <c r="AG11" s="34"/>
      <c r="AH11" s="11" t="s">
        <v>35</v>
      </c>
      <c r="AI11" s="11" t="s">
        <v>35</v>
      </c>
      <c r="AJ11" s="11" t="s">
        <v>35</v>
      </c>
      <c r="AK11" s="11" t="s">
        <v>35</v>
      </c>
      <c r="AL11" s="11"/>
      <c r="AM11" s="12"/>
      <c r="AN11" s="34" t="s">
        <v>35</v>
      </c>
      <c r="AO11" s="11" t="s">
        <v>35</v>
      </c>
      <c r="AP11" s="11" t="s">
        <v>35</v>
      </c>
      <c r="AQ11" s="11" t="s">
        <v>35</v>
      </c>
      <c r="AR11" s="11" t="s">
        <v>35</v>
      </c>
      <c r="AS11" s="11"/>
      <c r="AT11" s="12"/>
      <c r="AU11" s="84">
        <f>6.5*20</f>
        <v>130</v>
      </c>
      <c r="AV11" s="84"/>
      <c r="AW11" s="85"/>
      <c r="AX11" s="79">
        <f>6.5*5</f>
        <v>32.5</v>
      </c>
      <c r="AY11" s="80"/>
      <c r="AZ11" s="86"/>
      <c r="BA11" s="79">
        <f>6.5*5</f>
        <v>32.5</v>
      </c>
      <c r="BB11" s="80"/>
      <c r="BC11" s="86"/>
      <c r="BD11" s="79">
        <v>1</v>
      </c>
      <c r="BE11" s="80"/>
      <c r="BF11" s="81"/>
    </row>
    <row r="12" spans="1:73" ht="17.25" customHeight="1">
      <c r="A12" s="82" t="s">
        <v>38</v>
      </c>
      <c r="B12" s="83"/>
      <c r="C12" s="83"/>
      <c r="D12" s="83"/>
      <c r="E12" s="83"/>
      <c r="F12" s="83"/>
      <c r="G12" s="76"/>
      <c r="H12" s="76"/>
      <c r="I12" s="76"/>
      <c r="J12" s="76"/>
      <c r="K12" s="76"/>
      <c r="L12" s="76"/>
      <c r="M12" s="76"/>
      <c r="N12" s="76"/>
      <c r="O12" s="76"/>
      <c r="P12" s="76"/>
      <c r="Q12" s="76"/>
      <c r="R12" s="78"/>
      <c r="S12" s="34"/>
      <c r="T12" s="33"/>
      <c r="U12" s="33"/>
      <c r="V12" s="33"/>
      <c r="W12" s="33"/>
      <c r="X12" s="33"/>
      <c r="Y12" s="12"/>
      <c r="Z12" s="34"/>
      <c r="AA12" s="33"/>
      <c r="AB12" s="33"/>
      <c r="AC12" s="33"/>
      <c r="AD12" s="33"/>
      <c r="AE12" s="33"/>
      <c r="AF12" s="12"/>
      <c r="AG12" s="34"/>
      <c r="AH12" s="33"/>
      <c r="AI12" s="33"/>
      <c r="AJ12" s="33"/>
      <c r="AK12" s="33"/>
      <c r="AL12" s="33"/>
      <c r="AM12" s="12"/>
      <c r="AN12" s="34"/>
      <c r="AO12" s="33"/>
      <c r="AP12" s="33"/>
      <c r="AQ12" s="33"/>
      <c r="AR12" s="33"/>
      <c r="AS12" s="33"/>
      <c r="AT12" s="12"/>
      <c r="AU12" s="84"/>
      <c r="AV12" s="84"/>
      <c r="AW12" s="85"/>
      <c r="AX12" s="79"/>
      <c r="AY12" s="80"/>
      <c r="AZ12" s="86"/>
      <c r="BA12" s="79"/>
      <c r="BB12" s="80"/>
      <c r="BC12" s="86"/>
      <c r="BD12" s="79"/>
      <c r="BE12" s="80"/>
      <c r="BF12" s="81"/>
    </row>
    <row r="13" spans="1:73" ht="15.75" customHeight="1">
      <c r="A13" s="82" t="s">
        <v>39</v>
      </c>
      <c r="B13" s="83"/>
      <c r="C13" s="83"/>
      <c r="D13" s="83"/>
      <c r="E13" s="83"/>
      <c r="F13" s="83"/>
      <c r="G13" s="83" t="s">
        <v>66</v>
      </c>
      <c r="H13" s="83"/>
      <c r="I13" s="83"/>
      <c r="J13" s="83"/>
      <c r="K13" s="83"/>
      <c r="L13" s="76" t="s">
        <v>34</v>
      </c>
      <c r="M13" s="76"/>
      <c r="N13" s="76"/>
      <c r="O13" s="76"/>
      <c r="P13" s="76"/>
      <c r="Q13" s="76"/>
      <c r="R13" s="78"/>
      <c r="S13" s="34" t="s">
        <v>35</v>
      </c>
      <c r="T13" s="11" t="s">
        <v>35</v>
      </c>
      <c r="U13" s="11" t="s">
        <v>35</v>
      </c>
      <c r="V13" s="11" t="s">
        <v>35</v>
      </c>
      <c r="W13" s="11" t="s">
        <v>35</v>
      </c>
      <c r="X13" s="11"/>
      <c r="Y13" s="12"/>
      <c r="Z13" s="34" t="s">
        <v>35</v>
      </c>
      <c r="AA13" s="11" t="s">
        <v>35</v>
      </c>
      <c r="AB13" s="11" t="s">
        <v>35</v>
      </c>
      <c r="AC13" s="11" t="s">
        <v>35</v>
      </c>
      <c r="AD13" s="11" t="s">
        <v>35</v>
      </c>
      <c r="AE13" s="11" t="s">
        <v>35</v>
      </c>
      <c r="AF13" s="12"/>
      <c r="AG13" s="34"/>
      <c r="AH13" s="11" t="s">
        <v>35</v>
      </c>
      <c r="AI13" s="11" t="s">
        <v>35</v>
      </c>
      <c r="AJ13" s="11" t="s">
        <v>35</v>
      </c>
      <c r="AK13" s="11" t="s">
        <v>35</v>
      </c>
      <c r="AL13" s="11"/>
      <c r="AM13" s="12"/>
      <c r="AN13" s="34" t="s">
        <v>35</v>
      </c>
      <c r="AO13" s="11" t="s">
        <v>35</v>
      </c>
      <c r="AP13" s="11" t="s">
        <v>35</v>
      </c>
      <c r="AQ13" s="11" t="s">
        <v>35</v>
      </c>
      <c r="AR13" s="11" t="s">
        <v>35</v>
      </c>
      <c r="AS13" s="11"/>
      <c r="AT13" s="12"/>
      <c r="AU13" s="84">
        <v>130</v>
      </c>
      <c r="AV13" s="84"/>
      <c r="AW13" s="85"/>
      <c r="AX13" s="87">
        <v>32.5</v>
      </c>
      <c r="AY13" s="88"/>
      <c r="AZ13" s="89"/>
      <c r="BA13" s="87">
        <v>32.5</v>
      </c>
      <c r="BB13" s="88"/>
      <c r="BC13" s="89"/>
      <c r="BD13" s="79">
        <v>1</v>
      </c>
      <c r="BE13" s="80"/>
      <c r="BF13" s="81"/>
    </row>
    <row r="14" spans="1:73" ht="15.75" customHeight="1">
      <c r="A14" s="82" t="s">
        <v>40</v>
      </c>
      <c r="B14" s="83"/>
      <c r="C14" s="83"/>
      <c r="D14" s="83"/>
      <c r="E14" s="83"/>
      <c r="F14" s="83"/>
      <c r="G14" s="83" t="s">
        <v>33</v>
      </c>
      <c r="H14" s="83"/>
      <c r="I14" s="83"/>
      <c r="J14" s="83"/>
      <c r="K14" s="83"/>
      <c r="L14" s="76" t="s">
        <v>42</v>
      </c>
      <c r="M14" s="76"/>
      <c r="N14" s="76"/>
      <c r="O14" s="76"/>
      <c r="P14" s="76"/>
      <c r="Q14" s="76"/>
      <c r="R14" s="78"/>
      <c r="S14" s="10" t="s">
        <v>67</v>
      </c>
      <c r="T14" s="11" t="s">
        <v>67</v>
      </c>
      <c r="U14" s="11" t="s">
        <v>81</v>
      </c>
      <c r="V14" s="11" t="s">
        <v>81</v>
      </c>
      <c r="W14" s="11" t="s">
        <v>67</v>
      </c>
      <c r="X14" s="11"/>
      <c r="Y14" s="12"/>
      <c r="Z14" s="10" t="s">
        <v>67</v>
      </c>
      <c r="AA14" s="11" t="s">
        <v>67</v>
      </c>
      <c r="AB14" s="11" t="s">
        <v>81</v>
      </c>
      <c r="AC14" s="11" t="s">
        <v>81</v>
      </c>
      <c r="AD14" s="11" t="s">
        <v>67</v>
      </c>
      <c r="AE14" s="11" t="s">
        <v>67</v>
      </c>
      <c r="AF14" s="12"/>
      <c r="AG14" s="10"/>
      <c r="AH14" s="11" t="s">
        <v>67</v>
      </c>
      <c r="AI14" s="11" t="s">
        <v>81</v>
      </c>
      <c r="AJ14" s="11" t="s">
        <v>81</v>
      </c>
      <c r="AK14" s="11" t="s">
        <v>67</v>
      </c>
      <c r="AL14" s="11"/>
      <c r="AM14" s="12"/>
      <c r="AN14" s="10" t="s">
        <v>67</v>
      </c>
      <c r="AO14" s="11" t="s">
        <v>81</v>
      </c>
      <c r="AP14" s="11" t="s">
        <v>67</v>
      </c>
      <c r="AQ14" s="11" t="s">
        <v>81</v>
      </c>
      <c r="AR14" s="11" t="s">
        <v>67</v>
      </c>
      <c r="AS14" s="11"/>
      <c r="AT14" s="12"/>
      <c r="AU14" s="84">
        <f>3*4*5</f>
        <v>60</v>
      </c>
      <c r="AV14" s="84"/>
      <c r="AW14" s="85"/>
      <c r="AX14" s="87">
        <f>AU14/4</f>
        <v>15</v>
      </c>
      <c r="AY14" s="88"/>
      <c r="AZ14" s="89"/>
      <c r="BA14" s="87">
        <v>15</v>
      </c>
      <c r="BB14" s="88"/>
      <c r="BC14" s="89"/>
      <c r="BD14" s="79">
        <f>BA14/AU21</f>
        <v>0.46153846153846156</v>
      </c>
      <c r="BE14" s="80"/>
      <c r="BF14" s="81"/>
    </row>
    <row r="15" spans="1:73" ht="0.75" customHeight="1">
      <c r="A15" s="82"/>
      <c r="B15" s="83"/>
      <c r="C15" s="83"/>
      <c r="D15" s="83"/>
      <c r="E15" s="83"/>
      <c r="F15" s="83"/>
      <c r="G15" s="83"/>
      <c r="H15" s="83"/>
      <c r="I15" s="83"/>
      <c r="J15" s="83"/>
      <c r="K15" s="83"/>
      <c r="L15" s="76"/>
      <c r="M15" s="76"/>
      <c r="N15" s="76"/>
      <c r="O15" s="76"/>
      <c r="P15" s="76"/>
      <c r="Q15" s="76"/>
      <c r="R15" s="78"/>
      <c r="S15" s="10"/>
      <c r="T15" s="11"/>
      <c r="U15" s="11"/>
      <c r="V15" s="11"/>
      <c r="W15" s="11"/>
      <c r="X15" s="11"/>
      <c r="Y15" s="12"/>
      <c r="Z15" s="10"/>
      <c r="AA15" s="11"/>
      <c r="AB15" s="11"/>
      <c r="AC15" s="11"/>
      <c r="AD15" s="11"/>
      <c r="AE15" s="11"/>
      <c r="AF15" s="12"/>
      <c r="AG15" s="10"/>
      <c r="AH15" s="11"/>
      <c r="AI15" s="11"/>
      <c r="AJ15" s="11"/>
      <c r="AK15" s="11"/>
      <c r="AL15" s="11"/>
      <c r="AM15" s="12"/>
      <c r="AN15" s="10"/>
      <c r="AO15" s="11"/>
      <c r="AP15" s="11"/>
      <c r="AQ15" s="11"/>
      <c r="AR15" s="11"/>
      <c r="AS15" s="11"/>
      <c r="AT15" s="12"/>
      <c r="AU15" s="84"/>
      <c r="AV15" s="84"/>
      <c r="AW15" s="85"/>
      <c r="AX15" s="87"/>
      <c r="AY15" s="88"/>
      <c r="AZ15" s="89"/>
      <c r="BA15" s="87"/>
      <c r="BB15" s="88"/>
      <c r="BC15" s="89"/>
      <c r="BD15" s="79"/>
      <c r="BE15" s="80"/>
      <c r="BF15" s="81"/>
    </row>
    <row r="16" spans="1:73" ht="17.25" customHeight="1">
      <c r="A16" s="82" t="s">
        <v>44</v>
      </c>
      <c r="B16" s="83"/>
      <c r="C16" s="83"/>
      <c r="D16" s="83"/>
      <c r="E16" s="83"/>
      <c r="F16" s="83"/>
      <c r="G16" s="83"/>
      <c r="H16" s="83"/>
      <c r="I16" s="83"/>
      <c r="J16" s="83"/>
      <c r="K16" s="83"/>
      <c r="L16" s="76"/>
      <c r="M16" s="76"/>
      <c r="N16" s="76"/>
      <c r="O16" s="76"/>
      <c r="P16" s="76"/>
      <c r="Q16" s="76"/>
      <c r="R16" s="78"/>
      <c r="S16" s="10"/>
      <c r="T16" s="11"/>
      <c r="U16" s="11"/>
      <c r="V16" s="11"/>
      <c r="W16" s="11"/>
      <c r="X16" s="11"/>
      <c r="Y16" s="12"/>
      <c r="Z16" s="10"/>
      <c r="AA16" s="11"/>
      <c r="AB16" s="11"/>
      <c r="AC16" s="11"/>
      <c r="AD16" s="11"/>
      <c r="AE16" s="11"/>
      <c r="AF16" s="12"/>
      <c r="AG16" s="10"/>
      <c r="AH16" s="11"/>
      <c r="AI16" s="11"/>
      <c r="AJ16" s="11"/>
      <c r="AK16" s="11"/>
      <c r="AL16" s="11"/>
      <c r="AM16" s="12"/>
      <c r="AN16" s="14"/>
      <c r="AO16" s="11"/>
      <c r="AP16" s="11"/>
      <c r="AQ16" s="11"/>
      <c r="AR16" s="11"/>
      <c r="AS16" s="11"/>
      <c r="AT16" s="12"/>
      <c r="AU16" s="84"/>
      <c r="AV16" s="84"/>
      <c r="AW16" s="85"/>
      <c r="AX16" s="79"/>
      <c r="AY16" s="80"/>
      <c r="AZ16" s="86"/>
      <c r="BA16" s="79">
        <f>SUM(BA13:BC15)</f>
        <v>47.5</v>
      </c>
      <c r="BB16" s="80"/>
      <c r="BC16" s="86"/>
      <c r="BD16" s="79">
        <f>BA16/32.5</f>
        <v>1.4615384615384615</v>
      </c>
      <c r="BE16" s="80"/>
      <c r="BF16" s="81"/>
    </row>
    <row r="17" spans="1:58" ht="17.25" customHeight="1">
      <c r="A17" s="82" t="s">
        <v>68</v>
      </c>
      <c r="B17" s="83"/>
      <c r="C17" s="83"/>
      <c r="D17" s="83"/>
      <c r="E17" s="83"/>
      <c r="F17" s="83"/>
      <c r="G17" s="83" t="s">
        <v>66</v>
      </c>
      <c r="H17" s="83"/>
      <c r="I17" s="83"/>
      <c r="J17" s="83"/>
      <c r="K17" s="83"/>
      <c r="L17" s="76" t="s">
        <v>69</v>
      </c>
      <c r="M17" s="76"/>
      <c r="N17" s="76"/>
      <c r="O17" s="76"/>
      <c r="P17" s="76"/>
      <c r="Q17" s="76"/>
      <c r="R17" s="78"/>
      <c r="S17" s="34" t="s">
        <v>35</v>
      </c>
      <c r="T17" s="11" t="s">
        <v>35</v>
      </c>
      <c r="U17" s="11" t="s">
        <v>35</v>
      </c>
      <c r="V17" s="11" t="s">
        <v>35</v>
      </c>
      <c r="W17" s="11" t="s">
        <v>35</v>
      </c>
      <c r="X17" s="11"/>
      <c r="Y17" s="12"/>
      <c r="Z17" s="34" t="s">
        <v>35</v>
      </c>
      <c r="AA17" s="11" t="s">
        <v>35</v>
      </c>
      <c r="AB17" s="11" t="s">
        <v>35</v>
      </c>
      <c r="AC17" s="11" t="s">
        <v>35</v>
      </c>
      <c r="AD17" s="11" t="s">
        <v>35</v>
      </c>
      <c r="AE17" s="11" t="s">
        <v>35</v>
      </c>
      <c r="AF17" s="12"/>
      <c r="AG17" s="34"/>
      <c r="AH17" s="11" t="s">
        <v>35</v>
      </c>
      <c r="AI17" s="11" t="s">
        <v>35</v>
      </c>
      <c r="AJ17" s="11" t="s">
        <v>35</v>
      </c>
      <c r="AK17" s="11" t="s">
        <v>35</v>
      </c>
      <c r="AL17" s="11"/>
      <c r="AM17" s="12"/>
      <c r="AN17" s="34" t="s">
        <v>35</v>
      </c>
      <c r="AO17" s="11" t="s">
        <v>35</v>
      </c>
      <c r="AP17" s="11" t="s">
        <v>35</v>
      </c>
      <c r="AQ17" s="11" t="s">
        <v>35</v>
      </c>
      <c r="AR17" s="11" t="s">
        <v>35</v>
      </c>
      <c r="AS17" s="11"/>
      <c r="AT17" s="12"/>
      <c r="AU17" s="84">
        <v>130</v>
      </c>
      <c r="AV17" s="84"/>
      <c r="AW17" s="85"/>
      <c r="AX17" s="87">
        <v>32.5</v>
      </c>
      <c r="AY17" s="88"/>
      <c r="AZ17" s="89"/>
      <c r="BA17" s="87">
        <v>32.5</v>
      </c>
      <c r="BB17" s="88"/>
      <c r="BC17" s="89"/>
      <c r="BD17" s="79">
        <v>1</v>
      </c>
      <c r="BE17" s="80"/>
      <c r="BF17" s="81"/>
    </row>
    <row r="18" spans="1:58" ht="17.25" customHeight="1">
      <c r="A18" s="82"/>
      <c r="B18" s="83"/>
      <c r="C18" s="83"/>
      <c r="D18" s="83"/>
      <c r="E18" s="83"/>
      <c r="F18" s="83"/>
      <c r="G18" s="76"/>
      <c r="H18" s="76"/>
      <c r="I18" s="76"/>
      <c r="J18" s="76"/>
      <c r="K18" s="76"/>
      <c r="L18" s="76"/>
      <c r="M18" s="76"/>
      <c r="N18" s="76"/>
      <c r="O18" s="76"/>
      <c r="P18" s="76"/>
      <c r="Q18" s="76"/>
      <c r="R18" s="78"/>
      <c r="S18" s="10"/>
      <c r="T18" s="13"/>
      <c r="U18" s="13"/>
      <c r="V18" s="13"/>
      <c r="W18" s="13"/>
      <c r="X18" s="13"/>
      <c r="Y18" s="12"/>
      <c r="Z18" s="10"/>
      <c r="AA18" s="13"/>
      <c r="AB18" s="13"/>
      <c r="AC18" s="13"/>
      <c r="AD18" s="13"/>
      <c r="AE18" s="13"/>
      <c r="AF18" s="12"/>
      <c r="AG18" s="10"/>
      <c r="AH18" s="13"/>
      <c r="AI18" s="13"/>
      <c r="AJ18" s="13"/>
      <c r="AK18" s="13"/>
      <c r="AL18" s="13"/>
      <c r="AM18" s="12"/>
      <c r="AN18" s="14"/>
      <c r="AO18" s="13"/>
      <c r="AP18" s="13"/>
      <c r="AQ18" s="13"/>
      <c r="AR18" s="13"/>
      <c r="AS18" s="13"/>
      <c r="AT18" s="12"/>
      <c r="AU18" s="84"/>
      <c r="AV18" s="84"/>
      <c r="AW18" s="85"/>
      <c r="AX18" s="79"/>
      <c r="AY18" s="80"/>
      <c r="AZ18" s="86"/>
      <c r="BA18" s="79"/>
      <c r="BB18" s="80"/>
      <c r="BC18" s="86"/>
      <c r="BD18" s="79"/>
      <c r="BE18" s="80"/>
      <c r="BF18" s="81"/>
    </row>
    <row r="19" spans="1:58" ht="17.25" customHeight="1">
      <c r="A19" s="82" t="s">
        <v>45</v>
      </c>
      <c r="B19" s="83"/>
      <c r="C19" s="83"/>
      <c r="D19" s="83"/>
      <c r="E19" s="83"/>
      <c r="F19" s="83"/>
      <c r="G19" s="76"/>
      <c r="H19" s="76"/>
      <c r="I19" s="76"/>
      <c r="J19" s="76"/>
      <c r="K19" s="76"/>
      <c r="L19" s="76"/>
      <c r="M19" s="76"/>
      <c r="N19" s="76"/>
      <c r="O19" s="76"/>
      <c r="P19" s="76"/>
      <c r="Q19" s="76"/>
      <c r="R19" s="78"/>
      <c r="S19" s="10"/>
      <c r="T19" s="13"/>
      <c r="U19" s="13"/>
      <c r="V19" s="13"/>
      <c r="W19" s="13"/>
      <c r="X19" s="13"/>
      <c r="Y19" s="12"/>
      <c r="Z19" s="10"/>
      <c r="AA19" s="13"/>
      <c r="AB19" s="13"/>
      <c r="AC19" s="13"/>
      <c r="AD19" s="13"/>
      <c r="AE19" s="13"/>
      <c r="AF19" s="12"/>
      <c r="AG19" s="10"/>
      <c r="AH19" s="13"/>
      <c r="AI19" s="13"/>
      <c r="AJ19" s="13"/>
      <c r="AK19" s="13"/>
      <c r="AL19" s="13"/>
      <c r="AM19" s="12"/>
      <c r="AN19" s="14"/>
      <c r="AO19" s="13"/>
      <c r="AP19" s="13"/>
      <c r="AQ19" s="13"/>
      <c r="AR19" s="13"/>
      <c r="AS19" s="13"/>
      <c r="AT19" s="12"/>
      <c r="AU19" s="84"/>
      <c r="AV19" s="84"/>
      <c r="AW19" s="85"/>
      <c r="AX19" s="79"/>
      <c r="AY19" s="80"/>
      <c r="AZ19" s="86"/>
      <c r="BA19" s="79"/>
      <c r="BB19" s="80"/>
      <c r="BC19" s="86"/>
      <c r="BD19" s="79"/>
      <c r="BE19" s="80"/>
      <c r="BF19" s="81"/>
    </row>
    <row r="20" spans="1:58" ht="17.25" customHeight="1" thickBot="1">
      <c r="A20" s="82"/>
      <c r="B20" s="83"/>
      <c r="C20" s="83"/>
      <c r="D20" s="83"/>
      <c r="E20" s="83"/>
      <c r="F20" s="83"/>
      <c r="G20" s="76"/>
      <c r="H20" s="76"/>
      <c r="I20" s="76"/>
      <c r="J20" s="76"/>
      <c r="K20" s="76"/>
      <c r="L20" s="76"/>
      <c r="M20" s="76"/>
      <c r="N20" s="76"/>
      <c r="O20" s="76"/>
      <c r="P20" s="76"/>
      <c r="Q20" s="76"/>
      <c r="R20" s="78"/>
      <c r="S20" s="10"/>
      <c r="T20" s="13"/>
      <c r="U20" s="13"/>
      <c r="V20" s="13"/>
      <c r="W20" s="13"/>
      <c r="X20" s="13"/>
      <c r="Y20" s="12"/>
      <c r="Z20" s="10"/>
      <c r="AA20" s="13"/>
      <c r="AB20" s="13"/>
      <c r="AC20" s="13"/>
      <c r="AD20" s="13"/>
      <c r="AE20" s="13"/>
      <c r="AF20" s="12"/>
      <c r="AG20" s="10"/>
      <c r="AH20" s="13"/>
      <c r="AI20" s="13"/>
      <c r="AJ20" s="13"/>
      <c r="AK20" s="13"/>
      <c r="AL20" s="13"/>
      <c r="AM20" s="12"/>
      <c r="AN20" s="14"/>
      <c r="AO20" s="13"/>
      <c r="AP20" s="13"/>
      <c r="AQ20" s="13"/>
      <c r="AR20" s="13"/>
      <c r="AS20" s="13"/>
      <c r="AT20" s="12"/>
      <c r="AU20" s="84"/>
      <c r="AV20" s="84"/>
      <c r="AW20" s="85"/>
      <c r="AX20" s="79"/>
      <c r="AY20" s="80"/>
      <c r="AZ20" s="86"/>
      <c r="BA20" s="79"/>
      <c r="BB20" s="80"/>
      <c r="BC20" s="86"/>
      <c r="BD20" s="79"/>
      <c r="BE20" s="80"/>
      <c r="BF20" s="81"/>
    </row>
    <row r="21" spans="1:58" ht="21" customHeight="1" thickBot="1">
      <c r="A21" s="90" t="s">
        <v>46</v>
      </c>
      <c r="B21" s="91"/>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2"/>
      <c r="AU21" s="93">
        <f>6.5*5</f>
        <v>32.5</v>
      </c>
      <c r="AV21" s="45"/>
      <c r="AW21" s="45"/>
      <c r="AX21" s="45"/>
      <c r="AY21" s="45"/>
      <c r="AZ21" s="45"/>
      <c r="BA21" s="45"/>
      <c r="BB21" s="45"/>
      <c r="BC21" s="45"/>
      <c r="BD21" s="45"/>
      <c r="BE21" s="45"/>
      <c r="BF21" s="94"/>
    </row>
    <row r="22" spans="1:58" ht="21" customHeight="1" thickBot="1">
      <c r="A22" s="95" t="s">
        <v>47</v>
      </c>
      <c r="B22" s="96"/>
      <c r="C22" s="96"/>
      <c r="D22" s="96"/>
      <c r="E22" s="96"/>
      <c r="F22" s="96"/>
      <c r="G22" s="96"/>
      <c r="H22" s="96"/>
      <c r="I22" s="96"/>
      <c r="J22" s="96"/>
      <c r="K22" s="96"/>
      <c r="L22" s="96"/>
      <c r="M22" s="96"/>
      <c r="N22" s="96"/>
      <c r="O22" s="96"/>
      <c r="P22" s="96"/>
      <c r="Q22" s="96"/>
      <c r="R22" s="46"/>
      <c r="S22" s="15">
        <v>6</v>
      </c>
      <c r="T22" s="16">
        <v>6</v>
      </c>
      <c r="U22" s="16">
        <v>6</v>
      </c>
      <c r="V22" s="16">
        <v>6</v>
      </c>
      <c r="W22" s="16">
        <v>6</v>
      </c>
      <c r="X22" s="108"/>
      <c r="Y22" s="109"/>
      <c r="Z22" s="15">
        <v>6</v>
      </c>
      <c r="AA22" s="16">
        <v>6</v>
      </c>
      <c r="AB22" s="16">
        <v>6</v>
      </c>
      <c r="AC22" s="16">
        <v>6</v>
      </c>
      <c r="AD22" s="16">
        <v>6</v>
      </c>
      <c r="AE22" s="16">
        <v>6</v>
      </c>
      <c r="AF22" s="111"/>
      <c r="AG22" s="110"/>
      <c r="AH22" s="16">
        <v>6</v>
      </c>
      <c r="AI22" s="16">
        <v>6</v>
      </c>
      <c r="AJ22" s="16">
        <v>6</v>
      </c>
      <c r="AK22" s="16">
        <v>6</v>
      </c>
      <c r="AL22" s="108"/>
      <c r="AM22" s="111"/>
      <c r="AN22" s="16">
        <v>6</v>
      </c>
      <c r="AO22" s="16">
        <v>6</v>
      </c>
      <c r="AP22" s="16">
        <v>6</v>
      </c>
      <c r="AQ22" s="16">
        <v>6</v>
      </c>
      <c r="AR22" s="16">
        <v>6</v>
      </c>
      <c r="AS22" s="16">
        <v>6</v>
      </c>
      <c r="AT22" s="17"/>
      <c r="AU22" s="45">
        <f>6*20</f>
        <v>120</v>
      </c>
      <c r="AV22" s="45"/>
      <c r="AW22" s="49"/>
      <c r="AX22" s="97"/>
      <c r="AY22" s="98"/>
      <c r="AZ22" s="99"/>
      <c r="BA22" s="97"/>
      <c r="BB22" s="98"/>
      <c r="BC22" s="99"/>
      <c r="BD22" s="97"/>
      <c r="BE22" s="98"/>
      <c r="BF22" s="100"/>
    </row>
    <row r="23" spans="1:58" customFormat="1" ht="21" customHeight="1">
      <c r="A23" s="18" t="s">
        <v>48</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20"/>
    </row>
    <row r="24" spans="1:58" customFormat="1" ht="21" customHeight="1">
      <c r="A24" s="21"/>
      <c r="B24" s="22" t="s">
        <v>49</v>
      </c>
      <c r="C24" s="22"/>
      <c r="D24" s="22"/>
      <c r="E24" s="22"/>
      <c r="F24" s="22"/>
      <c r="G24" s="22"/>
      <c r="H24" s="22"/>
      <c r="I24" s="35" t="s">
        <v>72</v>
      </c>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23"/>
    </row>
    <row r="25" spans="1:58" customFormat="1" ht="35.25" customHeight="1" thickBot="1">
      <c r="A25" s="24"/>
      <c r="B25" s="25"/>
      <c r="C25" s="25"/>
      <c r="D25" s="25"/>
      <c r="E25" s="25"/>
      <c r="F25" s="25"/>
      <c r="G25" s="25"/>
      <c r="H25" s="25"/>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26"/>
    </row>
    <row r="26" spans="1:58" ht="28.5" customHeight="1">
      <c r="A26" s="105" t="s">
        <v>50</v>
      </c>
      <c r="B26" s="105"/>
      <c r="C26" s="106" t="s">
        <v>51</v>
      </c>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row>
    <row r="27" spans="1:58" ht="18" customHeight="1">
      <c r="A27" s="27"/>
      <c r="B27" s="27"/>
      <c r="C27" s="101" t="s">
        <v>52</v>
      </c>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row>
    <row r="28" spans="1:58" ht="27.75" customHeight="1">
      <c r="A28" s="28"/>
      <c r="B28" s="28"/>
      <c r="C28" s="107" t="s">
        <v>53</v>
      </c>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row>
    <row r="29" spans="1:58" ht="29.25" customHeight="1">
      <c r="A29" s="29"/>
      <c r="B29" s="29"/>
      <c r="C29" s="102" t="s">
        <v>54</v>
      </c>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row>
    <row r="30" spans="1:58" ht="42.75" customHeight="1">
      <c r="A30" s="29"/>
      <c r="B30" s="29"/>
      <c r="C30" s="102" t="s">
        <v>71</v>
      </c>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row>
    <row r="31" spans="1:58" ht="18" customHeight="1">
      <c r="A31" s="27"/>
      <c r="B31" s="27"/>
      <c r="C31" s="101" t="s">
        <v>55</v>
      </c>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row>
    <row r="32" spans="1:58" ht="14.4">
      <c r="A32" s="27"/>
      <c r="B32" s="27"/>
      <c r="C32" s="30"/>
      <c r="D32" s="30"/>
      <c r="E32" s="30" t="s">
        <v>56</v>
      </c>
      <c r="F32" s="30"/>
      <c r="G32" s="30"/>
      <c r="H32" s="30"/>
      <c r="I32" s="30"/>
      <c r="J32" s="30" t="s">
        <v>57</v>
      </c>
      <c r="K32" s="30"/>
      <c r="L32" s="30"/>
      <c r="M32" s="30"/>
      <c r="N32" s="30"/>
      <c r="O32" s="30"/>
      <c r="P32" s="30"/>
      <c r="Q32" s="30"/>
      <c r="R32" s="30"/>
      <c r="S32" s="30"/>
      <c r="T32" s="30"/>
      <c r="U32" s="30"/>
      <c r="V32" s="30"/>
      <c r="W32" s="30"/>
      <c r="X32" s="30" t="s">
        <v>58</v>
      </c>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row>
    <row r="33" spans="1:58" ht="28.5" customHeight="1">
      <c r="A33" s="27"/>
      <c r="B33" s="27"/>
      <c r="C33" s="30"/>
      <c r="D33" s="30"/>
      <c r="E33" s="102" t="s">
        <v>59</v>
      </c>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row>
    <row r="34" spans="1:58" ht="18" customHeight="1">
      <c r="A34" s="27"/>
      <c r="B34" s="27"/>
      <c r="C34" s="102" t="s">
        <v>60</v>
      </c>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row>
    <row r="35" spans="1:58" ht="28.5" customHeight="1">
      <c r="A35" s="27"/>
      <c r="B35" s="27"/>
      <c r="C35" s="102" t="s">
        <v>61</v>
      </c>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row>
    <row r="36" spans="1:58" ht="28.5" customHeight="1">
      <c r="A36" s="29"/>
      <c r="B36" s="29"/>
      <c r="C36" s="104" t="s">
        <v>62</v>
      </c>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row>
  </sheetData>
  <mergeCells count="122">
    <mergeCell ref="C31:BF31"/>
    <mergeCell ref="E33:BF33"/>
    <mergeCell ref="C34:BF34"/>
    <mergeCell ref="C35:BF35"/>
    <mergeCell ref="C36:BF36"/>
    <mergeCell ref="A26:B26"/>
    <mergeCell ref="C26:BF26"/>
    <mergeCell ref="C27:BF27"/>
    <mergeCell ref="C28:BF28"/>
    <mergeCell ref="C29:BF29"/>
    <mergeCell ref="C30:BF30"/>
    <mergeCell ref="BD20:BF20"/>
    <mergeCell ref="A21:AT21"/>
    <mergeCell ref="AU21:BF21"/>
    <mergeCell ref="A22:R22"/>
    <mergeCell ref="AU22:AW22"/>
    <mergeCell ref="AX22:AZ22"/>
    <mergeCell ref="BA22:BC22"/>
    <mergeCell ref="BD22:BF22"/>
    <mergeCell ref="A20:F20"/>
    <mergeCell ref="G20:K20"/>
    <mergeCell ref="L20:R20"/>
    <mergeCell ref="AU20:AW20"/>
    <mergeCell ref="AX20:AZ20"/>
    <mergeCell ref="BA20:BC20"/>
    <mergeCell ref="BD18:BF18"/>
    <mergeCell ref="A18:F18"/>
    <mergeCell ref="G18:K18"/>
    <mergeCell ref="L18:R18"/>
    <mergeCell ref="AU18:AW18"/>
    <mergeCell ref="AX18:AZ18"/>
    <mergeCell ref="BA18:BC18"/>
    <mergeCell ref="A19:F19"/>
    <mergeCell ref="G19:K19"/>
    <mergeCell ref="L19:R19"/>
    <mergeCell ref="AU19:AW19"/>
    <mergeCell ref="AX19:AZ19"/>
    <mergeCell ref="BA19:BC19"/>
    <mergeCell ref="BD19:BF19"/>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L7:R9"/>
    <mergeCell ref="S7:Y7"/>
    <mergeCell ref="Z7:AF7"/>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I24:BE25"/>
    <mergeCell ref="A2:BF2"/>
    <mergeCell ref="A4:R4"/>
    <mergeCell ref="S4:AE4"/>
    <mergeCell ref="AF4:AM4"/>
    <mergeCell ref="AN4:BF4"/>
    <mergeCell ref="A5:G5"/>
    <mergeCell ref="H5:R5"/>
    <mergeCell ref="S5:Z5"/>
    <mergeCell ref="AA5:AJ5"/>
    <mergeCell ref="AK5:AS5"/>
    <mergeCell ref="AG7:AM7"/>
    <mergeCell ref="AN7:AT7"/>
    <mergeCell ref="AU7:AW9"/>
    <mergeCell ref="AX7:AZ9"/>
    <mergeCell ref="BA7:BC9"/>
    <mergeCell ref="BD7:BF9"/>
    <mergeCell ref="AT5:BF5"/>
    <mergeCell ref="A6:R6"/>
    <mergeCell ref="S6:AE6"/>
    <mergeCell ref="AF6:AM6"/>
    <mergeCell ref="AN6:BF6"/>
    <mergeCell ref="A7:F9"/>
    <mergeCell ref="G7:K9"/>
  </mergeCells>
  <phoneticPr fontId="4"/>
  <printOptions horizontalCentered="1"/>
  <pageMargins left="0.39370078740157483" right="0.39370078740157483" top="0.39370078740157483" bottom="0.39370078740157483" header="0.39370078740157483" footer="0.39370078740157483"/>
  <pageSetup paperSize="9" scale="7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21勤務形態一覧(就労継続支援Ｂ型)（半日勤務）</vt:lpstr>
      <vt:lpstr>21勤務形態一覧(移行支援2)（半日勤務）</vt:lpstr>
      <vt:lpstr>'21勤務形態一覧(移行支援2)（半日勤務）'!Print_Area</vt:lpstr>
      <vt:lpstr>'21勤務形態一覧(就労継続支援Ｂ型)（半日勤務）'!Print_Area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Owner</cp:lastModifiedBy>
  <cp:lastPrinted>2018-10-09T01:08:50Z</cp:lastPrinted>
  <dcterms:created xsi:type="dcterms:W3CDTF">2018-10-05T00:47:32Z</dcterms:created>
  <dcterms:modified xsi:type="dcterms:W3CDTF">2019-06-10T02:53:58Z</dcterms:modified>
</cp:coreProperties>
</file>