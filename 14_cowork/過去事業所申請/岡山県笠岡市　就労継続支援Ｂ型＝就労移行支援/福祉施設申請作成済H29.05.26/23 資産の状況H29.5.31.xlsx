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worksheets/sheet8.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xl/worksheets/sheet7.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2"/>
  <workbookPr autoCompressPictures="0" defaultThemeVersion="124226"/>
  <mc:AlternateContent xmlns:mc="http://schemas.openxmlformats.org/markup-compatibility/2006">
    <mc:Choice Requires="x15">
      <x15ac:absPath xmlns:x15ac="http://schemas.microsoft.com/office/spreadsheetml/2010/11/ac" url="C:\Users\yamauchi\Dropbox\05.アンマー\01.福祉施設設立関係\福祉施設申請作成済H29.05.26\"/>
    </mc:Choice>
  </mc:AlternateContent>
  <xr:revisionPtr revIDLastSave="0" documentId="05E8265BEBF92D9753DD301B4C442EE2B0CD7ED9" xr6:coauthVersionLast="19" xr6:coauthVersionMax="19" xr10:uidLastSave="{00000000-0000-0000-0000-000000000000}"/>
  <bookViews>
    <workbookView xWindow="0" yWindow="0" windowWidth="25605" windowHeight="14655" activeTab="3" xr2:uid="{00000000-000D-0000-FFFF-FFFF00000000}"/>
  </bookViews>
  <sheets>
    <sheet name="表紙" sheetId="7" r:id="rId1"/>
    <sheet name="事業計画書２９年度" sheetId="6" r:id="rId2"/>
    <sheet name="事業計画書３０年度" sheetId="8" r:id="rId3"/>
    <sheet name="財産目録" sheetId="5" r:id="rId4"/>
    <sheet name="平成29年度" sheetId="1" r:id="rId5"/>
    <sheet name="平成30年度" sheetId="2" r:id="rId6"/>
    <sheet name="ＰＬＨ29年度" sheetId="3" r:id="rId7"/>
    <sheet name="ＰＬＨ30年度" sheetId="4" r:id="rId8"/>
    <sheet name="Sheet1" sheetId="9" r:id="rId9"/>
  </sheets>
  <calcPr calcId="171026" concurrentCalc="0"/>
  <extLst>
    <ext xmlns:mx="http://schemas.microsoft.com/office/mac/excel/2008/main" uri="{7523E5D3-25F3-A5E0-1632-64F254C22452}">
      <mx:ArchID Flags="2"/>
    </ext>
  </extLst>
</workbook>
</file>

<file path=xl/calcChain.xml><?xml version="1.0" encoding="utf-8"?>
<calcChain xmlns="http://schemas.openxmlformats.org/spreadsheetml/2006/main">
  <c r="D6" i="2" l="1"/>
  <c r="D5" i="2"/>
  <c r="E8" i="2"/>
  <c r="D6" i="1"/>
  <c r="E8" i="1"/>
  <c r="D33" i="1"/>
  <c r="D32" i="1"/>
  <c r="D30" i="1"/>
  <c r="D29" i="1"/>
  <c r="D28" i="1"/>
  <c r="D25" i="1"/>
  <c r="D23" i="1"/>
  <c r="D21" i="1"/>
  <c r="D18" i="1"/>
  <c r="D11" i="1"/>
  <c r="D18" i="2"/>
  <c r="D11" i="2"/>
  <c r="B7" i="3"/>
  <c r="D23" i="2"/>
  <c r="D21" i="2"/>
  <c r="E35" i="2"/>
  <c r="E19" i="2"/>
  <c r="E13" i="2"/>
  <c r="E37" i="2"/>
  <c r="C34" i="4"/>
  <c r="E14" i="2"/>
  <c r="B18" i="3"/>
  <c r="B30" i="4"/>
  <c r="B27" i="4"/>
  <c r="B15" i="4"/>
  <c r="B12" i="4"/>
  <c r="C7" i="4"/>
  <c r="B7" i="4"/>
  <c r="B27" i="3"/>
  <c r="B15" i="3"/>
  <c r="B12" i="3"/>
  <c r="C19" i="3"/>
  <c r="C7" i="3"/>
  <c r="E35" i="1"/>
  <c r="E19" i="1"/>
  <c r="E13" i="1"/>
  <c r="C19" i="4"/>
  <c r="E14" i="1"/>
  <c r="E37" i="1"/>
  <c r="C34" i="3"/>
  <c r="D20" i="4"/>
  <c r="D31" i="4"/>
  <c r="D20" i="3"/>
  <c r="B30" i="3"/>
  <c r="D31" i="3"/>
  <c r="D35" i="3"/>
  <c r="D36" i="3"/>
  <c r="C33" i="4"/>
  <c r="D35" i="4"/>
  <c r="D36" i="4"/>
</calcChain>
</file>

<file path=xl/sharedStrings.xml><?xml version="1.0" encoding="utf-8"?>
<sst xmlns="http://schemas.openxmlformats.org/spreadsheetml/2006/main" count="281" uniqueCount="164">
  <si>
    <t>科目</t>
    <rPh sb="0" eb="2">
      <t>カモク</t>
    </rPh>
    <phoneticPr fontId="2"/>
  </si>
  <si>
    <t>備考</t>
    <rPh sb="0" eb="2">
      <t>ビコウ</t>
    </rPh>
    <phoneticPr fontId="2"/>
  </si>
  <si>
    <t>就労支援活動による収支</t>
    <rPh sb="0" eb="2">
      <t>シュウロウ</t>
    </rPh>
    <rPh sb="2" eb="4">
      <t>シエン</t>
    </rPh>
    <rPh sb="4" eb="6">
      <t>カツドウ</t>
    </rPh>
    <rPh sb="9" eb="11">
      <t>シュウシ</t>
    </rPh>
    <phoneticPr fontId="2"/>
  </si>
  <si>
    <t>就労継続支援事業収入</t>
    <rPh sb="0" eb="2">
      <t>シュウロウ</t>
    </rPh>
    <rPh sb="2" eb="4">
      <t>ケイゾク</t>
    </rPh>
    <rPh sb="4" eb="6">
      <t>シエン</t>
    </rPh>
    <rPh sb="6" eb="8">
      <t>ジギョウ</t>
    </rPh>
    <rPh sb="8" eb="10">
      <t>シュウニュウ</t>
    </rPh>
    <phoneticPr fontId="2"/>
  </si>
  <si>
    <t>収入計</t>
    <rPh sb="0" eb="2">
      <t>シュウニュウ</t>
    </rPh>
    <rPh sb="2" eb="3">
      <t>ケイ</t>
    </rPh>
    <phoneticPr fontId="2"/>
  </si>
  <si>
    <t>就労継続支援事業支出</t>
    <rPh sb="0" eb="2">
      <t>シュウロウ</t>
    </rPh>
    <rPh sb="2" eb="4">
      <t>ケイゾク</t>
    </rPh>
    <rPh sb="4" eb="6">
      <t>シエン</t>
    </rPh>
    <rPh sb="6" eb="8">
      <t>ジギョウ</t>
    </rPh>
    <rPh sb="8" eb="10">
      <t>シシュツ</t>
    </rPh>
    <phoneticPr fontId="2"/>
  </si>
  <si>
    <t>利用者給料</t>
    <rPh sb="0" eb="3">
      <t>リヨウシャ</t>
    </rPh>
    <rPh sb="3" eb="5">
      <t>キュウリョウ</t>
    </rPh>
    <phoneticPr fontId="2"/>
  </si>
  <si>
    <t>経費</t>
    <rPh sb="0" eb="2">
      <t>ケイヒ</t>
    </rPh>
    <phoneticPr fontId="2"/>
  </si>
  <si>
    <t>支出計</t>
    <rPh sb="0" eb="2">
      <t>シシュツ</t>
    </rPh>
    <rPh sb="2" eb="3">
      <t>ケイ</t>
    </rPh>
    <phoneticPr fontId="2"/>
  </si>
  <si>
    <t>収支差額</t>
    <rPh sb="0" eb="2">
      <t>シュウシ</t>
    </rPh>
    <rPh sb="2" eb="4">
      <t>サガク</t>
    </rPh>
    <phoneticPr fontId="2"/>
  </si>
  <si>
    <t>福祉事業活動による収支</t>
    <rPh sb="0" eb="2">
      <t>フクシ</t>
    </rPh>
    <rPh sb="2" eb="4">
      <t>ジギョウ</t>
    </rPh>
    <rPh sb="4" eb="6">
      <t>カツドウ</t>
    </rPh>
    <rPh sb="9" eb="11">
      <t>シュウシ</t>
    </rPh>
    <phoneticPr fontId="2"/>
  </si>
  <si>
    <t>訓練等給付費収入</t>
    <rPh sb="0" eb="2">
      <t>クンレン</t>
    </rPh>
    <rPh sb="2" eb="3">
      <t>ナド</t>
    </rPh>
    <rPh sb="3" eb="5">
      <t>キュウフ</t>
    </rPh>
    <rPh sb="5" eb="6">
      <t>ヒ</t>
    </rPh>
    <rPh sb="6" eb="8">
      <t>シュウニュウ</t>
    </rPh>
    <phoneticPr fontId="2"/>
  </si>
  <si>
    <t>管理費支出</t>
    <rPh sb="0" eb="2">
      <t>カンリ</t>
    </rPh>
    <rPh sb="2" eb="3">
      <t>ヒ</t>
    </rPh>
    <rPh sb="3" eb="5">
      <t>シシュツ</t>
    </rPh>
    <phoneticPr fontId="2"/>
  </si>
  <si>
    <t>人件費</t>
    <rPh sb="0" eb="3">
      <t>ジンケンヒ</t>
    </rPh>
    <phoneticPr fontId="2"/>
  </si>
  <si>
    <t>福利厚生費</t>
    <rPh sb="0" eb="2">
      <t>フクリ</t>
    </rPh>
    <rPh sb="2" eb="5">
      <t>コウセイヒ</t>
    </rPh>
    <phoneticPr fontId="2"/>
  </si>
  <si>
    <t>保険料</t>
    <rPh sb="0" eb="3">
      <t>ホケンリョウ</t>
    </rPh>
    <phoneticPr fontId="2"/>
  </si>
  <si>
    <t>損害賠償保険（収支により変動）</t>
    <rPh sb="0" eb="2">
      <t>ソンガイ</t>
    </rPh>
    <rPh sb="2" eb="4">
      <t>バイショウ</t>
    </rPh>
    <rPh sb="4" eb="6">
      <t>ホケン</t>
    </rPh>
    <rPh sb="7" eb="9">
      <t>シュウシ</t>
    </rPh>
    <rPh sb="12" eb="14">
      <t>ヘンドウ</t>
    </rPh>
    <phoneticPr fontId="2"/>
  </si>
  <si>
    <t>通信費</t>
    <rPh sb="0" eb="3">
      <t>ツウシンヒ</t>
    </rPh>
    <phoneticPr fontId="2"/>
  </si>
  <si>
    <t>賃借料</t>
    <rPh sb="0" eb="3">
      <t>チンシャクリョウ</t>
    </rPh>
    <phoneticPr fontId="2"/>
  </si>
  <si>
    <t>研修費</t>
    <rPh sb="0" eb="3">
      <t>ケンシュウヒ</t>
    </rPh>
    <phoneticPr fontId="2"/>
  </si>
  <si>
    <t>講習会など</t>
    <rPh sb="0" eb="3">
      <t>コウシュウカイ</t>
    </rPh>
    <phoneticPr fontId="2"/>
  </si>
  <si>
    <t>水道光熱費</t>
    <rPh sb="0" eb="2">
      <t>スイドウ</t>
    </rPh>
    <rPh sb="2" eb="5">
      <t>コウネツヒ</t>
    </rPh>
    <phoneticPr fontId="2"/>
  </si>
  <si>
    <t>消耗品費</t>
    <rPh sb="0" eb="2">
      <t>ショウモウ</t>
    </rPh>
    <rPh sb="2" eb="3">
      <t>ヒン</t>
    </rPh>
    <rPh sb="3" eb="4">
      <t>ヒ</t>
    </rPh>
    <phoneticPr fontId="2"/>
  </si>
  <si>
    <t>車両関連費</t>
    <rPh sb="0" eb="2">
      <t>シャリョウ</t>
    </rPh>
    <rPh sb="2" eb="4">
      <t>カンレン</t>
    </rPh>
    <rPh sb="4" eb="5">
      <t>ヒ</t>
    </rPh>
    <phoneticPr fontId="2"/>
  </si>
  <si>
    <t>修繕費</t>
    <rPh sb="0" eb="3">
      <t>シュウゼンヒ</t>
    </rPh>
    <phoneticPr fontId="2"/>
  </si>
  <si>
    <t>雑費</t>
    <rPh sb="0" eb="2">
      <t>ザッピ</t>
    </rPh>
    <phoneticPr fontId="2"/>
  </si>
  <si>
    <t>予備費</t>
    <rPh sb="0" eb="3">
      <t>ヨビヒ</t>
    </rPh>
    <phoneticPr fontId="2"/>
  </si>
  <si>
    <t>当期正味財産増減額</t>
    <rPh sb="0" eb="2">
      <t>トウキ</t>
    </rPh>
    <rPh sb="2" eb="4">
      <t>ショウミ</t>
    </rPh>
    <rPh sb="4" eb="6">
      <t>ザイサン</t>
    </rPh>
    <rPh sb="6" eb="9">
      <t>ゾウゲンガク</t>
    </rPh>
    <phoneticPr fontId="2"/>
  </si>
  <si>
    <t>貸借対照表　予算書</t>
    <rPh sb="0" eb="2">
      <t>タイシャク</t>
    </rPh>
    <rPh sb="2" eb="5">
      <t>タイショウヒョウ</t>
    </rPh>
    <rPh sb="6" eb="9">
      <t>ヨサンショ</t>
    </rPh>
    <phoneticPr fontId="2"/>
  </si>
  <si>
    <t>金額</t>
    <rPh sb="0" eb="2">
      <t>キンガク</t>
    </rPh>
    <phoneticPr fontId="2"/>
  </si>
  <si>
    <t>Ⅰ　資産の部</t>
    <rPh sb="2" eb="4">
      <t>シサン</t>
    </rPh>
    <rPh sb="5" eb="6">
      <t>ブ</t>
    </rPh>
    <phoneticPr fontId="2"/>
  </si>
  <si>
    <t>１．流動資産</t>
    <rPh sb="2" eb="4">
      <t>リュウドウ</t>
    </rPh>
    <rPh sb="4" eb="6">
      <t>シサン</t>
    </rPh>
    <phoneticPr fontId="2"/>
  </si>
  <si>
    <t>現金預金</t>
    <rPh sb="0" eb="2">
      <t>ゲンキン</t>
    </rPh>
    <rPh sb="2" eb="4">
      <t>ヨキン</t>
    </rPh>
    <phoneticPr fontId="2"/>
  </si>
  <si>
    <t>流動資産合計</t>
    <rPh sb="0" eb="2">
      <t>リュウドウ</t>
    </rPh>
    <rPh sb="2" eb="4">
      <t>シサン</t>
    </rPh>
    <rPh sb="4" eb="6">
      <t>ゴウケイ</t>
    </rPh>
    <phoneticPr fontId="2"/>
  </si>
  <si>
    <t>２．固定資産</t>
    <rPh sb="2" eb="4">
      <t>コテイ</t>
    </rPh>
    <rPh sb="4" eb="6">
      <t>シサン</t>
    </rPh>
    <phoneticPr fontId="2"/>
  </si>
  <si>
    <t>（１）有形固定資産</t>
    <rPh sb="3" eb="5">
      <t>ユウケイ</t>
    </rPh>
    <rPh sb="5" eb="7">
      <t>コテイ</t>
    </rPh>
    <rPh sb="7" eb="9">
      <t>シサン</t>
    </rPh>
    <phoneticPr fontId="2"/>
  </si>
  <si>
    <t>車両運搬具</t>
    <rPh sb="0" eb="2">
      <t>シャリョウ</t>
    </rPh>
    <rPh sb="2" eb="4">
      <t>ウンパン</t>
    </rPh>
    <rPh sb="4" eb="5">
      <t>グ</t>
    </rPh>
    <phoneticPr fontId="2"/>
  </si>
  <si>
    <t>備品等</t>
    <rPh sb="0" eb="2">
      <t>ビヒン</t>
    </rPh>
    <rPh sb="2" eb="3">
      <t>トウ</t>
    </rPh>
    <phoneticPr fontId="2"/>
  </si>
  <si>
    <t>有形固定資産合計</t>
    <rPh sb="6" eb="8">
      <t>ゴウケイ</t>
    </rPh>
    <phoneticPr fontId="2"/>
  </si>
  <si>
    <t>（２）無形固定資産計</t>
    <rPh sb="3" eb="5">
      <t>ムケイ</t>
    </rPh>
    <rPh sb="5" eb="7">
      <t>コテイ</t>
    </rPh>
    <rPh sb="7" eb="9">
      <t>シサン</t>
    </rPh>
    <rPh sb="9" eb="10">
      <t>ケイ</t>
    </rPh>
    <phoneticPr fontId="2"/>
  </si>
  <si>
    <t>ソフトウェア</t>
    <phoneticPr fontId="2"/>
  </si>
  <si>
    <t>無形固定資産合計</t>
    <rPh sb="0" eb="2">
      <t>ムケイ</t>
    </rPh>
    <rPh sb="2" eb="4">
      <t>コテイ</t>
    </rPh>
    <rPh sb="4" eb="6">
      <t>シサン</t>
    </rPh>
    <rPh sb="6" eb="8">
      <t>ゴウケイ</t>
    </rPh>
    <phoneticPr fontId="2"/>
  </si>
  <si>
    <t>（３）投資等その他の資産</t>
    <rPh sb="3" eb="5">
      <t>トウシ</t>
    </rPh>
    <rPh sb="5" eb="6">
      <t>トウ</t>
    </rPh>
    <rPh sb="8" eb="9">
      <t>ホカ</t>
    </rPh>
    <rPh sb="10" eb="12">
      <t>シサン</t>
    </rPh>
    <phoneticPr fontId="2"/>
  </si>
  <si>
    <t>敷金等</t>
    <rPh sb="0" eb="2">
      <t>シキキン</t>
    </rPh>
    <rPh sb="2" eb="3">
      <t>トウ</t>
    </rPh>
    <phoneticPr fontId="2"/>
  </si>
  <si>
    <t>投資等その他の資産計</t>
    <rPh sb="9" eb="10">
      <t>ケイ</t>
    </rPh>
    <phoneticPr fontId="2"/>
  </si>
  <si>
    <t>固定資産合計</t>
    <rPh sb="0" eb="2">
      <t>コテイ</t>
    </rPh>
    <rPh sb="2" eb="4">
      <t>シサン</t>
    </rPh>
    <rPh sb="4" eb="6">
      <t>ゴウケイ</t>
    </rPh>
    <phoneticPr fontId="2"/>
  </si>
  <si>
    <t xml:space="preserve"> 資産合計</t>
    <rPh sb="1" eb="3">
      <t>シサン</t>
    </rPh>
    <rPh sb="3" eb="5">
      <t>ゴウケイ</t>
    </rPh>
    <phoneticPr fontId="2"/>
  </si>
  <si>
    <t>Ⅱ　負債の部</t>
    <rPh sb="2" eb="4">
      <t>フサイ</t>
    </rPh>
    <rPh sb="5" eb="6">
      <t>ブ</t>
    </rPh>
    <phoneticPr fontId="2"/>
  </si>
  <si>
    <t>１．流動負債</t>
    <rPh sb="2" eb="4">
      <t>リュウドウ</t>
    </rPh>
    <rPh sb="4" eb="6">
      <t>フサイ</t>
    </rPh>
    <phoneticPr fontId="2"/>
  </si>
  <si>
    <t>未払金</t>
    <rPh sb="0" eb="2">
      <t>ミハラ</t>
    </rPh>
    <rPh sb="2" eb="3">
      <t>キン</t>
    </rPh>
    <phoneticPr fontId="2"/>
  </si>
  <si>
    <t>前受助成金</t>
    <rPh sb="0" eb="2">
      <t>マエウケ</t>
    </rPh>
    <rPh sb="2" eb="5">
      <t>ジョセイキン</t>
    </rPh>
    <phoneticPr fontId="2"/>
  </si>
  <si>
    <t>預り金</t>
    <rPh sb="0" eb="1">
      <t>アズカ</t>
    </rPh>
    <rPh sb="2" eb="3">
      <t>キン</t>
    </rPh>
    <phoneticPr fontId="2"/>
  </si>
  <si>
    <t>流動負債合計</t>
    <rPh sb="0" eb="2">
      <t>リュウドウ</t>
    </rPh>
    <rPh sb="2" eb="4">
      <t>フサイ</t>
    </rPh>
    <rPh sb="4" eb="6">
      <t>ゴウケイ</t>
    </rPh>
    <phoneticPr fontId="2"/>
  </si>
  <si>
    <t>２．固定負債</t>
    <rPh sb="2" eb="4">
      <t>コテイ</t>
    </rPh>
    <rPh sb="4" eb="6">
      <t>フサイ</t>
    </rPh>
    <phoneticPr fontId="2"/>
  </si>
  <si>
    <t>役員借入金</t>
    <rPh sb="0" eb="2">
      <t>ヤクイン</t>
    </rPh>
    <rPh sb="2" eb="4">
      <t>カリイレ</t>
    </rPh>
    <rPh sb="4" eb="5">
      <t>キン</t>
    </rPh>
    <phoneticPr fontId="2"/>
  </si>
  <si>
    <t>固定負債合計</t>
    <rPh sb="0" eb="2">
      <t>コテイ</t>
    </rPh>
    <rPh sb="2" eb="4">
      <t>フサイ</t>
    </rPh>
    <rPh sb="4" eb="6">
      <t>ゴウケイ</t>
    </rPh>
    <phoneticPr fontId="2"/>
  </si>
  <si>
    <t>　負債合計</t>
    <rPh sb="1" eb="3">
      <t>フサイ</t>
    </rPh>
    <rPh sb="3" eb="5">
      <t>ゴウケイ</t>
    </rPh>
    <phoneticPr fontId="2"/>
  </si>
  <si>
    <t>Ⅲ　正味財産の部</t>
    <rPh sb="2" eb="4">
      <t>ショウミ</t>
    </rPh>
    <rPh sb="4" eb="6">
      <t>ザイサン</t>
    </rPh>
    <rPh sb="7" eb="8">
      <t>ブ</t>
    </rPh>
    <phoneticPr fontId="2"/>
  </si>
  <si>
    <t>　前期繰越正味財産</t>
    <rPh sb="1" eb="3">
      <t>ゼンキ</t>
    </rPh>
    <rPh sb="3" eb="5">
      <t>クリコシ</t>
    </rPh>
    <rPh sb="5" eb="7">
      <t>ショウミ</t>
    </rPh>
    <rPh sb="7" eb="9">
      <t>ザイサン</t>
    </rPh>
    <phoneticPr fontId="2"/>
  </si>
  <si>
    <t>　当期正味財産増減額</t>
    <rPh sb="1" eb="3">
      <t>トウキ</t>
    </rPh>
    <rPh sb="3" eb="5">
      <t>ショウミ</t>
    </rPh>
    <rPh sb="5" eb="7">
      <t>ザイサン</t>
    </rPh>
    <rPh sb="7" eb="10">
      <t>ゾウゲンガク</t>
    </rPh>
    <phoneticPr fontId="2"/>
  </si>
  <si>
    <t>正味財産合計</t>
    <rPh sb="0" eb="2">
      <t>ショウミ</t>
    </rPh>
    <rPh sb="2" eb="4">
      <t>ザイサン</t>
    </rPh>
    <rPh sb="4" eb="6">
      <t>ゴウケイ</t>
    </rPh>
    <phoneticPr fontId="2"/>
  </si>
  <si>
    <t xml:space="preserve"> 負債及び正味財産合計</t>
    <rPh sb="1" eb="3">
      <t>フサイ</t>
    </rPh>
    <rPh sb="3" eb="4">
      <t>オヨ</t>
    </rPh>
    <rPh sb="5" eb="7">
      <t>ショウミ</t>
    </rPh>
    <rPh sb="7" eb="9">
      <t>ザイサン</t>
    </rPh>
    <rPh sb="9" eb="11">
      <t>ゴウケイ</t>
    </rPh>
    <phoneticPr fontId="2"/>
  </si>
  <si>
    <t>財　産　目　録</t>
    <rPh sb="0" eb="1">
      <t>ザイ</t>
    </rPh>
    <rPh sb="2" eb="3">
      <t>サン</t>
    </rPh>
    <rPh sb="4" eb="5">
      <t>メ</t>
    </rPh>
    <rPh sb="6" eb="7">
      <t>ロク</t>
    </rPh>
    <phoneticPr fontId="2"/>
  </si>
  <si>
    <t>サービスの種類　　　</t>
    <rPh sb="5" eb="7">
      <t>シュルイ</t>
    </rPh>
    <phoneticPr fontId="2"/>
  </si>
  <si>
    <t>（ 就労継続支援事業Ｂ型</t>
    <rPh sb="2" eb="4">
      <t>シュウロウ</t>
    </rPh>
    <rPh sb="4" eb="6">
      <t>ケイゾク</t>
    </rPh>
    <rPh sb="6" eb="8">
      <t>シエン</t>
    </rPh>
    <rPh sb="8" eb="10">
      <t>ジギョウ</t>
    </rPh>
    <rPh sb="11" eb="12">
      <t>ガタ</t>
    </rPh>
    <phoneticPr fontId="2"/>
  </si>
  <si>
    <t>）</t>
    <phoneticPr fontId="2"/>
  </si>
  <si>
    <t>事業所又は施設名</t>
    <rPh sb="0" eb="3">
      <t>ジギョウショ</t>
    </rPh>
    <rPh sb="3" eb="4">
      <t>マタ</t>
    </rPh>
    <rPh sb="5" eb="7">
      <t>シセツ</t>
    </rPh>
    <rPh sb="7" eb="8">
      <t>メイ</t>
    </rPh>
    <phoneticPr fontId="2"/>
  </si>
  <si>
    <t>円</t>
    <rPh sb="0" eb="1">
      <t>エン</t>
    </rPh>
    <phoneticPr fontId="2"/>
  </si>
  <si>
    <t>１　　基本財産（ 固定性項目 ）</t>
    <rPh sb="3" eb="5">
      <t>キホン</t>
    </rPh>
    <rPh sb="5" eb="7">
      <t>ザイサン</t>
    </rPh>
    <rPh sb="9" eb="11">
      <t>コテイ</t>
    </rPh>
    <rPh sb="11" eb="12">
      <t>セイ</t>
    </rPh>
    <rPh sb="12" eb="14">
      <t>コウモク</t>
    </rPh>
    <phoneticPr fontId="2"/>
  </si>
  <si>
    <t>（ 内　訳 ）</t>
    <rPh sb="2" eb="5">
      <t>ウチワケ</t>
    </rPh>
    <phoneticPr fontId="2"/>
  </si>
  <si>
    <t>（ １ ）</t>
    <phoneticPr fontId="2"/>
  </si>
  <si>
    <t>車両</t>
    <rPh sb="0" eb="2">
      <t>シャリョウ</t>
    </rPh>
    <phoneticPr fontId="2"/>
  </si>
  <si>
    <t>（ ２ ）</t>
    <phoneticPr fontId="2"/>
  </si>
  <si>
    <t>その他</t>
    <rPh sb="0" eb="3">
      <t>ソノタ</t>
    </rPh>
    <phoneticPr fontId="2"/>
  </si>
  <si>
    <t>２　　運用財産（ 流動性項目 ）</t>
    <rPh sb="3" eb="5">
      <t>ウンヨウ</t>
    </rPh>
    <rPh sb="5" eb="7">
      <t>ザイサン</t>
    </rPh>
    <rPh sb="9" eb="11">
      <t>リュウドウ</t>
    </rPh>
    <rPh sb="11" eb="12">
      <t>セイ</t>
    </rPh>
    <rPh sb="12" eb="14">
      <t>コウモク</t>
    </rPh>
    <phoneticPr fontId="2"/>
  </si>
  <si>
    <t>現金・預金</t>
    <rPh sb="0" eb="2">
      <t>ゲンキン</t>
    </rPh>
    <rPh sb="3" eb="5">
      <t>ヨキン</t>
    </rPh>
    <phoneticPr fontId="2"/>
  </si>
  <si>
    <t>有価証券</t>
    <rPh sb="0" eb="2">
      <t>ユウカ</t>
    </rPh>
    <rPh sb="2" eb="4">
      <t>ショウケン</t>
    </rPh>
    <phoneticPr fontId="2"/>
  </si>
  <si>
    <t>（ ３ ）</t>
    <phoneticPr fontId="2"/>
  </si>
  <si>
    <t>借入金等</t>
    <rPh sb="0" eb="3">
      <t>カリイレキン</t>
    </rPh>
    <rPh sb="3" eb="4">
      <t>ナド</t>
    </rPh>
    <phoneticPr fontId="2"/>
  </si>
  <si>
    <t>Ⅲ　差引正味財産</t>
    <rPh sb="2" eb="4">
      <t>サシヒキ</t>
    </rPh>
    <rPh sb="4" eb="6">
      <t>ショウミ</t>
    </rPh>
    <rPh sb="6" eb="8">
      <t>ザイサン</t>
    </rPh>
    <phoneticPr fontId="2"/>
  </si>
  <si>
    <t>（ ※　「Ⅲ　差引正味財産」＝「Ⅰ　資産の部」－「Ⅱ　負債の部」 ）</t>
    <rPh sb="7" eb="9">
      <t>サシヒキ</t>
    </rPh>
    <rPh sb="9" eb="11">
      <t>ショウミ</t>
    </rPh>
    <rPh sb="11" eb="13">
      <t>ザイサン</t>
    </rPh>
    <rPh sb="18" eb="20">
      <t>シサン</t>
    </rPh>
    <rPh sb="21" eb="22">
      <t>ブ</t>
    </rPh>
    <rPh sb="27" eb="29">
      <t>フサイ</t>
    </rPh>
    <rPh sb="30" eb="31">
      <t>ブ</t>
    </rPh>
    <phoneticPr fontId="2"/>
  </si>
  <si>
    <t>項目</t>
    <rPh sb="0" eb="2">
      <t>コウモク</t>
    </rPh>
    <phoneticPr fontId="2"/>
  </si>
  <si>
    <t>内容</t>
    <rPh sb="0" eb="2">
      <t>ナイヨウ</t>
    </rPh>
    <phoneticPr fontId="2"/>
  </si>
  <si>
    <t>1　事業の内容</t>
    <rPh sb="2" eb="4">
      <t>ジギョウ</t>
    </rPh>
    <rPh sb="5" eb="7">
      <t>ナイヨウ</t>
    </rPh>
    <phoneticPr fontId="2"/>
  </si>
  <si>
    <t>２　事業実施の予定時期</t>
    <rPh sb="2" eb="4">
      <t>ジギョウ</t>
    </rPh>
    <rPh sb="4" eb="6">
      <t>ジッシ</t>
    </rPh>
    <rPh sb="7" eb="9">
      <t>ヨテイ</t>
    </rPh>
    <rPh sb="9" eb="11">
      <t>ジキ</t>
    </rPh>
    <phoneticPr fontId="2"/>
  </si>
  <si>
    <t>３　従業者等の予定人員</t>
    <rPh sb="2" eb="5">
      <t>ジュウギョウシャ</t>
    </rPh>
    <rPh sb="5" eb="6">
      <t>トウ</t>
    </rPh>
    <rPh sb="7" eb="9">
      <t>ヨテイ</t>
    </rPh>
    <rPh sb="9" eb="11">
      <t>ジンイン</t>
    </rPh>
    <phoneticPr fontId="2"/>
  </si>
  <si>
    <t>（１）</t>
    <phoneticPr fontId="2"/>
  </si>
  <si>
    <t xml:space="preserve"> 管理者　1名</t>
    <rPh sb="1" eb="4">
      <t>カンリシャ</t>
    </rPh>
    <rPh sb="6" eb="7">
      <t>メイ</t>
    </rPh>
    <phoneticPr fontId="2"/>
  </si>
  <si>
    <t>（２）</t>
  </si>
  <si>
    <t>（３）</t>
  </si>
  <si>
    <t xml:space="preserve"> 従業者　　　３名</t>
    <rPh sb="1" eb="4">
      <t>ジュウギョウシャ</t>
    </rPh>
    <rPh sb="8" eb="9">
      <t>メイ</t>
    </rPh>
    <phoneticPr fontId="2"/>
  </si>
  <si>
    <t xml:space="preserve"> （うち、常勤職員３名）</t>
    <rPh sb="5" eb="7">
      <t>ジョウキン</t>
    </rPh>
    <rPh sb="7" eb="9">
      <t>ショクイン</t>
    </rPh>
    <rPh sb="10" eb="11">
      <t>メイ</t>
    </rPh>
    <phoneticPr fontId="2"/>
  </si>
  <si>
    <t>４　利用者の推定数及び
　　通常の事業地域内外比率</t>
    <rPh sb="2" eb="5">
      <t>リヨウシャ</t>
    </rPh>
    <rPh sb="6" eb="9">
      <t>スイテイスウ</t>
    </rPh>
    <rPh sb="9" eb="10">
      <t>オヨ</t>
    </rPh>
    <rPh sb="14" eb="16">
      <t>ツウジョウ</t>
    </rPh>
    <rPh sb="17" eb="19">
      <t>ジギョウ</t>
    </rPh>
    <rPh sb="19" eb="22">
      <t>チイキナイ</t>
    </rPh>
    <rPh sb="22" eb="23">
      <t>ガイ</t>
    </rPh>
    <rPh sb="23" eb="25">
      <t>ヒリツ</t>
    </rPh>
    <phoneticPr fontId="2"/>
  </si>
  <si>
    <t xml:space="preserve"> 利用者の推定数</t>
    <rPh sb="1" eb="4">
      <t>リヨウシャ</t>
    </rPh>
    <rPh sb="5" eb="8">
      <t>スイテイスウ</t>
    </rPh>
    <phoneticPr fontId="2"/>
  </si>
  <si>
    <t xml:space="preserve"> 通常の事業の実施地域及び近隣地域からの利用</t>
    <rPh sb="1" eb="3">
      <t>ツウジョウ</t>
    </rPh>
    <rPh sb="4" eb="6">
      <t>ジギョウ</t>
    </rPh>
    <rPh sb="7" eb="9">
      <t>ジッシ</t>
    </rPh>
    <rPh sb="9" eb="11">
      <t>チイキ</t>
    </rPh>
    <rPh sb="11" eb="12">
      <t>オヨ</t>
    </rPh>
    <rPh sb="13" eb="15">
      <t>キンリン</t>
    </rPh>
    <rPh sb="15" eb="17">
      <t>チイキ</t>
    </rPh>
    <rPh sb="20" eb="22">
      <t>リヨウ</t>
    </rPh>
    <phoneticPr fontId="2"/>
  </si>
  <si>
    <t>２０名</t>
    <rPh sb="2" eb="3">
      <t>メイ</t>
    </rPh>
    <phoneticPr fontId="2"/>
  </si>
  <si>
    <t>（２）</t>
    <phoneticPr fontId="2"/>
  </si>
  <si>
    <t xml:space="preserve"> 通常の事業の実施地域内外の利用者比率（見込み）</t>
    <rPh sb="1" eb="3">
      <t>ツウジョウ</t>
    </rPh>
    <rPh sb="4" eb="6">
      <t>ジギョウ</t>
    </rPh>
    <rPh sb="7" eb="9">
      <t>ジッシ</t>
    </rPh>
    <rPh sb="9" eb="11">
      <t>チイキ</t>
    </rPh>
    <rPh sb="11" eb="13">
      <t>ナイガイ</t>
    </rPh>
    <rPh sb="14" eb="17">
      <t>リヨウシャ</t>
    </rPh>
    <rPh sb="17" eb="19">
      <t>ヒリツ</t>
    </rPh>
    <rPh sb="20" eb="22">
      <t>ミコ</t>
    </rPh>
    <phoneticPr fontId="2"/>
  </si>
  <si>
    <t>障害者の日常生活及び社会生活を総合的に支援するための法律に規定される「就労継続支援事業（Ｂ型）」を、下記業務を通じて適切に実施する。</t>
    <rPh sb="0" eb="3">
      <t>ショウガイシャ</t>
    </rPh>
    <rPh sb="4" eb="6">
      <t>ニチジョウ</t>
    </rPh>
    <rPh sb="6" eb="8">
      <t>セイカツ</t>
    </rPh>
    <rPh sb="8" eb="9">
      <t>オヨ</t>
    </rPh>
    <rPh sb="10" eb="12">
      <t>シャカイ</t>
    </rPh>
    <rPh sb="12" eb="14">
      <t>セイカツ</t>
    </rPh>
    <rPh sb="15" eb="18">
      <t>ソウゴウテキ</t>
    </rPh>
    <rPh sb="19" eb="21">
      <t>シエン</t>
    </rPh>
    <rPh sb="26" eb="28">
      <t>ホウリツ</t>
    </rPh>
    <rPh sb="29" eb="31">
      <t>キテイ</t>
    </rPh>
    <rPh sb="35" eb="37">
      <t>シュウロウ</t>
    </rPh>
    <rPh sb="37" eb="39">
      <t>ケイゾク</t>
    </rPh>
    <rPh sb="39" eb="41">
      <t>シエン</t>
    </rPh>
    <rPh sb="41" eb="43">
      <t>ジギョウ</t>
    </rPh>
    <rPh sb="45" eb="46">
      <t>ガタ</t>
    </rPh>
    <phoneticPr fontId="2"/>
  </si>
  <si>
    <t>障害者総合支援法に基づく障害福祉サービス事業費</t>
    <rPh sb="0" eb="3">
      <t>ショウガイシャ</t>
    </rPh>
    <rPh sb="3" eb="5">
      <t>ソウゴウ</t>
    </rPh>
    <rPh sb="5" eb="7">
      <t>シエン</t>
    </rPh>
    <rPh sb="7" eb="8">
      <t>ホウ</t>
    </rPh>
    <rPh sb="9" eb="10">
      <t>モト</t>
    </rPh>
    <rPh sb="12" eb="14">
      <t>ショウガイ</t>
    </rPh>
    <rPh sb="14" eb="16">
      <t>フクシ</t>
    </rPh>
    <rPh sb="20" eb="22">
      <t>ジギョウ</t>
    </rPh>
    <rPh sb="22" eb="23">
      <t>ヒ</t>
    </rPh>
    <phoneticPr fontId="2"/>
  </si>
  <si>
    <t>0</t>
    <phoneticPr fontId="2"/>
  </si>
  <si>
    <t>　上記財産目録に相違ないことを誓います。</t>
    <rPh sb="1" eb="3">
      <t>ジョウキ</t>
    </rPh>
    <rPh sb="3" eb="5">
      <t>ザイサン</t>
    </rPh>
    <rPh sb="5" eb="7">
      <t>モクロク</t>
    </rPh>
    <rPh sb="8" eb="10">
      <t>ソウイ</t>
    </rPh>
    <rPh sb="15" eb="16">
      <t>チカ</t>
    </rPh>
    <phoneticPr fontId="2"/>
  </si>
  <si>
    <t>９０％</t>
    <phoneticPr fontId="2"/>
  </si>
  <si>
    <t>１０％</t>
    <phoneticPr fontId="2"/>
  </si>
  <si>
    <t>他消耗品</t>
    <rPh sb="0" eb="1">
      <t>ホカ</t>
    </rPh>
    <rPh sb="1" eb="3">
      <t>ショウモウ</t>
    </rPh>
    <rPh sb="3" eb="4">
      <t>ヒン</t>
    </rPh>
    <phoneticPr fontId="2"/>
  </si>
  <si>
    <t xml:space="preserve"> サービス管理責任者　１名（管理者と兼務）</t>
    <rPh sb="5" eb="7">
      <t>カンリ</t>
    </rPh>
    <rPh sb="7" eb="10">
      <t>セキニンシャ</t>
    </rPh>
    <rPh sb="12" eb="13">
      <t>メイ</t>
    </rPh>
    <rPh sb="14" eb="17">
      <t>カンリシャ</t>
    </rPh>
    <rPh sb="18" eb="20">
      <t>ケンム</t>
    </rPh>
    <phoneticPr fontId="2"/>
  </si>
  <si>
    <t>＜笠岡市＞</t>
    <rPh sb="1" eb="3">
      <t>カサオカ</t>
    </rPh>
    <rPh sb="3" eb="4">
      <t>シ</t>
    </rPh>
    <phoneticPr fontId="2"/>
  </si>
  <si>
    <t>＜福山市＞</t>
    <rPh sb="1" eb="3">
      <t>フクヤマ</t>
    </rPh>
    <rPh sb="3" eb="4">
      <t>シ</t>
    </rPh>
    <phoneticPr fontId="2"/>
  </si>
  <si>
    <t>就労業務としては、パソコンを使ったデータ入力業務、地域新聞作成業務、慰労演劇業務、畑作支援業務を準備している。</t>
    <rPh sb="0" eb="2">
      <t>シュウロウ</t>
    </rPh>
    <rPh sb="2" eb="4">
      <t>ギョウム</t>
    </rPh>
    <rPh sb="14" eb="15">
      <t>ツカ</t>
    </rPh>
    <rPh sb="20" eb="22">
      <t>ニュウリョク</t>
    </rPh>
    <rPh sb="22" eb="24">
      <t>ギョウム</t>
    </rPh>
    <rPh sb="25" eb="27">
      <t>チイキ</t>
    </rPh>
    <rPh sb="27" eb="29">
      <t>シンブン</t>
    </rPh>
    <rPh sb="29" eb="31">
      <t>サクセイ</t>
    </rPh>
    <rPh sb="31" eb="33">
      <t>ギョウム</t>
    </rPh>
    <rPh sb="34" eb="36">
      <t>イロウ</t>
    </rPh>
    <rPh sb="36" eb="38">
      <t>エンゲキ</t>
    </rPh>
    <rPh sb="38" eb="40">
      <t>ギョウム</t>
    </rPh>
    <rPh sb="41" eb="43">
      <t>ハタサク</t>
    </rPh>
    <rPh sb="43" eb="45">
      <t>シエン</t>
    </rPh>
    <rPh sb="45" eb="47">
      <t>ギョウム</t>
    </rPh>
    <rPh sb="48" eb="50">
      <t>ジュンビ</t>
    </rPh>
    <phoneticPr fontId="2"/>
  </si>
  <si>
    <t>平成29年度収支予算書</t>
    <rPh sb="0" eb="2">
      <t>ヘイセイ</t>
    </rPh>
    <rPh sb="4" eb="6">
      <t>ネンド</t>
    </rPh>
    <rPh sb="6" eb="8">
      <t>シュウシ</t>
    </rPh>
    <rPh sb="8" eb="11">
      <t>ヨサンショ</t>
    </rPh>
    <phoneticPr fontId="2"/>
  </si>
  <si>
    <t>利用者16名×日給1,000円×21日×12ヶ月</t>
    <rPh sb="0" eb="3">
      <t>リヨウシャ</t>
    </rPh>
    <rPh sb="5" eb="6">
      <t>メイ</t>
    </rPh>
    <rPh sb="7" eb="9">
      <t>ニッキュウ</t>
    </rPh>
    <rPh sb="14" eb="15">
      <t>エン</t>
    </rPh>
    <rPh sb="18" eb="19">
      <t>ニチ</t>
    </rPh>
    <phoneticPr fontId="2"/>
  </si>
  <si>
    <t>（シェル</t>
    <phoneticPr fontId="2"/>
  </si>
  <si>
    <t xml:space="preserve">シェル
事業計画
及び
資産状況
</t>
    <rPh sb="4" eb="6">
      <t>ジギョウ</t>
    </rPh>
    <rPh sb="6" eb="8">
      <t>ケイカク</t>
    </rPh>
    <rPh sb="9" eb="10">
      <t>オヨ</t>
    </rPh>
    <rPh sb="12" eb="14">
      <t>シサン</t>
    </rPh>
    <rPh sb="14" eb="16">
      <t>ジョウキョウ</t>
    </rPh>
    <phoneticPr fontId="2"/>
  </si>
  <si>
    <t>平成30年度収支予算書</t>
    <rPh sb="0" eb="2">
      <t>ヘイセイ</t>
    </rPh>
    <rPh sb="4" eb="6">
      <t>ネンド</t>
    </rPh>
    <rPh sb="6" eb="8">
      <t>シュウシ</t>
    </rPh>
    <rPh sb="8" eb="11">
      <t>ヨサンショ</t>
    </rPh>
    <phoneticPr fontId="2"/>
  </si>
  <si>
    <t>平成30年1月1日から平成30年12月31日</t>
    <rPh sb="0" eb="2">
      <t>ヘイセイ</t>
    </rPh>
    <rPh sb="4" eb="5">
      <t>ネン</t>
    </rPh>
    <rPh sb="6" eb="7">
      <t>ガツ</t>
    </rPh>
    <rPh sb="8" eb="9">
      <t>ニチ</t>
    </rPh>
    <rPh sb="11" eb="13">
      <t>ヘイセイ</t>
    </rPh>
    <rPh sb="15" eb="16">
      <t>ネン</t>
    </rPh>
    <rPh sb="18" eb="19">
      <t>ガツ</t>
    </rPh>
    <rPh sb="21" eb="22">
      <t>ニチ</t>
    </rPh>
    <phoneticPr fontId="2"/>
  </si>
  <si>
    <t>16人×5,840円×21日×12ヶ月</t>
    <rPh sb="2" eb="3">
      <t>ニン</t>
    </rPh>
    <rPh sb="9" eb="10">
      <t>エン</t>
    </rPh>
    <rPh sb="13" eb="14">
      <t>ニチ</t>
    </rPh>
    <phoneticPr fontId="2"/>
  </si>
  <si>
    <t>管理者・サービス管理責任者　200,000円/月×12ヶ月</t>
    <rPh sb="0" eb="3">
      <t>カンリシャ</t>
    </rPh>
    <rPh sb="8" eb="10">
      <t>カンリ</t>
    </rPh>
    <rPh sb="10" eb="12">
      <t>セキニン</t>
    </rPh>
    <rPh sb="12" eb="13">
      <t>シャ</t>
    </rPh>
    <rPh sb="21" eb="22">
      <t>マンエン</t>
    </rPh>
    <rPh sb="23" eb="24">
      <t>ツキ</t>
    </rPh>
    <phoneticPr fontId="2"/>
  </si>
  <si>
    <t>支援員1,000,000円/月×12ヶ月</t>
    <rPh sb="0" eb="2">
      <t>シエン</t>
    </rPh>
    <rPh sb="2" eb="3">
      <t>イン</t>
    </rPh>
    <rPh sb="12" eb="13">
      <t>マンエン</t>
    </rPh>
    <rPh sb="14" eb="15">
      <t>ツキ</t>
    </rPh>
    <phoneticPr fontId="2"/>
  </si>
  <si>
    <t>社会保険・健康診断等240,000円/月×12ヶ月</t>
    <rPh sb="0" eb="2">
      <t>シャカイ</t>
    </rPh>
    <rPh sb="2" eb="4">
      <t>ホケン</t>
    </rPh>
    <rPh sb="5" eb="7">
      <t>ケンコウ</t>
    </rPh>
    <rPh sb="7" eb="9">
      <t>シンダン</t>
    </rPh>
    <rPh sb="9" eb="10">
      <t>トウ</t>
    </rPh>
    <rPh sb="17" eb="18">
      <t>マンエン</t>
    </rPh>
    <rPh sb="19" eb="20">
      <t>ツキ</t>
    </rPh>
    <phoneticPr fontId="2"/>
  </si>
  <si>
    <t>電話・インターネット・携帯電話等）20,000円/月×12ヶ月</t>
    <rPh sb="0" eb="2">
      <t>デンワ</t>
    </rPh>
    <rPh sb="11" eb="13">
      <t>ケイタイ</t>
    </rPh>
    <rPh sb="13" eb="15">
      <t>デンワ</t>
    </rPh>
    <rPh sb="15" eb="16">
      <t>トウ</t>
    </rPh>
    <rPh sb="23" eb="24">
      <t>マンエン</t>
    </rPh>
    <rPh sb="25" eb="26">
      <t>ツキ</t>
    </rPh>
    <phoneticPr fontId="2"/>
  </si>
  <si>
    <t>家賃20,000円/月×12ヶ月</t>
    <rPh sb="0" eb="2">
      <t>ヤチン</t>
    </rPh>
    <rPh sb="8" eb="9">
      <t>マンエン</t>
    </rPh>
    <rPh sb="10" eb="11">
      <t>ツキ</t>
    </rPh>
    <phoneticPr fontId="2"/>
  </si>
  <si>
    <t>電気ガス水道100,000円/月×12ヶ月</t>
    <rPh sb="0" eb="2">
      <t>デンキ</t>
    </rPh>
    <rPh sb="4" eb="6">
      <t>スイドウ</t>
    </rPh>
    <rPh sb="13" eb="14">
      <t>マンエン</t>
    </rPh>
    <rPh sb="15" eb="16">
      <t>ツキ</t>
    </rPh>
    <phoneticPr fontId="2"/>
  </si>
  <si>
    <t>事務用品等20,000円/月×12ヶ月</t>
    <rPh sb="0" eb="2">
      <t>ジム</t>
    </rPh>
    <rPh sb="2" eb="4">
      <t>ヨウヒン</t>
    </rPh>
    <rPh sb="4" eb="5">
      <t>トウ</t>
    </rPh>
    <rPh sb="11" eb="12">
      <t>マンエン</t>
    </rPh>
    <phoneticPr fontId="2"/>
  </si>
  <si>
    <t>燃料等100,000円/月×12ヶ月</t>
    <rPh sb="0" eb="2">
      <t>ネンリョウ</t>
    </rPh>
    <rPh sb="2" eb="3">
      <t>トウ</t>
    </rPh>
    <phoneticPr fontId="2"/>
  </si>
  <si>
    <t>建物修理等10,000円/月×12ヶ月</t>
    <rPh sb="0" eb="2">
      <t>タテモノ</t>
    </rPh>
    <rPh sb="2" eb="4">
      <t>シュウリ</t>
    </rPh>
    <rPh sb="4" eb="5">
      <t>トウ</t>
    </rPh>
    <rPh sb="11" eb="12">
      <t>マンエン</t>
    </rPh>
    <phoneticPr fontId="2"/>
  </si>
  <si>
    <t>20,000円/月×12ヶ月</t>
    <phoneticPr fontId="2"/>
  </si>
  <si>
    <t>10,000円/月×12ヶ月</t>
    <phoneticPr fontId="2"/>
  </si>
  <si>
    <t>（平成２９年度）　事　業　計　画　書</t>
    <rPh sb="1" eb="5">
      <t>ヘイセイ2</t>
    </rPh>
    <rPh sb="5" eb="7">
      <t>ネンd</t>
    </rPh>
    <rPh sb="9" eb="10">
      <t>コト</t>
    </rPh>
    <rPh sb="11" eb="12">
      <t>ギョウ</t>
    </rPh>
    <rPh sb="13" eb="14">
      <t>ケイ</t>
    </rPh>
    <rPh sb="15" eb="16">
      <t>ガ</t>
    </rPh>
    <rPh sb="17" eb="18">
      <t>ショ</t>
    </rPh>
    <phoneticPr fontId="2"/>
  </si>
  <si>
    <t xml:space="preserve">（１）就労継続支援Ｂ型計画の作成
（２）身体等の介護
（３）就労に必要な知識、能力を向上するための訓練
（４）就労の機会の提供及び生産活動
（５）実習先企業等の紹介
（６）求職活動支援
（７）職場定着支援
（８）生活相談
（９）健康管理
（１０）訪問支援
（１１）送迎サービス
（１２）施設外支援の実施
（１３）施設外就労の実施
（１４）前各号に掲げる便宜に附帯する便宜
（２）から（１３）に附帯するその他必要な介護、訓練、支援、相談、助言。
</t>
    <rPh sb="14" eb="16">
      <t>サクセ</t>
    </rPh>
    <phoneticPr fontId="2"/>
  </si>
  <si>
    <t>（平成３０年度）　事　業　計　画　書</t>
    <rPh sb="1" eb="3">
      <t>ヘイセイ2</t>
    </rPh>
    <rPh sb="5" eb="7">
      <t>ネンd</t>
    </rPh>
    <rPh sb="9" eb="10">
      <t>コト</t>
    </rPh>
    <rPh sb="11" eb="12">
      <t>ギョウ</t>
    </rPh>
    <rPh sb="13" eb="14">
      <t>ケイ</t>
    </rPh>
    <rPh sb="15" eb="16">
      <t>ガ</t>
    </rPh>
    <rPh sb="17" eb="18">
      <t>ショ</t>
    </rPh>
    <phoneticPr fontId="2"/>
  </si>
  <si>
    <t>平成29年7月1日から平成29年12月31日</t>
    <rPh sb="0" eb="2">
      <t>ヘイセイ</t>
    </rPh>
    <rPh sb="4" eb="5">
      <t>ネン</t>
    </rPh>
    <rPh sb="6" eb="7">
      <t>ガツ</t>
    </rPh>
    <rPh sb="8" eb="9">
      <t>ニチ</t>
    </rPh>
    <rPh sb="11" eb="13">
      <t>ヘイセイ</t>
    </rPh>
    <rPh sb="15" eb="16">
      <t>ネン</t>
    </rPh>
    <rPh sb="18" eb="19">
      <t>ガツ</t>
    </rPh>
    <rPh sb="21" eb="22">
      <t>ニチ</t>
    </rPh>
    <phoneticPr fontId="2"/>
  </si>
  <si>
    <t>初年度家賃0万円/月×6ヶ月</t>
    <rPh sb="0" eb="3">
      <t>ショネンド</t>
    </rPh>
    <rPh sb="3" eb="5">
      <t>ヤチン</t>
    </rPh>
    <rPh sb="6" eb="8">
      <t>マンエン</t>
    </rPh>
    <rPh sb="9" eb="10">
      <t>ツキ</t>
    </rPh>
    <phoneticPr fontId="2"/>
  </si>
  <si>
    <t>12人×5,840円×21日×6ヶ月</t>
    <rPh sb="2" eb="3">
      <t>ニン</t>
    </rPh>
    <rPh sb="9" eb="10">
      <t>エン</t>
    </rPh>
    <rPh sb="13" eb="14">
      <t>ニチ</t>
    </rPh>
    <phoneticPr fontId="2"/>
  </si>
  <si>
    <t>管理者・サービス管理責任者　200,000円/月×6ヶ月</t>
    <rPh sb="0" eb="3">
      <t>カンリシャ</t>
    </rPh>
    <rPh sb="8" eb="10">
      <t>カンリ</t>
    </rPh>
    <rPh sb="10" eb="12">
      <t>セキニン</t>
    </rPh>
    <rPh sb="12" eb="13">
      <t>シャ</t>
    </rPh>
    <rPh sb="21" eb="22">
      <t>マンエン</t>
    </rPh>
    <rPh sb="23" eb="24">
      <t>ツキ</t>
    </rPh>
    <phoneticPr fontId="2"/>
  </si>
  <si>
    <t>支援員700,000円/月×6ヶ月</t>
    <rPh sb="0" eb="2">
      <t>シエン</t>
    </rPh>
    <rPh sb="2" eb="3">
      <t>イン</t>
    </rPh>
    <rPh sb="10" eb="11">
      <t>マンエン</t>
    </rPh>
    <rPh sb="12" eb="13">
      <t>ツキ</t>
    </rPh>
    <phoneticPr fontId="2"/>
  </si>
  <si>
    <t>社会保険・健康診断等100,000円/月×6ヶ月</t>
    <rPh sb="0" eb="2">
      <t>シャカイ</t>
    </rPh>
    <rPh sb="2" eb="4">
      <t>ホケン</t>
    </rPh>
    <rPh sb="5" eb="7">
      <t>ケンコウ</t>
    </rPh>
    <rPh sb="7" eb="9">
      <t>シンダン</t>
    </rPh>
    <rPh sb="9" eb="10">
      <t>トウ</t>
    </rPh>
    <rPh sb="17" eb="18">
      <t>マンエン</t>
    </rPh>
    <rPh sb="19" eb="20">
      <t>ツキ</t>
    </rPh>
    <phoneticPr fontId="2"/>
  </si>
  <si>
    <t>電話・インターネット・携帯電話等）20,000円/月×6ヶ月</t>
    <rPh sb="0" eb="2">
      <t>デンワ</t>
    </rPh>
    <rPh sb="11" eb="13">
      <t>ケイタイ</t>
    </rPh>
    <rPh sb="13" eb="15">
      <t>デンワ</t>
    </rPh>
    <rPh sb="15" eb="16">
      <t>トウ</t>
    </rPh>
    <rPh sb="23" eb="24">
      <t>マンエン</t>
    </rPh>
    <rPh sb="25" eb="26">
      <t>ツキ</t>
    </rPh>
    <phoneticPr fontId="2"/>
  </si>
  <si>
    <t>電気ガス水道100,000円/月×6ヶ月</t>
    <rPh sb="0" eb="2">
      <t>デンキ</t>
    </rPh>
    <rPh sb="4" eb="6">
      <t>スイドウ</t>
    </rPh>
    <rPh sb="13" eb="14">
      <t>マンエン</t>
    </rPh>
    <rPh sb="15" eb="16">
      <t>ツキ</t>
    </rPh>
    <phoneticPr fontId="2"/>
  </si>
  <si>
    <t>事務用品等20,000円/月×6ヶ月</t>
    <rPh sb="0" eb="2">
      <t>ジム</t>
    </rPh>
    <rPh sb="2" eb="4">
      <t>ヨウヒン</t>
    </rPh>
    <rPh sb="4" eb="5">
      <t>トウ</t>
    </rPh>
    <rPh sb="11" eb="12">
      <t>マンエン</t>
    </rPh>
    <phoneticPr fontId="2"/>
  </si>
  <si>
    <t>燃料等100,000円/月×6ヶ月</t>
    <rPh sb="0" eb="2">
      <t>ネンリョウ</t>
    </rPh>
    <rPh sb="2" eb="3">
      <t>トウ</t>
    </rPh>
    <phoneticPr fontId="2"/>
  </si>
  <si>
    <t>建物修繕費</t>
    <rPh sb="0" eb="5">
      <t>タテモン</t>
    </rPh>
    <phoneticPr fontId="2"/>
  </si>
  <si>
    <t>20,000円/月×6ヶ月</t>
    <phoneticPr fontId="2"/>
  </si>
  <si>
    <t>10,000円/月×6ヶ月</t>
    <phoneticPr fontId="2"/>
  </si>
  <si>
    <t>広告収入　120,000円×四季報2回分</t>
    <rPh sb="0" eb="4">
      <t>コウコk</t>
    </rPh>
    <rPh sb="12" eb="13">
      <t>エン</t>
    </rPh>
    <rPh sb="14" eb="17">
      <t>シk</t>
    </rPh>
    <rPh sb="18" eb="20">
      <t>カイブン</t>
    </rPh>
    <phoneticPr fontId="2"/>
  </si>
  <si>
    <t>作業収入①</t>
    <rPh sb="0" eb="2">
      <t>サギョウ</t>
    </rPh>
    <rPh sb="2" eb="4">
      <t>シュウニュウ</t>
    </rPh>
    <phoneticPr fontId="2"/>
  </si>
  <si>
    <t>作業収入②</t>
    <rPh sb="0" eb="2">
      <t>サギョウ</t>
    </rPh>
    <rPh sb="2" eb="4">
      <t>シュウニュウ</t>
    </rPh>
    <phoneticPr fontId="2"/>
  </si>
  <si>
    <t>作業収入③</t>
    <rPh sb="0" eb="2">
      <t>サギョウ</t>
    </rPh>
    <rPh sb="2" eb="4">
      <t>シュウニュウ</t>
    </rPh>
    <phoneticPr fontId="2"/>
  </si>
  <si>
    <t>利用者１2名×日給500円×21日×6ヶ月</t>
    <rPh sb="0" eb="3">
      <t>リヨウシャ</t>
    </rPh>
    <rPh sb="5" eb="6">
      <t>メイ</t>
    </rPh>
    <rPh sb="7" eb="9">
      <t>ニッキュウ</t>
    </rPh>
    <rPh sb="12" eb="13">
      <t>エン</t>
    </rPh>
    <rPh sb="16" eb="17">
      <t>ニチ</t>
    </rPh>
    <phoneticPr fontId="2"/>
  </si>
  <si>
    <t>パソコンデータ入力 3,000円×21×6ヵ月</t>
    <rPh sb="7" eb="9">
      <t>ニュウリョク</t>
    </rPh>
    <rPh sb="15" eb="16">
      <t>エン</t>
    </rPh>
    <rPh sb="21" eb="23">
      <t>kagetu</t>
    </rPh>
    <phoneticPr fontId="2"/>
  </si>
  <si>
    <t>農業（根菜類）</t>
    <rPh sb="0" eb="2">
      <t>ノウギョ</t>
    </rPh>
    <rPh sb="3" eb="7">
      <t>コンサ</t>
    </rPh>
    <phoneticPr fontId="2"/>
  </si>
  <si>
    <t>広告収入　120,000×12ヵ月</t>
    <rPh sb="0" eb="4">
      <t>コウコk</t>
    </rPh>
    <rPh sb="15" eb="17">
      <t>カゲt</t>
    </rPh>
    <phoneticPr fontId="2"/>
  </si>
  <si>
    <t>パソコンデータ入力　3,000円×30×12ヶ月</t>
    <rPh sb="0" eb="9">
      <t>パソコン</t>
    </rPh>
    <rPh sb="15" eb="16">
      <t>エン</t>
    </rPh>
    <rPh sb="22" eb="24">
      <t>ヵゲt</t>
    </rPh>
    <phoneticPr fontId="2"/>
  </si>
  <si>
    <t>農業（根菜類・露地）</t>
    <rPh sb="0" eb="2">
      <t>ノウギョ</t>
    </rPh>
    <rPh sb="3" eb="6">
      <t>koンsairui</t>
    </rPh>
    <rPh sb="7" eb="9">
      <t>ロj</t>
    </rPh>
    <phoneticPr fontId="2"/>
  </si>
  <si>
    <t>　　一般社団法アンマー</t>
    <rPh sb="2" eb="4">
      <t>イッパン</t>
    </rPh>
    <rPh sb="4" eb="6">
      <t>シャダン</t>
    </rPh>
    <rPh sb="6" eb="7">
      <t>ホウジン</t>
    </rPh>
    <phoneticPr fontId="2"/>
  </si>
  <si>
    <t>　　　代表理事　村越　啓介</t>
    <rPh sb="3" eb="5">
      <t>ダイヒョウ</t>
    </rPh>
    <rPh sb="5" eb="7">
      <t>リジ</t>
    </rPh>
    <rPh sb="8" eb="10">
      <t>ムラコsh</t>
    </rPh>
    <rPh sb="11" eb="13">
      <t>ケイスk</t>
    </rPh>
    <phoneticPr fontId="2"/>
  </si>
  <si>
    <t>平成２９年７月１日〜平成２９年１２月３１日</t>
    <rPh sb="0" eb="2">
      <t>ヘイセ</t>
    </rPh>
    <rPh sb="4" eb="5">
      <t>ネン</t>
    </rPh>
    <rPh sb="6" eb="7">
      <t>ガt</t>
    </rPh>
    <rPh sb="8" eb="9">
      <t>ニch</t>
    </rPh>
    <rPh sb="10" eb="12">
      <t>ヘイセ</t>
    </rPh>
    <rPh sb="14" eb="15">
      <t>ネン</t>
    </rPh>
    <rPh sb="17" eb="20">
      <t>ガt</t>
    </rPh>
    <rPh sb="20" eb="21">
      <t>ニch</t>
    </rPh>
    <phoneticPr fontId="2"/>
  </si>
  <si>
    <t>平成３０年１月１日〜平成３０年１２月３１日</t>
    <rPh sb="0" eb="2">
      <t>ヘイセ</t>
    </rPh>
    <rPh sb="4" eb="5">
      <t>ネン</t>
    </rPh>
    <rPh sb="6" eb="7">
      <t>ガt</t>
    </rPh>
    <rPh sb="8" eb="9">
      <t>ニch</t>
    </rPh>
    <rPh sb="10" eb="15">
      <t>ヘイセ</t>
    </rPh>
    <rPh sb="17" eb="20">
      <t>ガt</t>
    </rPh>
    <rPh sb="20" eb="21">
      <t>ニチ</t>
    </rPh>
    <phoneticPr fontId="2"/>
  </si>
  <si>
    <t>１４名</t>
    <rPh sb="2" eb="3">
      <t>メイ</t>
    </rPh>
    <phoneticPr fontId="2"/>
  </si>
  <si>
    <t>159,250</t>
    <phoneticPr fontId="2"/>
  </si>
  <si>
    <t>1,340,750</t>
    <phoneticPr fontId="2"/>
  </si>
  <si>
    <t>1,500,000</t>
    <phoneticPr fontId="2"/>
  </si>
  <si>
    <t>平成２９年５月31日</t>
    <rPh sb="0" eb="2">
      <t>ヘイセイ</t>
    </rPh>
    <rPh sb="4" eb="5">
      <t>ネン</t>
    </rPh>
    <rPh sb="6" eb="7">
      <t>ガツ</t>
    </rPh>
    <rPh sb="9" eb="10">
      <t>ニチ</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</si>
</sst>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8"/>
      <name val="ＭＳ Ｐゴシック"/>
      <family val="3"/>
      <charset val="128"/>
    </font>
    <font>
      <u/>
      <sz val="11"/>
      <name val="ＭＳ Ｐゴシック"/>
      <family val="3"/>
      <charset val="128"/>
    </font>
    <font>
      <sz val="14"/>
      <name val="ＭＳ Ｐゴシック"/>
      <family val="3"/>
      <charset val="128"/>
    </font>
    <font>
      <sz val="12"/>
      <name val="ＭＳ Ｐゴシック"/>
      <family val="3"/>
      <charset val="128"/>
    </font>
    <font>
      <sz val="48"/>
      <name val="ＭＳ Ｐゴシック"/>
      <family val="3"/>
      <charset val="128"/>
    </font>
  </fonts>
  <fills count="3">
    <fill>
      <patternFill patternType="none"/>
    </fill>
    <fill>
      <patternFill patternType="gray125"/>
    </fill>
    <fill>
      <patternFill patternType="solid">
        <fgColor indexed="22"/>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style="double">
        <color auto="1"/>
      </top>
      <bottom/>
      <diagonal/>
    </border>
    <border>
      <left style="thin">
        <color auto="1"/>
      </left>
      <right style="thin">
        <color auto="1"/>
      </right>
      <top/>
      <bottom style="thin">
        <color auto="1"/>
      </bottom>
      <diagonal/>
    </border>
    <border>
      <left style="thin">
        <color auto="1"/>
      </left>
      <right style="thin">
        <color auto="1"/>
      </right>
      <top/>
      <bottom style="double">
        <color auto="1"/>
      </bottom>
      <diagonal/>
    </border>
    <border>
      <left/>
      <right style="thin">
        <color auto="1"/>
      </right>
      <top style="thin">
        <color auto="1"/>
      </top>
      <bottom style="thin">
        <color auto="1"/>
      </bottom>
      <diagonal/>
    </border>
  </borders>
  <cellStyleXfs count="3">
    <xf numFmtId="0" fontId="0" fillId="0" borderId="0"/>
    <xf numFmtId="38" fontId="1" fillId="0" borderId="0" applyFont="0" applyFill="0" applyBorder="0" applyAlignment="0" applyProtection="0"/>
    <xf numFmtId="0" fontId="1" fillId="0" borderId="0"/>
  </cellStyleXfs>
  <cellXfs count="118">
    <xf numFmtId="0" fontId="0" fillId="0" borderId="0" xfId="0"/>
    <xf numFmtId="0" fontId="0" fillId="0" borderId="1" xfId="0" applyBorder="1"/>
    <xf numFmtId="0" fontId="0" fillId="0" borderId="2" xfId="0" applyBorder="1" applyAlignment="1">
      <alignment horizontal="center"/>
    </xf>
    <xf numFmtId="0" fontId="0" fillId="0" borderId="1" xfId="0" applyBorder="1" applyAlignment="1">
      <alignment horizontal="center"/>
    </xf>
    <xf numFmtId="0" fontId="3" fillId="0" borderId="3" xfId="0" applyFont="1" applyBorder="1"/>
    <xf numFmtId="0" fontId="0" fillId="0" borderId="4" xfId="0" applyBorder="1"/>
    <xf numFmtId="38" fontId="0" fillId="0" borderId="5" xfId="1" applyFont="1" applyBorder="1"/>
    <xf numFmtId="38" fontId="0" fillId="0" borderId="6" xfId="1" applyFont="1" applyBorder="1"/>
    <xf numFmtId="0" fontId="0" fillId="0" borderId="4" xfId="0" applyBorder="1" applyAlignment="1">
      <alignment shrinkToFit="1"/>
    </xf>
    <xf numFmtId="0" fontId="0" fillId="0" borderId="7" xfId="0" applyBorder="1"/>
    <xf numFmtId="0" fontId="0" fillId="0" borderId="8" xfId="0" applyBorder="1" applyAlignment="1">
      <alignment horizontal="left"/>
    </xf>
    <xf numFmtId="38" fontId="0" fillId="0" borderId="0" xfId="1" applyFont="1" applyBorder="1"/>
    <xf numFmtId="38" fontId="0" fillId="0" borderId="9" xfId="1" applyFont="1" applyBorder="1"/>
    <xf numFmtId="0" fontId="0" fillId="0" borderId="8" xfId="0" applyBorder="1" applyAlignment="1">
      <alignment shrinkToFit="1"/>
    </xf>
    <xf numFmtId="38" fontId="0" fillId="0" borderId="9" xfId="0" applyNumberFormat="1" applyBorder="1"/>
    <xf numFmtId="0" fontId="0" fillId="0" borderId="10" xfId="0" applyBorder="1"/>
    <xf numFmtId="0" fontId="0" fillId="0" borderId="11" xfId="0" applyBorder="1"/>
    <xf numFmtId="38" fontId="0" fillId="0" borderId="12" xfId="1" applyFont="1" applyBorder="1"/>
    <xf numFmtId="38" fontId="0" fillId="0" borderId="13" xfId="0" applyNumberFormat="1" applyBorder="1"/>
    <xf numFmtId="0" fontId="3" fillId="0" borderId="7" xfId="0" applyFont="1" applyBorder="1"/>
    <xf numFmtId="0" fontId="0" fillId="0" borderId="6" xfId="0" applyBorder="1"/>
    <xf numFmtId="0" fontId="4" fillId="0" borderId="8" xfId="0" applyFont="1" applyBorder="1" applyAlignment="1">
      <alignment shrinkToFit="1"/>
    </xf>
    <xf numFmtId="0" fontId="0" fillId="0" borderId="8" xfId="0" applyBorder="1" applyAlignment="1">
      <alignment horizontal="right"/>
    </xf>
    <xf numFmtId="38" fontId="0" fillId="0" borderId="14" xfId="1" applyFont="1" applyBorder="1"/>
    <xf numFmtId="0" fontId="4" fillId="0" borderId="11" xfId="0" applyFont="1" applyBorder="1" applyAlignment="1">
      <alignment shrinkToFit="1"/>
    </xf>
    <xf numFmtId="0" fontId="4" fillId="0" borderId="6" xfId="0" applyFont="1" applyBorder="1" applyAlignment="1">
      <alignment shrinkToFit="1"/>
    </xf>
    <xf numFmtId="0" fontId="4" fillId="0" borderId="9" xfId="0" applyFont="1" applyBorder="1" applyAlignment="1">
      <alignment shrinkToFit="1"/>
    </xf>
    <xf numFmtId="0" fontId="3" fillId="0" borderId="7" xfId="0" applyFont="1" applyBorder="1" applyAlignment="1">
      <alignment horizontal="left"/>
    </xf>
    <xf numFmtId="0" fontId="0" fillId="0" borderId="8" xfId="0" applyBorder="1"/>
    <xf numFmtId="0" fontId="0" fillId="0" borderId="9" xfId="0" applyBorder="1"/>
    <xf numFmtId="0" fontId="0" fillId="0" borderId="9" xfId="0" applyBorder="1" applyAlignment="1">
      <alignment shrinkToFit="1"/>
    </xf>
    <xf numFmtId="0" fontId="0" fillId="0" borderId="11" xfId="0" applyBorder="1" applyAlignment="1">
      <alignment horizontal="right"/>
    </xf>
    <xf numFmtId="38" fontId="0" fillId="0" borderId="14" xfId="0" applyNumberFormat="1" applyBorder="1"/>
    <xf numFmtId="0" fontId="0" fillId="0" borderId="14" xfId="0" applyBorder="1" applyAlignment="1">
      <alignment shrinkToFit="1"/>
    </xf>
    <xf numFmtId="0" fontId="0" fillId="0" borderId="0" xfId="0" applyAlignment="1">
      <alignment shrinkToFit="1"/>
    </xf>
    <xf numFmtId="38" fontId="0" fillId="0" borderId="0" xfId="1" applyFont="1"/>
    <xf numFmtId="0" fontId="0" fillId="2" borderId="1" xfId="0" applyFill="1" applyBorder="1" applyAlignment="1">
      <alignment horizontal="center"/>
    </xf>
    <xf numFmtId="0" fontId="0" fillId="0" borderId="9" xfId="0" applyBorder="1" applyAlignment="1">
      <alignment horizontal="left" indent="1"/>
    </xf>
    <xf numFmtId="0" fontId="0" fillId="0" borderId="9" xfId="0" applyBorder="1" applyAlignment="1">
      <alignment horizontal="left" indent="2"/>
    </xf>
    <xf numFmtId="38" fontId="0" fillId="0" borderId="15" xfId="1" applyFont="1" applyBorder="1"/>
    <xf numFmtId="0" fontId="0" fillId="0" borderId="14" xfId="0" applyBorder="1"/>
    <xf numFmtId="49" fontId="0" fillId="0" borderId="0" xfId="0" applyNumberFormat="1"/>
    <xf numFmtId="49" fontId="7" fillId="0" borderId="0" xfId="0" applyNumberFormat="1" applyFont="1" applyAlignment="1">
      <alignment horizontal="center"/>
    </xf>
    <xf numFmtId="0" fontId="0" fillId="0" borderId="3" xfId="0" applyBorder="1"/>
    <xf numFmtId="0" fontId="0" fillId="0" borderId="5" xfId="0" applyBorder="1"/>
    <xf numFmtId="49" fontId="0" fillId="0" borderId="5" xfId="0" applyNumberFormat="1" applyBorder="1"/>
    <xf numFmtId="49" fontId="0" fillId="0" borderId="4" xfId="0" applyNumberFormat="1" applyBorder="1"/>
    <xf numFmtId="49" fontId="0" fillId="0" borderId="0" xfId="0" applyNumberFormat="1" applyBorder="1"/>
    <xf numFmtId="49" fontId="0" fillId="0" borderId="8" xfId="0" applyNumberFormat="1" applyBorder="1"/>
    <xf numFmtId="49" fontId="0" fillId="0" borderId="7" xfId="0" applyNumberFormat="1" applyBorder="1"/>
    <xf numFmtId="0" fontId="0" fillId="0" borderId="0" xfId="0" applyBorder="1"/>
    <xf numFmtId="49" fontId="0" fillId="0" borderId="10" xfId="0" applyNumberFormat="1" applyBorder="1"/>
    <xf numFmtId="49" fontId="0" fillId="0" borderId="12" xfId="0" applyNumberFormat="1" applyBorder="1"/>
    <xf numFmtId="49" fontId="0" fillId="0" borderId="11" xfId="0" applyNumberFormat="1" applyBorder="1"/>
    <xf numFmtId="49" fontId="0" fillId="0" borderId="3" xfId="0" applyNumberFormat="1" applyBorder="1"/>
    <xf numFmtId="0" fontId="0" fillId="0" borderId="0" xfId="0" applyAlignment="1">
      <alignment wrapText="1"/>
    </xf>
    <xf numFmtId="49" fontId="0" fillId="0" borderId="0" xfId="0" applyNumberFormat="1" applyBorder="1" applyAlignment="1">
      <alignment horizontal="left" vertical="top" indent="1"/>
    </xf>
    <xf numFmtId="0" fontId="0" fillId="0" borderId="0" xfId="0" applyAlignment="1">
      <alignment horizontal="left" vertical="center"/>
    </xf>
    <xf numFmtId="0" fontId="0" fillId="0" borderId="0" xfId="0"/>
    <xf numFmtId="0" fontId="0" fillId="0" borderId="0" xfId="0"/>
    <xf numFmtId="9" fontId="0" fillId="0" borderId="0" xfId="0" applyNumberFormat="1"/>
    <xf numFmtId="58" fontId="0" fillId="0" borderId="0" xfId="0" applyNumberFormat="1"/>
    <xf numFmtId="0" fontId="0" fillId="0" borderId="2" xfId="0" applyBorder="1" applyAlignment="1">
      <alignment horizontal="center"/>
    </xf>
    <xf numFmtId="0" fontId="0" fillId="0" borderId="4" xfId="0" applyBorder="1"/>
    <xf numFmtId="0" fontId="0" fillId="0" borderId="0" xfId="0"/>
    <xf numFmtId="0" fontId="0" fillId="0" borderId="8" xfId="0" applyBorder="1"/>
    <xf numFmtId="49" fontId="0" fillId="0" borderId="0" xfId="0" applyNumberFormat="1" applyAlignment="1">
      <alignment wrapText="1"/>
    </xf>
    <xf numFmtId="0" fontId="0" fillId="0" borderId="0" xfId="0" applyAlignment="1">
      <alignment horizontal="left" vertical="center"/>
    </xf>
    <xf numFmtId="49" fontId="0" fillId="0" borderId="0" xfId="0" applyNumberFormat="1" applyBorder="1" applyAlignment="1">
      <alignment horizontal="left" vertical="top" indent="1"/>
    </xf>
    <xf numFmtId="0" fontId="0" fillId="0" borderId="0" xfId="0"/>
    <xf numFmtId="0" fontId="0" fillId="0" borderId="0" xfId="0"/>
    <xf numFmtId="0" fontId="0" fillId="0" borderId="8" xfId="0" applyFont="1" applyBorder="1" applyAlignment="1">
      <alignment horizontal="left"/>
    </xf>
    <xf numFmtId="0" fontId="8" fillId="0" borderId="0" xfId="0" applyFont="1" applyAlignment="1">
      <alignment horizontal="center" wrapText="1"/>
    </xf>
    <xf numFmtId="0" fontId="8" fillId="0" borderId="0" xfId="0" applyFont="1" applyAlignment="1">
      <alignment horizontal="center"/>
    </xf>
    <xf numFmtId="49" fontId="0" fillId="0" borderId="5" xfId="0" applyNumberFormat="1" applyBorder="1" applyAlignment="1">
      <alignment horizontal="left" vertical="center"/>
    </xf>
    <xf numFmtId="0" fontId="0" fillId="0" borderId="12" xfId="0" applyBorder="1" applyAlignment="1">
      <alignment horizontal="left" vertical="center"/>
    </xf>
    <xf numFmtId="49" fontId="0" fillId="0" borderId="12" xfId="0" applyNumberFormat="1" applyBorder="1" applyAlignment="1">
      <alignment horizontal="left" vertical="center"/>
    </xf>
    <xf numFmtId="0" fontId="0" fillId="0" borderId="5" xfId="0" applyBorder="1" applyAlignment="1"/>
    <xf numFmtId="0" fontId="0" fillId="0" borderId="4" xfId="0" applyBorder="1" applyAlignment="1"/>
    <xf numFmtId="0" fontId="0" fillId="0" borderId="12" xfId="0" applyBorder="1" applyAlignment="1"/>
    <xf numFmtId="0" fontId="0" fillId="0" borderId="11" xfId="0" applyBorder="1" applyAlignment="1"/>
    <xf numFmtId="0" fontId="0" fillId="0" borderId="5" xfId="0" applyBorder="1" applyAlignment="1">
      <alignment horizontal="left" vertical="center"/>
    </xf>
    <xf numFmtId="0" fontId="0" fillId="0" borderId="0" xfId="0" applyBorder="1" applyAlignment="1">
      <alignment horizontal="left" vertical="center"/>
    </xf>
    <xf numFmtId="49" fontId="0" fillId="0" borderId="5" xfId="0" applyNumberFormat="1" applyBorder="1" applyAlignment="1">
      <alignment horizontal="left" vertical="center" wrapText="1"/>
    </xf>
    <xf numFmtId="0" fontId="0" fillId="0" borderId="5" xfId="0" applyBorder="1"/>
    <xf numFmtId="0" fontId="0" fillId="0" borderId="4" xfId="0" applyBorder="1"/>
    <xf numFmtId="0" fontId="0" fillId="0" borderId="0" xfId="0"/>
    <xf numFmtId="0" fontId="0" fillId="0" borderId="8" xfId="0" applyBorder="1"/>
    <xf numFmtId="49" fontId="0" fillId="0" borderId="0" xfId="0" applyNumberFormat="1" applyBorder="1" applyAlignment="1">
      <alignment horizontal="right"/>
    </xf>
    <xf numFmtId="49" fontId="0" fillId="0" borderId="0" xfId="0" applyNumberFormat="1" applyBorder="1" applyAlignment="1">
      <alignment horizontal="left" vertical="top" wrapText="1"/>
    </xf>
    <xf numFmtId="49" fontId="6" fillId="0" borderId="0" xfId="0" applyNumberFormat="1" applyFont="1" applyAlignment="1">
      <alignment horizontal="center"/>
    </xf>
    <xf numFmtId="49" fontId="0" fillId="0" borderId="5" xfId="0" applyNumberFormat="1" applyBorder="1" applyAlignment="1">
      <alignment horizontal="center" vertical="center"/>
    </xf>
    <xf numFmtId="49" fontId="0" fillId="0" borderId="12" xfId="0" applyNumberFormat="1" applyBorder="1" applyAlignment="1">
      <alignment horizontal="center" vertical="center"/>
    </xf>
    <xf numFmtId="0" fontId="0" fillId="0" borderId="0" xfId="0" applyAlignment="1">
      <alignment horizontal="left" vertical="center"/>
    </xf>
    <xf numFmtId="49" fontId="0" fillId="0" borderId="0" xfId="0" applyNumberFormat="1" applyBorder="1" applyAlignment="1">
      <alignment horizontal="left" vertical="top" wrapText="1" indent="1"/>
    </xf>
    <xf numFmtId="49" fontId="0" fillId="0" borderId="0" xfId="0" applyNumberFormat="1" applyBorder="1" applyAlignment="1">
      <alignment horizontal="left" vertical="top" indent="1"/>
    </xf>
    <xf numFmtId="49" fontId="0" fillId="0" borderId="0" xfId="0" applyNumberFormat="1" applyBorder="1" applyAlignment="1">
      <alignment horizontal="left" wrapText="1"/>
    </xf>
    <xf numFmtId="49" fontId="0" fillId="0" borderId="8" xfId="0" applyNumberFormat="1" applyBorder="1" applyAlignment="1">
      <alignment horizontal="left" wrapText="1"/>
    </xf>
    <xf numFmtId="0" fontId="0" fillId="0" borderId="0" xfId="0" applyAlignment="1">
      <alignment horizontal="center"/>
    </xf>
    <xf numFmtId="0" fontId="0" fillId="0" borderId="6" xfId="0" applyBorder="1" applyAlignment="1">
      <alignment horizontal="center" vertical="center" textRotation="255"/>
    </xf>
    <xf numFmtId="0" fontId="0" fillId="0" borderId="9" xfId="0" applyBorder="1" applyAlignment="1">
      <alignment horizontal="center" vertical="center" textRotation="255"/>
    </xf>
    <xf numFmtId="0" fontId="0" fillId="0" borderId="14" xfId="0" applyBorder="1" applyAlignment="1">
      <alignment horizontal="center" vertical="center" textRotation="255"/>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0" fillId="0" borderId="8" xfId="0" applyBorder="1" applyAlignment="1">
      <alignment horizontal="left" vertical="top"/>
    </xf>
    <xf numFmtId="38" fontId="0" fillId="0" borderId="9" xfId="1" applyFont="1" applyBorder="1" applyAlignment="1">
      <alignment horizontal="right" vertical="top"/>
    </xf>
    <xf numFmtId="0" fontId="0" fillId="0" borderId="2" xfId="0" applyBorder="1" applyAlignment="1">
      <alignment horizontal="center"/>
    </xf>
    <xf numFmtId="0" fontId="0" fillId="0" borderId="16" xfId="0" applyBorder="1" applyAlignment="1">
      <alignment horizontal="center"/>
    </xf>
    <xf numFmtId="0" fontId="0" fillId="0" borderId="3" xfId="0" applyBorder="1" applyAlignment="1">
      <alignment horizontal="center" vertical="center" textRotation="255"/>
    </xf>
    <xf numFmtId="0" fontId="0" fillId="0" borderId="7" xfId="0" applyBorder="1" applyAlignment="1">
      <alignment horizontal="center" vertical="center" textRotation="255"/>
    </xf>
    <xf numFmtId="0" fontId="0" fillId="0" borderId="10" xfId="0" applyBorder="1" applyAlignment="1">
      <alignment horizontal="center" vertical="center" textRotation="255"/>
    </xf>
    <xf numFmtId="0" fontId="5" fillId="0" borderId="0" xfId="0" applyFont="1" applyAlignment="1">
      <alignment horizontal="center"/>
    </xf>
    <xf numFmtId="58" fontId="0" fillId="0" borderId="12" xfId="0" applyNumberFormat="1" applyBorder="1" applyAlignment="1">
      <alignment horizontal="center"/>
    </xf>
    <xf numFmtId="0" fontId="0" fillId="0" borderId="12" xfId="0" applyBorder="1" applyAlignment="1">
      <alignment horizontal="center"/>
    </xf>
    <xf numFmtId="38" fontId="0" fillId="2" borderId="16" xfId="1" applyFont="1" applyFill="1" applyBorder="1" applyAlignment="1">
      <alignment horizontal="center"/>
    </xf>
    <xf numFmtId="38" fontId="0" fillId="2" borderId="1" xfId="1" applyFont="1" applyFill="1" applyBorder="1" applyAlignment="1">
      <alignment horizontal="center"/>
    </xf>
  </cellXfs>
  <cellStyles count="3">
    <cellStyle name="桁区切り [0]" xfId="1" builtinId="6"/>
    <cellStyle name="標準" xfId="0" builtinId="0"/>
    <cellStyle name="標準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Q40"/>
  <sheetViews>
    <sheetView topLeftCell="A7" workbookViewId="0" xr3:uid="{AEA406A1-0E4B-5B11-9CD5-51D6E497D94C}">
      <selection activeCell="A30" sqref="A30"/>
    </sheetView>
  </sheetViews>
  <sheetFormatPr defaultColWidth="8.86328125" defaultRowHeight="16.5" customHeight="1" x14ac:dyDescent="0.1"/>
  <cols>
    <col min="6" max="6" width="8.86328125" style="34"/>
  </cols>
  <sheetData>
    <row r="7" spans="1:9" ht="16.5" customHeight="1" x14ac:dyDescent="0.1">
      <c r="A7" s="72" t="s">
        <v>112</v>
      </c>
      <c r="B7" s="73"/>
      <c r="C7" s="73"/>
      <c r="D7" s="73"/>
      <c r="E7" s="73"/>
      <c r="F7" s="73"/>
      <c r="G7" s="73"/>
      <c r="H7" s="73"/>
      <c r="I7" s="73"/>
    </row>
    <row r="8" spans="1:9" ht="16.5" customHeight="1" x14ac:dyDescent="0.1">
      <c r="A8" s="73"/>
      <c r="B8" s="73"/>
      <c r="C8" s="73"/>
      <c r="D8" s="73"/>
      <c r="E8" s="73"/>
      <c r="F8" s="73"/>
      <c r="G8" s="73"/>
      <c r="H8" s="73"/>
      <c r="I8" s="73"/>
    </row>
    <row r="9" spans="1:9" ht="16.5" customHeight="1" x14ac:dyDescent="0.1">
      <c r="A9" s="73"/>
      <c r="B9" s="73"/>
      <c r="C9" s="73"/>
      <c r="D9" s="73"/>
      <c r="E9" s="73"/>
      <c r="F9" s="73"/>
      <c r="G9" s="73"/>
      <c r="H9" s="73"/>
      <c r="I9" s="73"/>
    </row>
    <row r="10" spans="1:9" ht="16.5" customHeight="1" x14ac:dyDescent="0.1">
      <c r="A10" s="73"/>
      <c r="B10" s="73"/>
      <c r="C10" s="73"/>
      <c r="D10" s="73"/>
      <c r="E10" s="73"/>
      <c r="F10" s="73"/>
      <c r="G10" s="73"/>
      <c r="H10" s="73"/>
      <c r="I10" s="73"/>
    </row>
    <row r="11" spans="1:9" ht="16.5" customHeight="1" x14ac:dyDescent="0.1">
      <c r="A11" s="73"/>
      <c r="B11" s="73"/>
      <c r="C11" s="73"/>
      <c r="D11" s="73"/>
      <c r="E11" s="73"/>
      <c r="F11" s="73"/>
      <c r="G11" s="73"/>
      <c r="H11" s="73"/>
      <c r="I11" s="73"/>
    </row>
    <row r="12" spans="1:9" ht="16.5" customHeight="1" x14ac:dyDescent="0.1">
      <c r="A12" s="73"/>
      <c r="B12" s="73"/>
      <c r="C12" s="73"/>
      <c r="D12" s="73"/>
      <c r="E12" s="73"/>
      <c r="F12" s="73"/>
      <c r="G12" s="73"/>
      <c r="H12" s="73"/>
      <c r="I12" s="73"/>
    </row>
    <row r="13" spans="1:9" ht="16.5" customHeight="1" x14ac:dyDescent="0.1">
      <c r="A13" s="73"/>
      <c r="B13" s="73"/>
      <c r="C13" s="73"/>
      <c r="D13" s="73"/>
      <c r="E13" s="73"/>
      <c r="F13" s="73"/>
      <c r="G13" s="73"/>
      <c r="H13" s="73"/>
      <c r="I13" s="73"/>
    </row>
    <row r="14" spans="1:9" ht="16.5" customHeight="1" x14ac:dyDescent="0.1">
      <c r="A14" s="73"/>
      <c r="B14" s="73"/>
      <c r="C14" s="73"/>
      <c r="D14" s="73"/>
      <c r="E14" s="73"/>
      <c r="F14" s="73"/>
      <c r="G14" s="73"/>
      <c r="H14" s="73"/>
      <c r="I14" s="73"/>
    </row>
    <row r="15" spans="1:9" ht="16.5" customHeight="1" x14ac:dyDescent="0.1">
      <c r="A15" s="73"/>
      <c r="B15" s="73"/>
      <c r="C15" s="73"/>
      <c r="D15" s="73"/>
      <c r="E15" s="73"/>
      <c r="F15" s="73"/>
      <c r="G15" s="73"/>
      <c r="H15" s="73"/>
      <c r="I15" s="73"/>
    </row>
    <row r="16" spans="1:9" ht="16.5" customHeight="1" x14ac:dyDescent="0.1">
      <c r="A16" s="73"/>
      <c r="B16" s="73"/>
      <c r="C16" s="73"/>
      <c r="D16" s="73"/>
      <c r="E16" s="73"/>
      <c r="F16" s="73"/>
      <c r="G16" s="73"/>
      <c r="H16" s="73"/>
      <c r="I16" s="73"/>
    </row>
    <row r="17" spans="1:12" ht="16.5" customHeight="1" x14ac:dyDescent="0.1">
      <c r="A17" s="73"/>
      <c r="B17" s="73"/>
      <c r="C17" s="73"/>
      <c r="D17" s="73"/>
      <c r="E17" s="73"/>
      <c r="F17" s="73"/>
      <c r="G17" s="73"/>
      <c r="H17" s="73"/>
      <c r="I17" s="73"/>
    </row>
    <row r="18" spans="1:12" ht="16.5" customHeight="1" x14ac:dyDescent="0.1">
      <c r="A18" s="73"/>
      <c r="B18" s="73"/>
      <c r="C18" s="73"/>
      <c r="D18" s="73"/>
      <c r="E18" s="73"/>
      <c r="F18" s="73"/>
      <c r="G18" s="73"/>
      <c r="H18" s="73"/>
      <c r="I18" s="73"/>
    </row>
    <row r="19" spans="1:12" ht="16.5" customHeight="1" x14ac:dyDescent="0.1">
      <c r="A19" s="73"/>
      <c r="B19" s="73"/>
      <c r="C19" s="73"/>
      <c r="D19" s="73"/>
      <c r="E19" s="73"/>
      <c r="F19" s="73"/>
      <c r="G19" s="73"/>
      <c r="H19" s="73"/>
      <c r="I19" s="73"/>
    </row>
    <row r="20" spans="1:12" ht="16.5" customHeight="1" x14ac:dyDescent="0.1">
      <c r="A20" s="73"/>
      <c r="B20" s="73"/>
      <c r="C20" s="73"/>
      <c r="D20" s="73"/>
      <c r="E20" s="73"/>
      <c r="F20" s="73"/>
      <c r="G20" s="73"/>
      <c r="H20" s="73"/>
      <c r="I20" s="73"/>
    </row>
    <row r="21" spans="1:12" ht="16.5" customHeight="1" x14ac:dyDescent="0.1">
      <c r="A21" s="73"/>
      <c r="B21" s="73"/>
      <c r="C21" s="73"/>
      <c r="D21" s="73"/>
      <c r="E21" s="73"/>
      <c r="F21" s="73"/>
      <c r="G21" s="73"/>
      <c r="H21" s="73"/>
      <c r="I21" s="73"/>
    </row>
    <row r="22" spans="1:12" ht="16.5" customHeight="1" x14ac:dyDescent="0.1">
      <c r="A22" s="73"/>
      <c r="B22" s="73"/>
      <c r="C22" s="73"/>
      <c r="D22" s="73"/>
      <c r="E22" s="73"/>
      <c r="F22" s="73"/>
      <c r="G22" s="73"/>
      <c r="H22" s="73"/>
      <c r="I22" s="73"/>
    </row>
    <row r="23" spans="1:12" ht="16.5" customHeight="1" x14ac:dyDescent="0.1">
      <c r="A23" s="73"/>
      <c r="B23" s="73"/>
      <c r="C23" s="73"/>
      <c r="D23" s="73"/>
      <c r="E23" s="73"/>
      <c r="F23" s="73"/>
      <c r="G23" s="73"/>
      <c r="H23" s="73"/>
      <c r="I23" s="73"/>
    </row>
    <row r="24" spans="1:12" ht="16.5" customHeight="1" x14ac:dyDescent="0.1">
      <c r="A24" s="73"/>
      <c r="B24" s="73"/>
      <c r="C24" s="73"/>
      <c r="D24" s="73"/>
      <c r="E24" s="73"/>
      <c r="F24" s="73"/>
      <c r="G24" s="73"/>
      <c r="H24" s="73"/>
      <c r="I24" s="73"/>
    </row>
    <row r="25" spans="1:12" ht="16.5" customHeight="1" x14ac:dyDescent="0.1">
      <c r="A25" s="73"/>
      <c r="B25" s="73"/>
      <c r="C25" s="73"/>
      <c r="D25" s="73"/>
      <c r="E25" s="73"/>
      <c r="F25" s="73"/>
      <c r="G25" s="73"/>
      <c r="H25" s="73"/>
      <c r="I25" s="73"/>
      <c r="L25" s="61"/>
    </row>
    <row r="26" spans="1:12" ht="16.5" customHeight="1" x14ac:dyDescent="0.1">
      <c r="A26" s="73"/>
      <c r="B26" s="73"/>
      <c r="C26" s="73"/>
      <c r="D26" s="73"/>
      <c r="E26" s="73"/>
      <c r="F26" s="73"/>
      <c r="G26" s="73"/>
      <c r="H26" s="73"/>
      <c r="I26" s="73"/>
    </row>
    <row r="27" spans="1:12" ht="16.5" customHeight="1" x14ac:dyDescent="0.1">
      <c r="A27" s="73"/>
      <c r="B27" s="73"/>
      <c r="C27" s="73"/>
      <c r="D27" s="73"/>
      <c r="E27" s="73"/>
      <c r="F27" s="73"/>
      <c r="G27" s="73"/>
      <c r="H27" s="73"/>
      <c r="I27" s="73"/>
    </row>
    <row r="28" spans="1:12" ht="16.5" customHeight="1" x14ac:dyDescent="0.1">
      <c r="A28" s="73"/>
      <c r="B28" s="73"/>
      <c r="C28" s="73"/>
      <c r="D28" s="73"/>
      <c r="E28" s="73"/>
      <c r="F28" s="73"/>
      <c r="G28" s="73"/>
      <c r="H28" s="73"/>
      <c r="I28" s="73"/>
    </row>
    <row r="29" spans="1:12" ht="16.5" customHeight="1" x14ac:dyDescent="0.1">
      <c r="A29" s="73"/>
      <c r="B29" s="73"/>
      <c r="C29" s="73"/>
      <c r="D29" s="73"/>
      <c r="E29" s="73"/>
      <c r="F29" s="73"/>
      <c r="G29" s="73"/>
      <c r="H29" s="73"/>
      <c r="I29" s="73"/>
    </row>
    <row r="39" spans="13:17" ht="16.5" customHeight="1" x14ac:dyDescent="0.1">
      <c r="P39" s="60"/>
    </row>
    <row r="40" spans="13:17" ht="16.5" customHeight="1" x14ac:dyDescent="0.1">
      <c r="M40" s="59"/>
      <c r="P40" s="60"/>
      <c r="Q40" s="59"/>
    </row>
  </sheetData>
  <mergeCells count="1">
    <mergeCell ref="A7:I29"/>
  </mergeCells>
  <phoneticPr fontId="2"/>
  <pageMargins left="0.7" right="0.7" top="0.75" bottom="0.75" header="0.3" footer="0.3"/>
  <pageSetup paperSize="9" orientation="portrait" horizontalDpi="4294967293"/>
  <headerFooter alignWithMargins="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211"/>
  <sheetViews>
    <sheetView workbookViewId="0" xr3:uid="{958C4451-9541-5A59-BF78-D2F731DF1C81}"/>
  </sheetViews>
  <sheetFormatPr defaultColWidth="8.86328125" defaultRowHeight="13.5" x14ac:dyDescent="0.1"/>
  <cols>
    <col min="1" max="8" width="3.6796875" customWidth="1"/>
    <col min="9" max="9" width="0.1328125" customWidth="1"/>
    <col min="10" max="201" width="3.6796875" customWidth="1"/>
  </cols>
  <sheetData>
    <row r="1" spans="1:28" ht="3.75" customHeight="1" x14ac:dyDescent="0.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100000000000001" customHeight="1" x14ac:dyDescent="0.1">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100000000000001" customHeight="1" x14ac:dyDescent="0.15">
      <c r="A3" s="41"/>
      <c r="B3" s="41"/>
      <c r="C3" s="41"/>
      <c r="D3" s="41"/>
      <c r="E3" s="90" t="s">
        <v>127</v>
      </c>
      <c r="F3" s="90"/>
      <c r="G3" s="90"/>
      <c r="H3" s="90"/>
      <c r="I3" s="90"/>
      <c r="J3" s="90"/>
      <c r="K3" s="90"/>
      <c r="L3" s="90"/>
      <c r="M3" s="90"/>
      <c r="N3" s="90"/>
      <c r="O3" s="90"/>
      <c r="P3" s="90"/>
      <c r="Q3" s="90"/>
      <c r="R3" s="90"/>
      <c r="S3" s="90"/>
      <c r="T3" s="90"/>
      <c r="U3" s="90"/>
      <c r="V3" s="41"/>
      <c r="W3" s="41"/>
      <c r="X3" s="41"/>
      <c r="Y3" s="41"/>
      <c r="Z3" s="41"/>
    </row>
    <row r="4" spans="1:28" ht="14.25" customHeight="1" x14ac:dyDescent="0.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x14ac:dyDescent="0.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100000000000001" customHeight="1" x14ac:dyDescent="0.1">
      <c r="A6" s="41"/>
      <c r="B6" s="41"/>
      <c r="C6" s="41"/>
      <c r="D6" s="41" t="s">
        <v>63</v>
      </c>
      <c r="E6" s="41"/>
      <c r="F6" s="41"/>
      <c r="G6" s="41"/>
      <c r="H6" s="41"/>
      <c r="I6" s="41" t="s">
        <v>64</v>
      </c>
      <c r="J6" s="41"/>
      <c r="K6" s="41"/>
      <c r="L6" s="41"/>
      <c r="M6" s="41"/>
      <c r="N6" s="41"/>
      <c r="O6" s="41"/>
      <c r="P6" s="41"/>
      <c r="Q6" s="41"/>
      <c r="R6" s="41"/>
      <c r="S6" s="41"/>
      <c r="T6" s="41"/>
      <c r="U6" s="41"/>
      <c r="V6" s="41"/>
      <c r="W6" s="41" t="s">
        <v>65</v>
      </c>
      <c r="X6" s="41"/>
      <c r="Y6" s="41"/>
      <c r="Z6" s="41"/>
    </row>
    <row r="7" spans="1:28" ht="17.100000000000001" customHeight="1" x14ac:dyDescent="0.1">
      <c r="A7" s="66"/>
      <c r="B7" s="41"/>
      <c r="C7" s="41"/>
      <c r="D7" s="41" t="s">
        <v>66</v>
      </c>
      <c r="E7" s="41"/>
      <c r="F7" s="41"/>
      <c r="G7" s="41"/>
      <c r="H7" s="41"/>
      <c r="I7" s="41" t="s">
        <v>111</v>
      </c>
      <c r="J7" s="41"/>
      <c r="K7" s="41"/>
      <c r="L7" s="41"/>
      <c r="M7" s="41"/>
      <c r="N7" s="41"/>
      <c r="O7" s="41"/>
      <c r="P7" s="41"/>
      <c r="Q7" s="41"/>
      <c r="R7" s="41"/>
      <c r="S7" s="41"/>
      <c r="T7" s="41"/>
      <c r="U7" s="41"/>
      <c r="V7" s="41"/>
      <c r="W7" s="41" t="s">
        <v>65</v>
      </c>
      <c r="X7" s="41"/>
      <c r="Y7" s="41"/>
      <c r="Z7" s="41"/>
    </row>
    <row r="8" spans="1:28" ht="17.100000000000001" customHeight="1" x14ac:dyDescent="0.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100000000000001" customHeight="1" x14ac:dyDescent="0.1">
      <c r="A9" s="41"/>
      <c r="B9" s="54"/>
      <c r="C9" s="45"/>
      <c r="D9" s="91" t="s">
        <v>81</v>
      </c>
      <c r="E9" s="91"/>
      <c r="F9" s="91"/>
      <c r="G9" s="91"/>
      <c r="H9" s="91"/>
      <c r="I9" s="45"/>
      <c r="J9" s="46"/>
      <c r="K9" s="45"/>
      <c r="L9" s="45"/>
      <c r="M9" s="45"/>
      <c r="N9" s="45"/>
      <c r="O9" s="91" t="s">
        <v>82</v>
      </c>
      <c r="P9" s="91"/>
      <c r="Q9" s="91"/>
      <c r="R9" s="91"/>
      <c r="S9" s="91"/>
      <c r="T9" s="91"/>
      <c r="U9" s="45"/>
      <c r="V9" s="45"/>
      <c r="W9" s="45"/>
      <c r="X9" s="45"/>
      <c r="Y9" s="46"/>
      <c r="Z9" s="41"/>
    </row>
    <row r="10" spans="1:28" ht="12.75" customHeight="1" x14ac:dyDescent="0.1">
      <c r="A10" s="41"/>
      <c r="B10" s="51"/>
      <c r="C10" s="52"/>
      <c r="D10" s="92"/>
      <c r="E10" s="92"/>
      <c r="F10" s="92"/>
      <c r="G10" s="92"/>
      <c r="H10" s="92"/>
      <c r="I10" s="52"/>
      <c r="J10" s="53"/>
      <c r="K10" s="52"/>
      <c r="L10" s="52"/>
      <c r="M10" s="52"/>
      <c r="N10" s="52"/>
      <c r="O10" s="92"/>
      <c r="P10" s="92"/>
      <c r="Q10" s="92"/>
      <c r="R10" s="92"/>
      <c r="S10" s="92"/>
      <c r="T10" s="92"/>
      <c r="U10" s="52"/>
      <c r="V10" s="52"/>
      <c r="W10" s="52"/>
      <c r="X10" s="52"/>
      <c r="Y10" s="53"/>
      <c r="Z10" s="41"/>
    </row>
    <row r="11" spans="1:28" ht="17.100000000000001" customHeight="1" x14ac:dyDescent="0.1">
      <c r="A11" s="41"/>
      <c r="B11" s="54"/>
      <c r="C11" s="74" t="s">
        <v>83</v>
      </c>
      <c r="D11" s="81"/>
      <c r="E11" s="81"/>
      <c r="F11" s="81"/>
      <c r="G11" s="81"/>
      <c r="H11" s="81"/>
      <c r="I11" s="45"/>
      <c r="J11" s="46"/>
      <c r="K11" s="54"/>
      <c r="L11" s="45"/>
      <c r="M11" s="45"/>
      <c r="N11" s="45"/>
      <c r="O11" s="45"/>
      <c r="P11" s="45"/>
      <c r="Q11" s="45"/>
      <c r="R11" s="45"/>
      <c r="S11" s="45"/>
      <c r="T11" s="45"/>
      <c r="U11" s="45"/>
      <c r="V11" s="45"/>
      <c r="W11" s="45"/>
      <c r="X11" s="45"/>
      <c r="Y11" s="46"/>
      <c r="Z11" s="41"/>
    </row>
    <row r="12" spans="1:28" ht="17.100000000000001" customHeight="1" x14ac:dyDescent="0.1">
      <c r="A12" s="41"/>
      <c r="B12" s="49"/>
      <c r="C12" s="93"/>
      <c r="D12" s="93"/>
      <c r="E12" s="93"/>
      <c r="F12" s="93"/>
      <c r="G12" s="93"/>
      <c r="H12" s="93"/>
      <c r="I12" s="47"/>
      <c r="J12" s="48"/>
      <c r="K12" s="49"/>
      <c r="L12" s="96" t="s">
        <v>98</v>
      </c>
      <c r="M12" s="96"/>
      <c r="N12" s="96"/>
      <c r="O12" s="96"/>
      <c r="P12" s="96"/>
      <c r="Q12" s="96"/>
      <c r="R12" s="96"/>
      <c r="S12" s="96"/>
      <c r="T12" s="96"/>
      <c r="U12" s="96"/>
      <c r="V12" s="96"/>
      <c r="W12" s="96"/>
      <c r="X12" s="96"/>
      <c r="Y12" s="97"/>
      <c r="Z12" s="41"/>
    </row>
    <row r="13" spans="1:28" s="58" customFormat="1" ht="17.100000000000001" customHeight="1" x14ac:dyDescent="0.1">
      <c r="A13" s="41"/>
      <c r="B13" s="49"/>
      <c r="C13" s="57"/>
      <c r="D13" s="57"/>
      <c r="E13" s="57"/>
      <c r="F13" s="57"/>
      <c r="G13" s="57"/>
      <c r="H13" s="57"/>
      <c r="I13" s="47"/>
      <c r="J13" s="48"/>
      <c r="K13" s="49"/>
      <c r="L13" s="96"/>
      <c r="M13" s="96"/>
      <c r="N13" s="96"/>
      <c r="O13" s="96"/>
      <c r="P13" s="96"/>
      <c r="Q13" s="96"/>
      <c r="R13" s="96"/>
      <c r="S13" s="96"/>
      <c r="T13" s="96"/>
      <c r="U13" s="96"/>
      <c r="V13" s="96"/>
      <c r="W13" s="96"/>
      <c r="X13" s="96"/>
      <c r="Y13" s="97"/>
      <c r="Z13" s="41"/>
    </row>
    <row r="14" spans="1:28" ht="17.100000000000001" customHeight="1" x14ac:dyDescent="0.1">
      <c r="A14" s="41"/>
      <c r="B14" s="49"/>
      <c r="C14" s="47"/>
      <c r="D14" s="47"/>
      <c r="E14" s="47"/>
      <c r="F14" s="47"/>
      <c r="G14" s="47"/>
      <c r="H14" s="47"/>
      <c r="I14" s="47"/>
      <c r="J14" s="48"/>
      <c r="K14" s="49"/>
      <c r="L14" s="96"/>
      <c r="M14" s="96"/>
      <c r="N14" s="96"/>
      <c r="O14" s="96"/>
      <c r="P14" s="96"/>
      <c r="Q14" s="96"/>
      <c r="R14" s="96"/>
      <c r="S14" s="96"/>
      <c r="T14" s="96"/>
      <c r="U14" s="96"/>
      <c r="V14" s="96"/>
      <c r="W14" s="96"/>
      <c r="X14" s="96"/>
      <c r="Y14" s="97"/>
      <c r="Z14" s="41"/>
    </row>
    <row r="15" spans="1:28" ht="24.75" customHeight="1" x14ac:dyDescent="0.1">
      <c r="A15" s="41"/>
      <c r="B15" s="49"/>
      <c r="C15" s="47"/>
      <c r="D15" s="47"/>
      <c r="E15" s="47"/>
      <c r="F15" s="47"/>
      <c r="G15" s="47"/>
      <c r="H15" s="47"/>
      <c r="I15" s="47"/>
      <c r="J15" s="48"/>
      <c r="K15" s="49"/>
      <c r="L15" s="94" t="s">
        <v>128</v>
      </c>
      <c r="M15" s="95"/>
      <c r="N15" s="95"/>
      <c r="O15" s="95"/>
      <c r="P15" s="95"/>
      <c r="Q15" s="95"/>
      <c r="R15" s="95"/>
      <c r="S15" s="95"/>
      <c r="T15" s="95"/>
      <c r="U15" s="95"/>
      <c r="V15" s="95"/>
      <c r="W15" s="95"/>
      <c r="X15" s="95"/>
      <c r="Y15" s="48"/>
      <c r="Z15" s="41"/>
    </row>
    <row r="16" spans="1:28" ht="24.75" customHeight="1" x14ac:dyDescent="0.1">
      <c r="A16" s="41"/>
      <c r="B16" s="49"/>
      <c r="C16" s="47"/>
      <c r="D16" s="47"/>
      <c r="E16" s="47"/>
      <c r="F16" s="47"/>
      <c r="G16" s="47"/>
      <c r="H16" s="47"/>
      <c r="I16" s="47"/>
      <c r="J16" s="48"/>
      <c r="K16" s="49"/>
      <c r="L16" s="95"/>
      <c r="M16" s="95"/>
      <c r="N16" s="95"/>
      <c r="O16" s="95"/>
      <c r="P16" s="95"/>
      <c r="Q16" s="95"/>
      <c r="R16" s="95"/>
      <c r="S16" s="95"/>
      <c r="T16" s="95"/>
      <c r="U16" s="95"/>
      <c r="V16" s="95"/>
      <c r="W16" s="95"/>
      <c r="X16" s="95"/>
      <c r="Y16" s="48"/>
      <c r="Z16" s="41"/>
      <c r="AB16" s="55"/>
    </row>
    <row r="17" spans="1:26" ht="24.75" customHeight="1" x14ac:dyDescent="0.1">
      <c r="A17" s="41"/>
      <c r="B17" s="49"/>
      <c r="C17" s="47"/>
      <c r="D17" s="47"/>
      <c r="E17" s="47"/>
      <c r="F17" s="47"/>
      <c r="G17" s="47"/>
      <c r="H17" s="47"/>
      <c r="I17" s="47"/>
      <c r="J17" s="48"/>
      <c r="K17" s="49"/>
      <c r="L17" s="95"/>
      <c r="M17" s="95"/>
      <c r="N17" s="95"/>
      <c r="O17" s="95"/>
      <c r="P17" s="95"/>
      <c r="Q17" s="95"/>
      <c r="R17" s="95"/>
      <c r="S17" s="95"/>
      <c r="T17" s="95"/>
      <c r="U17" s="95"/>
      <c r="V17" s="95"/>
      <c r="W17" s="95"/>
      <c r="X17" s="95"/>
      <c r="Y17" s="48"/>
      <c r="Z17" s="41"/>
    </row>
    <row r="18" spans="1:26" ht="24.75" customHeight="1" x14ac:dyDescent="0.1">
      <c r="A18" s="41"/>
      <c r="B18" s="49"/>
      <c r="C18" s="47"/>
      <c r="D18" s="47"/>
      <c r="E18" s="47"/>
      <c r="F18" s="47"/>
      <c r="G18" s="47"/>
      <c r="H18" s="47"/>
      <c r="I18" s="47"/>
      <c r="J18" s="48"/>
      <c r="K18" s="49"/>
      <c r="L18" s="95"/>
      <c r="M18" s="95"/>
      <c r="N18" s="95"/>
      <c r="O18" s="95"/>
      <c r="P18" s="95"/>
      <c r="Q18" s="95"/>
      <c r="R18" s="95"/>
      <c r="S18" s="95"/>
      <c r="T18" s="95"/>
      <c r="U18" s="95"/>
      <c r="V18" s="95"/>
      <c r="W18" s="95"/>
      <c r="X18" s="95"/>
      <c r="Y18" s="48"/>
      <c r="Z18" s="41"/>
    </row>
    <row r="19" spans="1:26" ht="24.75" customHeight="1" x14ac:dyDescent="0.1">
      <c r="A19" s="41"/>
      <c r="B19" s="49"/>
      <c r="C19" s="47"/>
      <c r="D19" s="47"/>
      <c r="E19" s="47"/>
      <c r="F19" s="47"/>
      <c r="G19" s="47"/>
      <c r="H19" s="47"/>
      <c r="I19" s="47"/>
      <c r="J19" s="48"/>
      <c r="K19" s="49"/>
      <c r="L19" s="95"/>
      <c r="M19" s="95"/>
      <c r="N19" s="95"/>
      <c r="O19" s="95"/>
      <c r="P19" s="95"/>
      <c r="Q19" s="95"/>
      <c r="R19" s="95"/>
      <c r="S19" s="95"/>
      <c r="T19" s="95"/>
      <c r="U19" s="95"/>
      <c r="V19" s="95"/>
      <c r="W19" s="95"/>
      <c r="X19" s="95"/>
      <c r="Y19" s="48"/>
      <c r="Z19" s="41"/>
    </row>
    <row r="20" spans="1:26" ht="24.75" customHeight="1" x14ac:dyDescent="0.1">
      <c r="A20" s="41"/>
      <c r="B20" s="49"/>
      <c r="C20" s="47"/>
      <c r="D20" s="47"/>
      <c r="E20" s="47"/>
      <c r="F20" s="47"/>
      <c r="G20" s="47"/>
      <c r="H20" s="47"/>
      <c r="I20" s="47"/>
      <c r="J20" s="48"/>
      <c r="K20" s="49"/>
      <c r="L20" s="95"/>
      <c r="M20" s="95"/>
      <c r="N20" s="95"/>
      <c r="O20" s="95"/>
      <c r="P20" s="95"/>
      <c r="Q20" s="95"/>
      <c r="R20" s="95"/>
      <c r="S20" s="95"/>
      <c r="T20" s="95"/>
      <c r="U20" s="95"/>
      <c r="V20" s="95"/>
      <c r="W20" s="95"/>
      <c r="X20" s="95"/>
      <c r="Y20" s="48"/>
      <c r="Z20" s="41"/>
    </row>
    <row r="21" spans="1:26" ht="96" customHeight="1" x14ac:dyDescent="0.1">
      <c r="A21" s="41"/>
      <c r="B21" s="49"/>
      <c r="C21" s="47"/>
      <c r="D21" s="47"/>
      <c r="E21" s="47"/>
      <c r="F21" s="47"/>
      <c r="G21" s="47"/>
      <c r="H21" s="47"/>
      <c r="I21" s="47"/>
      <c r="J21" s="48"/>
      <c r="K21" s="49"/>
      <c r="L21" s="95"/>
      <c r="M21" s="95"/>
      <c r="N21" s="95"/>
      <c r="O21" s="95"/>
      <c r="P21" s="95"/>
      <c r="Q21" s="95"/>
      <c r="R21" s="95"/>
      <c r="S21" s="95"/>
      <c r="T21" s="95"/>
      <c r="U21" s="95"/>
      <c r="V21" s="95"/>
      <c r="W21" s="95"/>
      <c r="X21" s="95"/>
      <c r="Y21" s="48"/>
      <c r="Z21" s="41"/>
    </row>
    <row r="22" spans="1:26" ht="75" customHeight="1" x14ac:dyDescent="0.1">
      <c r="A22" s="41"/>
      <c r="B22" s="49"/>
      <c r="C22" s="47"/>
      <c r="D22" s="47"/>
      <c r="E22" s="47"/>
      <c r="F22" s="47"/>
      <c r="G22" s="47"/>
      <c r="H22" s="47"/>
      <c r="I22" s="47"/>
      <c r="J22" s="48"/>
      <c r="K22" s="49"/>
      <c r="L22" s="89" t="s">
        <v>108</v>
      </c>
      <c r="M22" s="89"/>
      <c r="N22" s="89"/>
      <c r="O22" s="89"/>
      <c r="P22" s="89"/>
      <c r="Q22" s="89"/>
      <c r="R22" s="89"/>
      <c r="S22" s="89"/>
      <c r="T22" s="89"/>
      <c r="U22" s="89"/>
      <c r="V22" s="89"/>
      <c r="W22" s="89"/>
      <c r="X22" s="89"/>
      <c r="Y22" s="48"/>
      <c r="Z22" s="41"/>
    </row>
    <row r="23" spans="1:26" ht="125.25" hidden="1" customHeight="1" x14ac:dyDescent="0.1">
      <c r="A23" s="41"/>
      <c r="B23" s="49"/>
      <c r="C23" s="47"/>
      <c r="D23" s="47"/>
      <c r="E23" s="47"/>
      <c r="F23" s="47"/>
      <c r="G23" s="47"/>
      <c r="H23" s="47"/>
      <c r="I23" s="47"/>
      <c r="J23" s="48"/>
      <c r="K23" s="49"/>
      <c r="L23" s="56"/>
      <c r="M23" s="56"/>
      <c r="N23" s="56"/>
      <c r="O23" s="56"/>
      <c r="P23" s="56"/>
      <c r="Q23" s="56"/>
      <c r="R23" s="56"/>
      <c r="S23" s="56"/>
      <c r="T23" s="56"/>
      <c r="U23" s="56"/>
      <c r="V23" s="56"/>
      <c r="W23" s="56"/>
      <c r="X23" s="56"/>
      <c r="Y23" s="48"/>
      <c r="Z23" s="41"/>
    </row>
    <row r="24" spans="1:26" ht="17.100000000000001" customHeight="1" x14ac:dyDescent="0.1">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100000000000001" customHeight="1" x14ac:dyDescent="0.1">
      <c r="A25" s="41"/>
      <c r="B25" s="54"/>
      <c r="C25" s="74" t="s">
        <v>84</v>
      </c>
      <c r="D25" s="74"/>
      <c r="E25" s="74"/>
      <c r="F25" s="74"/>
      <c r="G25" s="74"/>
      <c r="H25" s="74"/>
      <c r="I25" s="74"/>
      <c r="J25" s="46"/>
      <c r="K25" s="54"/>
      <c r="L25" s="74" t="s">
        <v>155</v>
      </c>
      <c r="M25" s="74"/>
      <c r="N25" s="74"/>
      <c r="O25" s="74"/>
      <c r="P25" s="74"/>
      <c r="Q25" s="74"/>
      <c r="R25" s="77"/>
      <c r="S25" s="77"/>
      <c r="T25" s="77"/>
      <c r="U25" s="77"/>
      <c r="V25" s="77"/>
      <c r="W25" s="77"/>
      <c r="X25" s="77"/>
      <c r="Y25" s="78"/>
      <c r="Z25" s="41"/>
    </row>
    <row r="26" spans="1:26" ht="17.100000000000001" customHeight="1" x14ac:dyDescent="0.1">
      <c r="A26" s="41"/>
      <c r="B26" s="51"/>
      <c r="C26" s="75"/>
      <c r="D26" s="76"/>
      <c r="E26" s="76"/>
      <c r="F26" s="76"/>
      <c r="G26" s="76"/>
      <c r="H26" s="76"/>
      <c r="I26" s="76"/>
      <c r="J26" s="53"/>
      <c r="K26" s="51"/>
      <c r="L26" s="76"/>
      <c r="M26" s="76"/>
      <c r="N26" s="76"/>
      <c r="O26" s="76"/>
      <c r="P26" s="76"/>
      <c r="Q26" s="76"/>
      <c r="R26" s="79"/>
      <c r="S26" s="79"/>
      <c r="T26" s="79"/>
      <c r="U26" s="79"/>
      <c r="V26" s="79"/>
      <c r="W26" s="79"/>
      <c r="X26" s="79"/>
      <c r="Y26" s="80"/>
      <c r="Z26" s="41"/>
    </row>
    <row r="27" spans="1:26" ht="17.100000000000001" customHeight="1" x14ac:dyDescent="0.1">
      <c r="A27" s="41"/>
      <c r="B27" s="54"/>
      <c r="C27" s="74" t="s">
        <v>85</v>
      </c>
      <c r="D27" s="81"/>
      <c r="E27" s="81"/>
      <c r="F27" s="81"/>
      <c r="G27" s="81"/>
      <c r="H27" s="81"/>
      <c r="I27" s="45"/>
      <c r="J27" s="46"/>
      <c r="K27" s="54"/>
      <c r="L27" s="45"/>
      <c r="M27" s="45"/>
      <c r="N27" s="45"/>
      <c r="O27" s="45"/>
      <c r="P27" s="45"/>
      <c r="Q27" s="45"/>
      <c r="R27" s="45"/>
      <c r="S27" s="45"/>
      <c r="T27" s="45"/>
      <c r="U27" s="45"/>
      <c r="V27" s="45"/>
      <c r="W27" s="45"/>
      <c r="X27" s="45"/>
      <c r="Y27" s="46"/>
      <c r="Z27" s="41"/>
    </row>
    <row r="28" spans="1:26" ht="17.100000000000001" customHeight="1" x14ac:dyDescent="0.1">
      <c r="A28" s="41"/>
      <c r="B28" s="49"/>
      <c r="C28" s="82"/>
      <c r="D28" s="82"/>
      <c r="E28" s="82"/>
      <c r="F28" s="82"/>
      <c r="G28" s="82"/>
      <c r="H28" s="82"/>
      <c r="I28" s="47"/>
      <c r="J28" s="48"/>
      <c r="K28" s="49"/>
      <c r="L28" s="47" t="s">
        <v>86</v>
      </c>
      <c r="M28" s="47" t="s">
        <v>87</v>
      </c>
      <c r="N28" s="47"/>
      <c r="O28" s="47"/>
      <c r="P28" s="47"/>
      <c r="Q28" s="47"/>
      <c r="R28" s="47"/>
      <c r="S28" s="47"/>
      <c r="T28" s="47"/>
      <c r="U28" s="47"/>
      <c r="V28" s="47"/>
      <c r="W28" s="47"/>
      <c r="X28" s="47"/>
      <c r="Y28" s="48"/>
      <c r="Z28" s="41"/>
    </row>
    <row r="29" spans="1:26" ht="17.100000000000001" customHeight="1" x14ac:dyDescent="0.1">
      <c r="A29" s="41"/>
      <c r="B29" s="49"/>
      <c r="C29" s="47"/>
      <c r="D29" s="47"/>
      <c r="E29" s="47"/>
      <c r="F29" s="47"/>
      <c r="G29" s="47"/>
      <c r="H29" s="47"/>
      <c r="I29" s="47"/>
      <c r="J29" s="48"/>
      <c r="K29" s="49"/>
      <c r="L29" s="47" t="s">
        <v>88</v>
      </c>
      <c r="M29" s="47" t="s">
        <v>105</v>
      </c>
      <c r="N29" s="47"/>
      <c r="O29" s="47"/>
      <c r="P29" s="47"/>
      <c r="Q29" s="47"/>
      <c r="R29" s="47"/>
      <c r="S29" s="47"/>
      <c r="T29" s="47"/>
      <c r="U29" s="47"/>
      <c r="V29" s="47"/>
      <c r="W29" s="47"/>
      <c r="X29" s="47"/>
      <c r="Y29" s="48"/>
      <c r="Z29" s="41"/>
    </row>
    <row r="30" spans="1:26" ht="17.100000000000001" customHeight="1" x14ac:dyDescent="0.1">
      <c r="A30" s="41"/>
      <c r="B30" s="49"/>
      <c r="C30" s="47"/>
      <c r="D30" s="47"/>
      <c r="E30" s="47"/>
      <c r="F30" s="47"/>
      <c r="G30" s="47"/>
      <c r="H30" s="47"/>
      <c r="I30" s="47"/>
      <c r="J30" s="48"/>
      <c r="K30" s="49"/>
      <c r="L30" s="47" t="s">
        <v>89</v>
      </c>
      <c r="M30" s="47" t="s">
        <v>90</v>
      </c>
      <c r="N30" s="47"/>
      <c r="O30" s="47"/>
      <c r="P30" s="47"/>
      <c r="Q30" s="47"/>
      <c r="R30" s="47"/>
      <c r="S30" s="47"/>
      <c r="T30" s="47"/>
      <c r="U30" s="47"/>
      <c r="V30" s="47"/>
      <c r="W30" s="47"/>
      <c r="X30" s="47"/>
      <c r="Y30" s="48"/>
      <c r="Z30" s="41"/>
    </row>
    <row r="31" spans="1:26" ht="17.100000000000001" customHeight="1" x14ac:dyDescent="0.1">
      <c r="A31" s="41"/>
      <c r="B31" s="49"/>
      <c r="C31" s="47"/>
      <c r="D31" s="47"/>
      <c r="E31" s="47"/>
      <c r="F31" s="47"/>
      <c r="G31" s="47"/>
      <c r="H31" s="47"/>
      <c r="I31" s="47"/>
      <c r="J31" s="48"/>
      <c r="K31" s="49"/>
      <c r="L31" s="47"/>
      <c r="M31" s="47" t="s">
        <v>91</v>
      </c>
      <c r="N31" s="47"/>
      <c r="O31" s="47"/>
      <c r="P31" s="47"/>
      <c r="Q31" s="47"/>
      <c r="R31" s="47"/>
      <c r="S31" s="47"/>
      <c r="T31" s="47"/>
      <c r="U31" s="47"/>
      <c r="V31" s="47"/>
      <c r="W31" s="47"/>
      <c r="X31" s="47"/>
      <c r="Y31" s="48"/>
      <c r="Z31" s="41"/>
    </row>
    <row r="32" spans="1:26" ht="5.25" customHeight="1" x14ac:dyDescent="0.1">
      <c r="A32" s="41"/>
      <c r="B32" s="51"/>
      <c r="C32" s="52"/>
      <c r="D32" s="52"/>
      <c r="E32" s="52"/>
      <c r="F32" s="52"/>
      <c r="G32" s="52"/>
      <c r="H32" s="52"/>
      <c r="I32" s="52"/>
      <c r="J32" s="53"/>
      <c r="K32" s="51"/>
      <c r="L32" s="52"/>
      <c r="M32" s="52"/>
      <c r="N32" s="52"/>
      <c r="O32" s="52"/>
      <c r="P32" s="52"/>
      <c r="Q32" s="52"/>
      <c r="R32" s="52"/>
      <c r="S32" s="52"/>
      <c r="T32" s="52"/>
      <c r="U32" s="52"/>
      <c r="V32" s="52"/>
      <c r="W32" s="52"/>
      <c r="X32" s="52"/>
      <c r="Y32" s="53"/>
      <c r="Z32" s="41"/>
    </row>
    <row r="33" spans="1:26" ht="17.100000000000001" customHeight="1" x14ac:dyDescent="0.1">
      <c r="A33" s="41"/>
      <c r="B33" s="54"/>
      <c r="C33" s="83" t="s">
        <v>92</v>
      </c>
      <c r="D33" s="84"/>
      <c r="E33" s="84"/>
      <c r="F33" s="84"/>
      <c r="G33" s="84"/>
      <c r="H33" s="84"/>
      <c r="I33" s="84"/>
      <c r="J33" s="85"/>
      <c r="K33" s="54"/>
      <c r="L33" s="45"/>
      <c r="M33" s="45"/>
      <c r="N33" s="45"/>
      <c r="O33" s="45"/>
      <c r="P33" s="45"/>
      <c r="Q33" s="45"/>
      <c r="R33" s="45"/>
      <c r="S33" s="45"/>
      <c r="T33" s="45"/>
      <c r="U33" s="45"/>
      <c r="V33" s="45"/>
      <c r="W33" s="45"/>
      <c r="X33" s="45"/>
      <c r="Y33" s="46"/>
      <c r="Z33" s="41"/>
    </row>
    <row r="34" spans="1:26" ht="17.100000000000001" customHeight="1" x14ac:dyDescent="0.1">
      <c r="A34" s="41"/>
      <c r="B34" s="49"/>
      <c r="C34" s="86"/>
      <c r="D34" s="86"/>
      <c r="E34" s="86"/>
      <c r="F34" s="86"/>
      <c r="G34" s="86"/>
      <c r="H34" s="86"/>
      <c r="I34" s="86"/>
      <c r="J34" s="87"/>
      <c r="K34" s="49"/>
      <c r="L34" s="47" t="s">
        <v>86</v>
      </c>
      <c r="M34" s="47" t="s">
        <v>93</v>
      </c>
      <c r="N34" s="47"/>
      <c r="O34" s="47"/>
      <c r="P34" s="47"/>
      <c r="Q34" s="47"/>
      <c r="R34" s="47"/>
      <c r="S34" s="47"/>
      <c r="T34" s="47"/>
      <c r="U34" s="47"/>
      <c r="V34" s="47"/>
      <c r="W34" s="47"/>
      <c r="X34" s="47"/>
      <c r="Y34" s="48"/>
      <c r="Z34" s="41"/>
    </row>
    <row r="35" spans="1:26" ht="17.100000000000001" customHeight="1" x14ac:dyDescent="0.1">
      <c r="A35" s="41"/>
      <c r="B35" s="49"/>
      <c r="C35" s="86"/>
      <c r="D35" s="86"/>
      <c r="E35" s="86"/>
      <c r="F35" s="86"/>
      <c r="G35" s="86"/>
      <c r="H35" s="86"/>
      <c r="I35" s="86"/>
      <c r="J35" s="87"/>
      <c r="K35" s="49"/>
      <c r="L35" s="47"/>
      <c r="M35" s="47" t="s">
        <v>94</v>
      </c>
      <c r="N35" s="47"/>
      <c r="O35" s="47"/>
      <c r="P35" s="47"/>
      <c r="Q35" s="47"/>
      <c r="R35" s="47"/>
      <c r="S35" s="47"/>
      <c r="T35" s="47"/>
      <c r="U35" s="47"/>
      <c r="V35" s="47"/>
      <c r="W35" s="47"/>
      <c r="X35" s="47"/>
      <c r="Y35" s="48"/>
      <c r="Z35" s="41"/>
    </row>
    <row r="36" spans="1:26" ht="17.100000000000001" customHeight="1" x14ac:dyDescent="0.1">
      <c r="A36" s="41"/>
      <c r="B36" s="49"/>
      <c r="C36" s="47"/>
      <c r="D36" s="47"/>
      <c r="E36" s="47"/>
      <c r="F36" s="47"/>
      <c r="G36" s="47"/>
      <c r="H36" s="47"/>
      <c r="I36" s="47"/>
      <c r="J36" s="48"/>
      <c r="K36" s="49"/>
      <c r="L36" s="47"/>
      <c r="M36" s="47" t="s">
        <v>157</v>
      </c>
      <c r="N36" s="47"/>
      <c r="O36" s="47"/>
      <c r="P36" s="47"/>
      <c r="Q36" s="47"/>
      <c r="R36" s="47"/>
      <c r="S36" s="47"/>
      <c r="T36" s="47"/>
      <c r="U36" s="47"/>
      <c r="V36" s="47"/>
      <c r="W36" s="47"/>
      <c r="X36" s="47"/>
      <c r="Y36" s="48"/>
      <c r="Z36" s="41"/>
    </row>
    <row r="37" spans="1:26" ht="17.100000000000001" customHeight="1" x14ac:dyDescent="0.1">
      <c r="A37" s="41"/>
      <c r="B37" s="49"/>
      <c r="C37" s="47"/>
      <c r="D37" s="47"/>
      <c r="E37" s="47"/>
      <c r="F37" s="47"/>
      <c r="G37" s="47"/>
      <c r="H37" s="47"/>
      <c r="I37" s="47"/>
      <c r="J37" s="48"/>
      <c r="K37" s="49"/>
      <c r="L37" s="47" t="s">
        <v>96</v>
      </c>
      <c r="M37" s="47" t="s">
        <v>97</v>
      </c>
      <c r="N37" s="47"/>
      <c r="O37" s="47"/>
      <c r="P37" s="47"/>
      <c r="Q37" s="47"/>
      <c r="R37" s="47"/>
      <c r="S37" s="47"/>
      <c r="T37" s="47"/>
      <c r="U37" s="47"/>
      <c r="V37" s="47"/>
      <c r="W37" s="47"/>
      <c r="X37" s="47"/>
      <c r="Y37" s="48"/>
      <c r="Z37" s="41"/>
    </row>
    <row r="38" spans="1:26" ht="17.100000000000001" customHeight="1" x14ac:dyDescent="0.1">
      <c r="A38" s="41"/>
      <c r="B38" s="49"/>
      <c r="C38" s="47"/>
      <c r="D38" s="47"/>
      <c r="E38" s="47"/>
      <c r="F38" s="47"/>
      <c r="G38" s="47"/>
      <c r="H38" s="47"/>
      <c r="I38" s="47"/>
      <c r="J38" s="48"/>
      <c r="K38" s="49"/>
      <c r="L38" s="47"/>
      <c r="M38" s="47" t="s">
        <v>106</v>
      </c>
      <c r="N38" s="47"/>
      <c r="O38" s="47"/>
      <c r="P38" s="88" t="s">
        <v>102</v>
      </c>
      <c r="Q38" s="88"/>
      <c r="R38" s="47"/>
      <c r="S38" s="47"/>
      <c r="T38" s="47"/>
      <c r="U38" s="47"/>
      <c r="V38" s="47"/>
      <c r="W38" s="47"/>
      <c r="X38" s="47"/>
      <c r="Y38" s="48"/>
      <c r="Z38" s="41"/>
    </row>
    <row r="39" spans="1:26" ht="17.100000000000001" customHeight="1" x14ac:dyDescent="0.1">
      <c r="A39" s="41"/>
      <c r="B39" s="49"/>
      <c r="C39" s="47"/>
      <c r="D39" s="47"/>
      <c r="E39" s="47"/>
      <c r="F39" s="47"/>
      <c r="G39" s="47"/>
      <c r="H39" s="47"/>
      <c r="I39" s="47"/>
      <c r="J39" s="48"/>
      <c r="K39" s="49"/>
      <c r="L39" s="47"/>
      <c r="M39" s="47" t="s">
        <v>107</v>
      </c>
      <c r="N39" s="47"/>
      <c r="O39" s="47"/>
      <c r="P39" s="88" t="s">
        <v>103</v>
      </c>
      <c r="Q39" s="88"/>
      <c r="R39" s="47"/>
      <c r="S39" s="47"/>
      <c r="T39" s="47"/>
      <c r="U39" s="47"/>
      <c r="V39" s="47"/>
      <c r="W39" s="47"/>
      <c r="X39" s="47"/>
      <c r="Y39" s="48"/>
      <c r="Z39" s="41"/>
    </row>
    <row r="40" spans="1:26" ht="17.100000000000001" customHeight="1" x14ac:dyDescent="0.1">
      <c r="A40" s="41"/>
      <c r="B40" s="51"/>
      <c r="C40" s="52"/>
      <c r="D40" s="52"/>
      <c r="E40" s="52"/>
      <c r="F40" s="52"/>
      <c r="G40" s="52"/>
      <c r="H40" s="52"/>
      <c r="I40" s="52"/>
      <c r="J40" s="53"/>
      <c r="K40" s="51"/>
      <c r="L40" s="52"/>
      <c r="M40" s="52"/>
      <c r="N40" s="52"/>
      <c r="O40" s="52"/>
      <c r="P40" s="52"/>
      <c r="Q40" s="52"/>
      <c r="R40" s="52"/>
      <c r="S40" s="52"/>
      <c r="T40" s="52"/>
      <c r="U40" s="52"/>
      <c r="V40" s="52"/>
      <c r="W40" s="52"/>
      <c r="X40" s="52"/>
      <c r="Y40" s="53"/>
      <c r="Z40" s="41"/>
    </row>
    <row r="41" spans="1:26" ht="1.5" customHeight="1" x14ac:dyDescent="0.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7.100000000000001" customHeight="1" x14ac:dyDescent="0.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7.100000000000001" customHeight="1" x14ac:dyDescent="0.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x14ac:dyDescent="0.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x14ac:dyDescent="0.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x14ac:dyDescent="0.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x14ac:dyDescent="0.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x14ac:dyDescent="0.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x14ac:dyDescent="0.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x14ac:dyDescent="0.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x14ac:dyDescent="0.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x14ac:dyDescent="0.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x14ac:dyDescent="0.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x14ac:dyDescent="0.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x14ac:dyDescent="0.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x14ac:dyDescent="0.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x14ac:dyDescent="0.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x14ac:dyDescent="0.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x14ac:dyDescent="0.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x14ac:dyDescent="0.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x14ac:dyDescent="0.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x14ac:dyDescent="0.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x14ac:dyDescent="0.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x14ac:dyDescent="0.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x14ac:dyDescent="0.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x14ac:dyDescent="0.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x14ac:dyDescent="0.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x14ac:dyDescent="0.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x14ac:dyDescent="0.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x14ac:dyDescent="0.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x14ac:dyDescent="0.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x14ac:dyDescent="0.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x14ac:dyDescent="0.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x14ac:dyDescent="0.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x14ac:dyDescent="0.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x14ac:dyDescent="0.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x14ac:dyDescent="0.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x14ac:dyDescent="0.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x14ac:dyDescent="0.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x14ac:dyDescent="0.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x14ac:dyDescent="0.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x14ac:dyDescent="0.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x14ac:dyDescent="0.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x14ac:dyDescent="0.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x14ac:dyDescent="0.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x14ac:dyDescent="0.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x14ac:dyDescent="0.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x14ac:dyDescent="0.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x14ac:dyDescent="0.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x14ac:dyDescent="0.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x14ac:dyDescent="0.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x14ac:dyDescent="0.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x14ac:dyDescent="0.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x14ac:dyDescent="0.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x14ac:dyDescent="0.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x14ac:dyDescent="0.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x14ac:dyDescent="0.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x14ac:dyDescent="0.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x14ac:dyDescent="0.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x14ac:dyDescent="0.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x14ac:dyDescent="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x14ac:dyDescent="0.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x14ac:dyDescent="0.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x14ac:dyDescent="0.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x14ac:dyDescent="0.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x14ac:dyDescent="0.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x14ac:dyDescent="0.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x14ac:dyDescent="0.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x14ac:dyDescent="0.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x14ac:dyDescent="0.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x14ac:dyDescent="0.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x14ac:dyDescent="0.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x14ac:dyDescent="0.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x14ac:dyDescent="0.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x14ac:dyDescent="0.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x14ac:dyDescent="0.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x14ac:dyDescent="0.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x14ac:dyDescent="0.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x14ac:dyDescent="0.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x14ac:dyDescent="0.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x14ac:dyDescent="0.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x14ac:dyDescent="0.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x14ac:dyDescent="0.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x14ac:dyDescent="0.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x14ac:dyDescent="0.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x14ac:dyDescent="0.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x14ac:dyDescent="0.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x14ac:dyDescent="0.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x14ac:dyDescent="0.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x14ac:dyDescent="0.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x14ac:dyDescent="0.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x14ac:dyDescent="0.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x14ac:dyDescent="0.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x14ac:dyDescent="0.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x14ac:dyDescent="0.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x14ac:dyDescent="0.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x14ac:dyDescent="0.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x14ac:dyDescent="0.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x14ac:dyDescent="0.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x14ac:dyDescent="0.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x14ac:dyDescent="0.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x14ac:dyDescent="0.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x14ac:dyDescent="0.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x14ac:dyDescent="0.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x14ac:dyDescent="0.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x14ac:dyDescent="0.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x14ac:dyDescent="0.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x14ac:dyDescent="0.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x14ac:dyDescent="0.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x14ac:dyDescent="0.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x14ac:dyDescent="0.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x14ac:dyDescent="0.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x14ac:dyDescent="0.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x14ac:dyDescent="0.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x14ac:dyDescent="0.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x14ac:dyDescent="0.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x14ac:dyDescent="0.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x14ac:dyDescent="0.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x14ac:dyDescent="0.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x14ac:dyDescent="0.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x14ac:dyDescent="0.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x14ac:dyDescent="0.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x14ac:dyDescent="0.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x14ac:dyDescent="0.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x14ac:dyDescent="0.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x14ac:dyDescent="0.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x14ac:dyDescent="0.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x14ac:dyDescent="0.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x14ac:dyDescent="0.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x14ac:dyDescent="0.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x14ac:dyDescent="0.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x14ac:dyDescent="0.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x14ac:dyDescent="0.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x14ac:dyDescent="0.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x14ac:dyDescent="0.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x14ac:dyDescent="0.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x14ac:dyDescent="0.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x14ac:dyDescent="0.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x14ac:dyDescent="0.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x14ac:dyDescent="0.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x14ac:dyDescent="0.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x14ac:dyDescent="0.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x14ac:dyDescent="0.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x14ac:dyDescent="0.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x14ac:dyDescent="0.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x14ac:dyDescent="0.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x14ac:dyDescent="0.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x14ac:dyDescent="0.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x14ac:dyDescent="0.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x14ac:dyDescent="0.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x14ac:dyDescent="0.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x14ac:dyDescent="0.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x14ac:dyDescent="0.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x14ac:dyDescent="0.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x14ac:dyDescent="0.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x14ac:dyDescent="0.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x14ac:dyDescent="0.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x14ac:dyDescent="0.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x14ac:dyDescent="0.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x14ac:dyDescent="0.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x14ac:dyDescent="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x14ac:dyDescent="0.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x14ac:dyDescent="0.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x14ac:dyDescent="0.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x14ac:dyDescent="0.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x14ac:dyDescent="0.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x14ac:dyDescent="0.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x14ac:dyDescent="0.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x14ac:dyDescent="0.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x14ac:dyDescent="0.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x14ac:dyDescent="0.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sheetData>
  <mergeCells count="13">
    <mergeCell ref="L22:X22"/>
    <mergeCell ref="E3:U3"/>
    <mergeCell ref="D9:H10"/>
    <mergeCell ref="O9:T10"/>
    <mergeCell ref="C11:H12"/>
    <mergeCell ref="L15:X21"/>
    <mergeCell ref="L12:Y14"/>
    <mergeCell ref="C25:I26"/>
    <mergeCell ref="L25:Y26"/>
    <mergeCell ref="C27:H28"/>
    <mergeCell ref="C33:J35"/>
    <mergeCell ref="P39:Q39"/>
    <mergeCell ref="P38:Q38"/>
  </mergeCells>
  <phoneticPr fontId="2"/>
  <pageMargins left="0.75" right="0.75" top="1" bottom="1" header="0.51200000000000001" footer="0.51200000000000001"/>
  <pageSetup paperSize="9" scale="88" orientation="portrait"/>
  <headerFooter alignWithMargins="0"/>
  <extLst>
    <ext xmlns:mx="http://schemas.microsoft.com/office/mac/excel/2008/main" uri="{64002731-A6B0-56B0-2670-7721B7C09600}">
      <mx:PLV Mode="0" OnePage="0" WScale="96"/>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B211"/>
  <sheetViews>
    <sheetView topLeftCell="A16" workbookViewId="0" xr3:uid="{842E5F09-E766-5B8D-85AF-A39847EA96FD}">
      <selection activeCell="O9" sqref="O9:T10"/>
    </sheetView>
  </sheetViews>
  <sheetFormatPr defaultColWidth="8.86328125" defaultRowHeight="13.5" x14ac:dyDescent="0.1"/>
  <cols>
    <col min="1" max="8" width="3.6796875" style="69" customWidth="1"/>
    <col min="9" max="9" width="0.1328125" style="69" customWidth="1"/>
    <col min="10" max="201" width="3.6796875" style="69" customWidth="1"/>
    <col min="202" max="16384" width="8.86328125" style="69"/>
  </cols>
  <sheetData>
    <row r="1" spans="1:28" ht="3.75" customHeight="1" x14ac:dyDescent="0.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100000000000001" customHeight="1" x14ac:dyDescent="0.1">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100000000000001" customHeight="1" x14ac:dyDescent="0.15">
      <c r="A3" s="41"/>
      <c r="B3" s="41"/>
      <c r="C3" s="41"/>
      <c r="D3" s="41"/>
      <c r="E3" s="90" t="s">
        <v>129</v>
      </c>
      <c r="F3" s="90"/>
      <c r="G3" s="90"/>
      <c r="H3" s="90"/>
      <c r="I3" s="90"/>
      <c r="J3" s="90"/>
      <c r="K3" s="90"/>
      <c r="L3" s="90"/>
      <c r="M3" s="90"/>
      <c r="N3" s="90"/>
      <c r="O3" s="90"/>
      <c r="P3" s="90"/>
      <c r="Q3" s="90"/>
      <c r="R3" s="90"/>
      <c r="S3" s="90"/>
      <c r="T3" s="90"/>
      <c r="U3" s="90"/>
      <c r="V3" s="41"/>
      <c r="W3" s="41"/>
      <c r="X3" s="41"/>
      <c r="Y3" s="41"/>
      <c r="Z3" s="41"/>
    </row>
    <row r="4" spans="1:28" ht="14.25" customHeight="1" x14ac:dyDescent="0.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x14ac:dyDescent="0.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100000000000001" customHeight="1" x14ac:dyDescent="0.1">
      <c r="A6" s="41"/>
      <c r="B6" s="41"/>
      <c r="C6" s="41"/>
      <c r="D6" s="41" t="s">
        <v>63</v>
      </c>
      <c r="E6" s="41"/>
      <c r="F6" s="41"/>
      <c r="G6" s="41"/>
      <c r="H6" s="41"/>
      <c r="I6" s="41" t="s">
        <v>64</v>
      </c>
      <c r="J6" s="41"/>
      <c r="K6" s="41"/>
      <c r="L6" s="41"/>
      <c r="M6" s="41"/>
      <c r="N6" s="41"/>
      <c r="O6" s="41"/>
      <c r="P6" s="41"/>
      <c r="Q6" s="41"/>
      <c r="R6" s="41"/>
      <c r="S6" s="41"/>
      <c r="T6" s="41"/>
      <c r="U6" s="41"/>
      <c r="V6" s="41"/>
      <c r="W6" s="41" t="s">
        <v>65</v>
      </c>
      <c r="X6" s="41"/>
      <c r="Y6" s="41"/>
      <c r="Z6" s="41"/>
    </row>
    <row r="7" spans="1:28" ht="17.100000000000001" customHeight="1" x14ac:dyDescent="0.1">
      <c r="A7" s="66"/>
      <c r="B7" s="41"/>
      <c r="C7" s="41"/>
      <c r="D7" s="41" t="s">
        <v>66</v>
      </c>
      <c r="E7" s="41"/>
      <c r="F7" s="41"/>
      <c r="G7" s="41"/>
      <c r="H7" s="41"/>
      <c r="I7" s="41" t="s">
        <v>111</v>
      </c>
      <c r="J7" s="41"/>
      <c r="K7" s="41"/>
      <c r="L7" s="41"/>
      <c r="M7" s="41"/>
      <c r="N7" s="41"/>
      <c r="O7" s="41"/>
      <c r="P7" s="41"/>
      <c r="Q7" s="41"/>
      <c r="R7" s="41"/>
      <c r="S7" s="41"/>
      <c r="T7" s="41"/>
      <c r="U7" s="41"/>
      <c r="V7" s="41"/>
      <c r="W7" s="41" t="s">
        <v>65</v>
      </c>
      <c r="X7" s="41"/>
      <c r="Y7" s="41"/>
      <c r="Z7" s="41"/>
    </row>
    <row r="8" spans="1:28" ht="17.100000000000001" customHeight="1" x14ac:dyDescent="0.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100000000000001" customHeight="1" x14ac:dyDescent="0.1">
      <c r="A9" s="41"/>
      <c r="B9" s="54"/>
      <c r="C9" s="45"/>
      <c r="D9" s="91" t="s">
        <v>81</v>
      </c>
      <c r="E9" s="91"/>
      <c r="F9" s="91"/>
      <c r="G9" s="91"/>
      <c r="H9" s="91"/>
      <c r="I9" s="45"/>
      <c r="J9" s="46"/>
      <c r="K9" s="45"/>
      <c r="L9" s="45"/>
      <c r="M9" s="45"/>
      <c r="N9" s="45"/>
      <c r="O9" s="91" t="s">
        <v>82</v>
      </c>
      <c r="P9" s="91"/>
      <c r="Q9" s="91"/>
      <c r="R9" s="91"/>
      <c r="S9" s="91"/>
      <c r="T9" s="91"/>
      <c r="U9" s="45"/>
      <c r="V9" s="45"/>
      <c r="W9" s="45"/>
      <c r="X9" s="45"/>
      <c r="Y9" s="46"/>
      <c r="Z9" s="41"/>
    </row>
    <row r="10" spans="1:28" ht="12.75" customHeight="1" x14ac:dyDescent="0.1">
      <c r="A10" s="41"/>
      <c r="B10" s="51"/>
      <c r="C10" s="52"/>
      <c r="D10" s="92"/>
      <c r="E10" s="92"/>
      <c r="F10" s="92"/>
      <c r="G10" s="92"/>
      <c r="H10" s="92"/>
      <c r="I10" s="52"/>
      <c r="J10" s="53"/>
      <c r="K10" s="52"/>
      <c r="L10" s="52"/>
      <c r="M10" s="52"/>
      <c r="N10" s="52"/>
      <c r="O10" s="92"/>
      <c r="P10" s="92"/>
      <c r="Q10" s="92"/>
      <c r="R10" s="92"/>
      <c r="S10" s="92"/>
      <c r="T10" s="92"/>
      <c r="U10" s="52"/>
      <c r="V10" s="52"/>
      <c r="W10" s="52"/>
      <c r="X10" s="52"/>
      <c r="Y10" s="53"/>
      <c r="Z10" s="41"/>
    </row>
    <row r="11" spans="1:28" ht="17.100000000000001" customHeight="1" x14ac:dyDescent="0.1">
      <c r="A11" s="41"/>
      <c r="B11" s="54"/>
      <c r="C11" s="74" t="s">
        <v>83</v>
      </c>
      <c r="D11" s="81"/>
      <c r="E11" s="81"/>
      <c r="F11" s="81"/>
      <c r="G11" s="81"/>
      <c r="H11" s="81"/>
      <c r="I11" s="45"/>
      <c r="J11" s="46"/>
      <c r="K11" s="54"/>
      <c r="L11" s="45"/>
      <c r="M11" s="45"/>
      <c r="N11" s="45"/>
      <c r="O11" s="45"/>
      <c r="P11" s="45"/>
      <c r="Q11" s="45"/>
      <c r="R11" s="45"/>
      <c r="S11" s="45"/>
      <c r="T11" s="45"/>
      <c r="U11" s="45"/>
      <c r="V11" s="45"/>
      <c r="W11" s="45"/>
      <c r="X11" s="45"/>
      <c r="Y11" s="46"/>
      <c r="Z11" s="41"/>
    </row>
    <row r="12" spans="1:28" ht="17.100000000000001" customHeight="1" x14ac:dyDescent="0.1">
      <c r="A12" s="41"/>
      <c r="B12" s="49"/>
      <c r="C12" s="93"/>
      <c r="D12" s="93"/>
      <c r="E12" s="93"/>
      <c r="F12" s="93"/>
      <c r="G12" s="93"/>
      <c r="H12" s="93"/>
      <c r="I12" s="47"/>
      <c r="J12" s="48"/>
      <c r="K12" s="49"/>
      <c r="L12" s="96" t="s">
        <v>98</v>
      </c>
      <c r="M12" s="96"/>
      <c r="N12" s="96"/>
      <c r="O12" s="96"/>
      <c r="P12" s="96"/>
      <c r="Q12" s="96"/>
      <c r="R12" s="96"/>
      <c r="S12" s="96"/>
      <c r="T12" s="96"/>
      <c r="U12" s="96"/>
      <c r="V12" s="96"/>
      <c r="W12" s="96"/>
      <c r="X12" s="96"/>
      <c r="Y12" s="97"/>
      <c r="Z12" s="41"/>
    </row>
    <row r="13" spans="1:28" ht="17.100000000000001" customHeight="1" x14ac:dyDescent="0.1">
      <c r="A13" s="41"/>
      <c r="B13" s="49"/>
      <c r="C13" s="67"/>
      <c r="D13" s="67"/>
      <c r="E13" s="67"/>
      <c r="F13" s="67"/>
      <c r="G13" s="67"/>
      <c r="H13" s="67"/>
      <c r="I13" s="47"/>
      <c r="J13" s="48"/>
      <c r="K13" s="49"/>
      <c r="L13" s="96"/>
      <c r="M13" s="96"/>
      <c r="N13" s="96"/>
      <c r="O13" s="96"/>
      <c r="P13" s="96"/>
      <c r="Q13" s="96"/>
      <c r="R13" s="96"/>
      <c r="S13" s="96"/>
      <c r="T13" s="96"/>
      <c r="U13" s="96"/>
      <c r="V13" s="96"/>
      <c r="W13" s="96"/>
      <c r="X13" s="96"/>
      <c r="Y13" s="97"/>
      <c r="Z13" s="41"/>
    </row>
    <row r="14" spans="1:28" ht="17.100000000000001" customHeight="1" x14ac:dyDescent="0.1">
      <c r="A14" s="41"/>
      <c r="B14" s="49"/>
      <c r="C14" s="47"/>
      <c r="D14" s="47"/>
      <c r="E14" s="47"/>
      <c r="F14" s="47"/>
      <c r="G14" s="47"/>
      <c r="H14" s="47"/>
      <c r="I14" s="47"/>
      <c r="J14" s="48"/>
      <c r="K14" s="49"/>
      <c r="L14" s="96"/>
      <c r="M14" s="96"/>
      <c r="N14" s="96"/>
      <c r="O14" s="96"/>
      <c r="P14" s="96"/>
      <c r="Q14" s="96"/>
      <c r="R14" s="96"/>
      <c r="S14" s="96"/>
      <c r="T14" s="96"/>
      <c r="U14" s="96"/>
      <c r="V14" s="96"/>
      <c r="W14" s="96"/>
      <c r="X14" s="96"/>
      <c r="Y14" s="97"/>
      <c r="Z14" s="41"/>
    </row>
    <row r="15" spans="1:28" ht="24.75" customHeight="1" x14ac:dyDescent="0.1">
      <c r="A15" s="41"/>
      <c r="B15" s="49"/>
      <c r="C15" s="47"/>
      <c r="D15" s="47"/>
      <c r="E15" s="47"/>
      <c r="F15" s="47"/>
      <c r="G15" s="47"/>
      <c r="H15" s="47"/>
      <c r="I15" s="47"/>
      <c r="J15" s="48"/>
      <c r="K15" s="49"/>
      <c r="L15" s="94" t="s">
        <v>128</v>
      </c>
      <c r="M15" s="95"/>
      <c r="N15" s="95"/>
      <c r="O15" s="95"/>
      <c r="P15" s="95"/>
      <c r="Q15" s="95"/>
      <c r="R15" s="95"/>
      <c r="S15" s="95"/>
      <c r="T15" s="95"/>
      <c r="U15" s="95"/>
      <c r="V15" s="95"/>
      <c r="W15" s="95"/>
      <c r="X15" s="95"/>
      <c r="Y15" s="48"/>
      <c r="Z15" s="41"/>
    </row>
    <row r="16" spans="1:28" ht="24.75" customHeight="1" x14ac:dyDescent="0.1">
      <c r="A16" s="41"/>
      <c r="B16" s="49"/>
      <c r="C16" s="47"/>
      <c r="D16" s="47"/>
      <c r="E16" s="47"/>
      <c r="F16" s="47"/>
      <c r="G16" s="47"/>
      <c r="H16" s="47"/>
      <c r="I16" s="47"/>
      <c r="J16" s="48"/>
      <c r="K16" s="49"/>
      <c r="L16" s="95"/>
      <c r="M16" s="95"/>
      <c r="N16" s="95"/>
      <c r="O16" s="95"/>
      <c r="P16" s="95"/>
      <c r="Q16" s="95"/>
      <c r="R16" s="95"/>
      <c r="S16" s="95"/>
      <c r="T16" s="95"/>
      <c r="U16" s="95"/>
      <c r="V16" s="95"/>
      <c r="W16" s="95"/>
      <c r="X16" s="95"/>
      <c r="Y16" s="48"/>
      <c r="Z16" s="41"/>
      <c r="AB16" s="55"/>
    </row>
    <row r="17" spans="1:26" ht="24.75" customHeight="1" x14ac:dyDescent="0.1">
      <c r="A17" s="41"/>
      <c r="B17" s="49"/>
      <c r="C17" s="47"/>
      <c r="D17" s="47"/>
      <c r="E17" s="47"/>
      <c r="F17" s="47"/>
      <c r="G17" s="47"/>
      <c r="H17" s="47"/>
      <c r="I17" s="47"/>
      <c r="J17" s="48"/>
      <c r="K17" s="49"/>
      <c r="L17" s="95"/>
      <c r="M17" s="95"/>
      <c r="N17" s="95"/>
      <c r="O17" s="95"/>
      <c r="P17" s="95"/>
      <c r="Q17" s="95"/>
      <c r="R17" s="95"/>
      <c r="S17" s="95"/>
      <c r="T17" s="95"/>
      <c r="U17" s="95"/>
      <c r="V17" s="95"/>
      <c r="W17" s="95"/>
      <c r="X17" s="95"/>
      <c r="Y17" s="48"/>
      <c r="Z17" s="41"/>
    </row>
    <row r="18" spans="1:26" ht="24.75" customHeight="1" x14ac:dyDescent="0.1">
      <c r="A18" s="41"/>
      <c r="B18" s="49"/>
      <c r="C18" s="47"/>
      <c r="D18" s="47"/>
      <c r="E18" s="47"/>
      <c r="F18" s="47"/>
      <c r="G18" s="47"/>
      <c r="H18" s="47"/>
      <c r="I18" s="47"/>
      <c r="J18" s="48"/>
      <c r="K18" s="49"/>
      <c r="L18" s="95"/>
      <c r="M18" s="95"/>
      <c r="N18" s="95"/>
      <c r="O18" s="95"/>
      <c r="P18" s="95"/>
      <c r="Q18" s="95"/>
      <c r="R18" s="95"/>
      <c r="S18" s="95"/>
      <c r="T18" s="95"/>
      <c r="U18" s="95"/>
      <c r="V18" s="95"/>
      <c r="W18" s="95"/>
      <c r="X18" s="95"/>
      <c r="Y18" s="48"/>
      <c r="Z18" s="41"/>
    </row>
    <row r="19" spans="1:26" ht="24.75" customHeight="1" x14ac:dyDescent="0.1">
      <c r="A19" s="41"/>
      <c r="B19" s="49"/>
      <c r="C19" s="47"/>
      <c r="D19" s="47"/>
      <c r="E19" s="47"/>
      <c r="F19" s="47"/>
      <c r="G19" s="47"/>
      <c r="H19" s="47"/>
      <c r="I19" s="47"/>
      <c r="J19" s="48"/>
      <c r="K19" s="49"/>
      <c r="L19" s="95"/>
      <c r="M19" s="95"/>
      <c r="N19" s="95"/>
      <c r="O19" s="95"/>
      <c r="P19" s="95"/>
      <c r="Q19" s="95"/>
      <c r="R19" s="95"/>
      <c r="S19" s="95"/>
      <c r="T19" s="95"/>
      <c r="U19" s="95"/>
      <c r="V19" s="95"/>
      <c r="W19" s="95"/>
      <c r="X19" s="95"/>
      <c r="Y19" s="48"/>
      <c r="Z19" s="41"/>
    </row>
    <row r="20" spans="1:26" ht="24.75" customHeight="1" x14ac:dyDescent="0.1">
      <c r="A20" s="41"/>
      <c r="B20" s="49"/>
      <c r="C20" s="47"/>
      <c r="D20" s="47"/>
      <c r="E20" s="47"/>
      <c r="F20" s="47"/>
      <c r="G20" s="47"/>
      <c r="H20" s="47"/>
      <c r="I20" s="47"/>
      <c r="J20" s="48"/>
      <c r="K20" s="49"/>
      <c r="L20" s="95"/>
      <c r="M20" s="95"/>
      <c r="N20" s="95"/>
      <c r="O20" s="95"/>
      <c r="P20" s="95"/>
      <c r="Q20" s="95"/>
      <c r="R20" s="95"/>
      <c r="S20" s="95"/>
      <c r="T20" s="95"/>
      <c r="U20" s="95"/>
      <c r="V20" s="95"/>
      <c r="W20" s="95"/>
      <c r="X20" s="95"/>
      <c r="Y20" s="48"/>
      <c r="Z20" s="41"/>
    </row>
    <row r="21" spans="1:26" ht="96" customHeight="1" x14ac:dyDescent="0.1">
      <c r="A21" s="41"/>
      <c r="B21" s="49"/>
      <c r="C21" s="47"/>
      <c r="D21" s="47"/>
      <c r="E21" s="47"/>
      <c r="F21" s="47"/>
      <c r="G21" s="47"/>
      <c r="H21" s="47"/>
      <c r="I21" s="47"/>
      <c r="J21" s="48"/>
      <c r="K21" s="49"/>
      <c r="L21" s="95"/>
      <c r="M21" s="95"/>
      <c r="N21" s="95"/>
      <c r="O21" s="95"/>
      <c r="P21" s="95"/>
      <c r="Q21" s="95"/>
      <c r="R21" s="95"/>
      <c r="S21" s="95"/>
      <c r="T21" s="95"/>
      <c r="U21" s="95"/>
      <c r="V21" s="95"/>
      <c r="W21" s="95"/>
      <c r="X21" s="95"/>
      <c r="Y21" s="48"/>
      <c r="Z21" s="41"/>
    </row>
    <row r="22" spans="1:26" ht="75" customHeight="1" x14ac:dyDescent="0.1">
      <c r="A22" s="41"/>
      <c r="B22" s="49"/>
      <c r="C22" s="47"/>
      <c r="D22" s="47"/>
      <c r="E22" s="47"/>
      <c r="F22" s="47"/>
      <c r="G22" s="47"/>
      <c r="H22" s="47"/>
      <c r="I22" s="47"/>
      <c r="J22" s="48"/>
      <c r="K22" s="49"/>
      <c r="L22" s="89" t="s">
        <v>108</v>
      </c>
      <c r="M22" s="89"/>
      <c r="N22" s="89"/>
      <c r="O22" s="89"/>
      <c r="P22" s="89"/>
      <c r="Q22" s="89"/>
      <c r="R22" s="89"/>
      <c r="S22" s="89"/>
      <c r="T22" s="89"/>
      <c r="U22" s="89"/>
      <c r="V22" s="89"/>
      <c r="W22" s="89"/>
      <c r="X22" s="89"/>
      <c r="Y22" s="48"/>
      <c r="Z22" s="41"/>
    </row>
    <row r="23" spans="1:26" ht="125.25" hidden="1" customHeight="1" x14ac:dyDescent="0.1">
      <c r="A23" s="41"/>
      <c r="B23" s="49"/>
      <c r="C23" s="47"/>
      <c r="D23" s="47"/>
      <c r="E23" s="47"/>
      <c r="F23" s="47"/>
      <c r="G23" s="47"/>
      <c r="H23" s="47"/>
      <c r="I23" s="47"/>
      <c r="J23" s="48"/>
      <c r="K23" s="49"/>
      <c r="L23" s="68"/>
      <c r="M23" s="68"/>
      <c r="N23" s="68"/>
      <c r="O23" s="68"/>
      <c r="P23" s="68"/>
      <c r="Q23" s="68"/>
      <c r="R23" s="68"/>
      <c r="S23" s="68"/>
      <c r="T23" s="68"/>
      <c r="U23" s="68"/>
      <c r="V23" s="68"/>
      <c r="W23" s="68"/>
      <c r="X23" s="68"/>
      <c r="Y23" s="48"/>
      <c r="Z23" s="41"/>
    </row>
    <row r="24" spans="1:26" ht="17.100000000000001" customHeight="1" x14ac:dyDescent="0.1">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100000000000001" customHeight="1" x14ac:dyDescent="0.1">
      <c r="A25" s="41"/>
      <c r="B25" s="54"/>
      <c r="C25" s="74" t="s">
        <v>84</v>
      </c>
      <c r="D25" s="74"/>
      <c r="E25" s="74"/>
      <c r="F25" s="74"/>
      <c r="G25" s="74"/>
      <c r="H25" s="74"/>
      <c r="I25" s="74"/>
      <c r="J25" s="46"/>
      <c r="K25" s="54"/>
      <c r="L25" s="74" t="s">
        <v>156</v>
      </c>
      <c r="M25" s="74"/>
      <c r="N25" s="74"/>
      <c r="O25" s="74"/>
      <c r="P25" s="74"/>
      <c r="Q25" s="74"/>
      <c r="R25" s="77"/>
      <c r="S25" s="77"/>
      <c r="T25" s="77"/>
      <c r="U25" s="77"/>
      <c r="V25" s="77"/>
      <c r="W25" s="77"/>
      <c r="X25" s="77"/>
      <c r="Y25" s="78"/>
      <c r="Z25" s="41"/>
    </row>
    <row r="26" spans="1:26" ht="17.100000000000001" customHeight="1" x14ac:dyDescent="0.1">
      <c r="A26" s="41"/>
      <c r="B26" s="51"/>
      <c r="C26" s="75"/>
      <c r="D26" s="76"/>
      <c r="E26" s="76"/>
      <c r="F26" s="76"/>
      <c r="G26" s="76"/>
      <c r="H26" s="76"/>
      <c r="I26" s="76"/>
      <c r="J26" s="53"/>
      <c r="K26" s="51"/>
      <c r="L26" s="76"/>
      <c r="M26" s="76"/>
      <c r="N26" s="76"/>
      <c r="O26" s="76"/>
      <c r="P26" s="76"/>
      <c r="Q26" s="76"/>
      <c r="R26" s="79"/>
      <c r="S26" s="79"/>
      <c r="T26" s="79"/>
      <c r="U26" s="79"/>
      <c r="V26" s="79"/>
      <c r="W26" s="79"/>
      <c r="X26" s="79"/>
      <c r="Y26" s="80"/>
      <c r="Z26" s="41"/>
    </row>
    <row r="27" spans="1:26" ht="17.100000000000001" customHeight="1" x14ac:dyDescent="0.1">
      <c r="A27" s="41"/>
      <c r="B27" s="54"/>
      <c r="C27" s="74" t="s">
        <v>85</v>
      </c>
      <c r="D27" s="81"/>
      <c r="E27" s="81"/>
      <c r="F27" s="81"/>
      <c r="G27" s="81"/>
      <c r="H27" s="81"/>
      <c r="I27" s="45"/>
      <c r="J27" s="46"/>
      <c r="K27" s="54"/>
      <c r="L27" s="45"/>
      <c r="M27" s="45"/>
      <c r="N27" s="45"/>
      <c r="O27" s="45"/>
      <c r="P27" s="45"/>
      <c r="Q27" s="45"/>
      <c r="R27" s="45"/>
      <c r="S27" s="45"/>
      <c r="T27" s="45"/>
      <c r="U27" s="45"/>
      <c r="V27" s="45"/>
      <c r="W27" s="45"/>
      <c r="X27" s="45"/>
      <c r="Y27" s="46"/>
      <c r="Z27" s="41"/>
    </row>
    <row r="28" spans="1:26" ht="17.100000000000001" customHeight="1" x14ac:dyDescent="0.1">
      <c r="A28" s="41"/>
      <c r="B28" s="49"/>
      <c r="C28" s="82"/>
      <c r="D28" s="82"/>
      <c r="E28" s="82"/>
      <c r="F28" s="82"/>
      <c r="G28" s="82"/>
      <c r="H28" s="82"/>
      <c r="I28" s="47"/>
      <c r="J28" s="48"/>
      <c r="K28" s="49"/>
      <c r="L28" s="47" t="s">
        <v>86</v>
      </c>
      <c r="M28" s="47" t="s">
        <v>87</v>
      </c>
      <c r="N28" s="47"/>
      <c r="O28" s="47"/>
      <c r="P28" s="47"/>
      <c r="Q28" s="47"/>
      <c r="R28" s="47"/>
      <c r="S28" s="47"/>
      <c r="T28" s="47"/>
      <c r="U28" s="47"/>
      <c r="V28" s="47"/>
      <c r="W28" s="47"/>
      <c r="X28" s="47"/>
      <c r="Y28" s="48"/>
      <c r="Z28" s="41"/>
    </row>
    <row r="29" spans="1:26" ht="17.100000000000001" customHeight="1" x14ac:dyDescent="0.1">
      <c r="A29" s="41"/>
      <c r="B29" s="49"/>
      <c r="C29" s="47"/>
      <c r="D29" s="47"/>
      <c r="E29" s="47"/>
      <c r="F29" s="47"/>
      <c r="G29" s="47"/>
      <c r="H29" s="47"/>
      <c r="I29" s="47"/>
      <c r="J29" s="48"/>
      <c r="K29" s="49"/>
      <c r="L29" s="47" t="s">
        <v>88</v>
      </c>
      <c r="M29" s="47" t="s">
        <v>105</v>
      </c>
      <c r="N29" s="47"/>
      <c r="O29" s="47"/>
      <c r="P29" s="47"/>
      <c r="Q29" s="47"/>
      <c r="R29" s="47"/>
      <c r="S29" s="47"/>
      <c r="T29" s="47"/>
      <c r="U29" s="47"/>
      <c r="V29" s="47"/>
      <c r="W29" s="47"/>
      <c r="X29" s="47"/>
      <c r="Y29" s="48"/>
      <c r="Z29" s="41"/>
    </row>
    <row r="30" spans="1:26" ht="17.100000000000001" customHeight="1" x14ac:dyDescent="0.1">
      <c r="A30" s="41"/>
      <c r="B30" s="49"/>
      <c r="C30" s="47"/>
      <c r="D30" s="47"/>
      <c r="E30" s="47"/>
      <c r="F30" s="47"/>
      <c r="G30" s="47"/>
      <c r="H30" s="47"/>
      <c r="I30" s="47"/>
      <c r="J30" s="48"/>
      <c r="K30" s="49"/>
      <c r="L30" s="47" t="s">
        <v>89</v>
      </c>
      <c r="M30" s="47" t="s">
        <v>90</v>
      </c>
      <c r="N30" s="47"/>
      <c r="O30" s="47"/>
      <c r="P30" s="47"/>
      <c r="Q30" s="47"/>
      <c r="R30" s="47"/>
      <c r="S30" s="47"/>
      <c r="T30" s="47"/>
      <c r="U30" s="47"/>
      <c r="V30" s="47"/>
      <c r="W30" s="47"/>
      <c r="X30" s="47"/>
      <c r="Y30" s="48"/>
      <c r="Z30" s="41"/>
    </row>
    <row r="31" spans="1:26" ht="17.100000000000001" customHeight="1" x14ac:dyDescent="0.1">
      <c r="A31" s="41"/>
      <c r="B31" s="49"/>
      <c r="C31" s="47"/>
      <c r="D31" s="47"/>
      <c r="E31" s="47"/>
      <c r="F31" s="47"/>
      <c r="G31" s="47"/>
      <c r="H31" s="47"/>
      <c r="I31" s="47"/>
      <c r="J31" s="48"/>
      <c r="K31" s="49"/>
      <c r="L31" s="47"/>
      <c r="M31" s="47" t="s">
        <v>91</v>
      </c>
      <c r="N31" s="47"/>
      <c r="O31" s="47"/>
      <c r="P31" s="47"/>
      <c r="Q31" s="47"/>
      <c r="R31" s="47"/>
      <c r="S31" s="47"/>
      <c r="T31" s="47"/>
      <c r="U31" s="47"/>
      <c r="V31" s="47"/>
      <c r="W31" s="47"/>
      <c r="X31" s="47"/>
      <c r="Y31" s="48"/>
      <c r="Z31" s="41"/>
    </row>
    <row r="32" spans="1:26" ht="5.25" customHeight="1" x14ac:dyDescent="0.1">
      <c r="A32" s="41"/>
      <c r="B32" s="51"/>
      <c r="C32" s="52"/>
      <c r="D32" s="52"/>
      <c r="E32" s="52"/>
      <c r="F32" s="52"/>
      <c r="G32" s="52"/>
      <c r="H32" s="52"/>
      <c r="I32" s="52"/>
      <c r="J32" s="53"/>
      <c r="K32" s="51"/>
      <c r="L32" s="52"/>
      <c r="M32" s="52"/>
      <c r="N32" s="52"/>
      <c r="O32" s="52"/>
      <c r="P32" s="52"/>
      <c r="Q32" s="52"/>
      <c r="R32" s="52"/>
      <c r="S32" s="52"/>
      <c r="T32" s="52"/>
      <c r="U32" s="52"/>
      <c r="V32" s="52"/>
      <c r="W32" s="52"/>
      <c r="X32" s="52"/>
      <c r="Y32" s="53"/>
      <c r="Z32" s="41"/>
    </row>
    <row r="33" spans="1:26" ht="17.100000000000001" customHeight="1" x14ac:dyDescent="0.1">
      <c r="A33" s="41"/>
      <c r="B33" s="54"/>
      <c r="C33" s="83" t="s">
        <v>92</v>
      </c>
      <c r="D33" s="84"/>
      <c r="E33" s="84"/>
      <c r="F33" s="84"/>
      <c r="G33" s="84"/>
      <c r="H33" s="84"/>
      <c r="I33" s="84"/>
      <c r="J33" s="85"/>
      <c r="K33" s="54"/>
      <c r="L33" s="45"/>
      <c r="M33" s="45"/>
      <c r="N33" s="45"/>
      <c r="O33" s="45"/>
      <c r="P33" s="45"/>
      <c r="Q33" s="45"/>
      <c r="R33" s="45"/>
      <c r="S33" s="45"/>
      <c r="T33" s="45"/>
      <c r="U33" s="45"/>
      <c r="V33" s="45"/>
      <c r="W33" s="45"/>
      <c r="X33" s="45"/>
      <c r="Y33" s="46"/>
      <c r="Z33" s="41"/>
    </row>
    <row r="34" spans="1:26" ht="17.100000000000001" customHeight="1" x14ac:dyDescent="0.1">
      <c r="A34" s="41"/>
      <c r="B34" s="49"/>
      <c r="C34" s="86"/>
      <c r="D34" s="86"/>
      <c r="E34" s="86"/>
      <c r="F34" s="86"/>
      <c r="G34" s="86"/>
      <c r="H34" s="86"/>
      <c r="I34" s="86"/>
      <c r="J34" s="87"/>
      <c r="K34" s="49"/>
      <c r="L34" s="47" t="s">
        <v>86</v>
      </c>
      <c r="M34" s="47" t="s">
        <v>93</v>
      </c>
      <c r="N34" s="47"/>
      <c r="O34" s="47"/>
      <c r="P34" s="47"/>
      <c r="Q34" s="47"/>
      <c r="R34" s="47"/>
      <c r="S34" s="47"/>
      <c r="T34" s="47"/>
      <c r="U34" s="47"/>
      <c r="V34" s="47"/>
      <c r="W34" s="47"/>
      <c r="X34" s="47"/>
      <c r="Y34" s="48"/>
      <c r="Z34" s="41"/>
    </row>
    <row r="35" spans="1:26" ht="17.100000000000001" customHeight="1" x14ac:dyDescent="0.1">
      <c r="A35" s="41"/>
      <c r="B35" s="49"/>
      <c r="C35" s="86"/>
      <c r="D35" s="86"/>
      <c r="E35" s="86"/>
      <c r="F35" s="86"/>
      <c r="G35" s="86"/>
      <c r="H35" s="86"/>
      <c r="I35" s="86"/>
      <c r="J35" s="87"/>
      <c r="K35" s="49"/>
      <c r="L35" s="47"/>
      <c r="M35" s="47" t="s">
        <v>94</v>
      </c>
      <c r="N35" s="47"/>
      <c r="O35" s="47"/>
      <c r="P35" s="47"/>
      <c r="Q35" s="47"/>
      <c r="R35" s="47"/>
      <c r="S35" s="47"/>
      <c r="T35" s="47"/>
      <c r="U35" s="47"/>
      <c r="V35" s="47"/>
      <c r="W35" s="47"/>
      <c r="X35" s="47"/>
      <c r="Y35" s="48"/>
      <c r="Z35" s="41"/>
    </row>
    <row r="36" spans="1:26" ht="17.100000000000001" customHeight="1" x14ac:dyDescent="0.1">
      <c r="A36" s="41"/>
      <c r="B36" s="49"/>
      <c r="C36" s="47"/>
      <c r="D36" s="47"/>
      <c r="E36" s="47"/>
      <c r="F36" s="47"/>
      <c r="G36" s="47"/>
      <c r="H36" s="47"/>
      <c r="I36" s="47"/>
      <c r="J36" s="48"/>
      <c r="K36" s="49"/>
      <c r="L36" s="47"/>
      <c r="M36" s="47" t="s">
        <v>95</v>
      </c>
      <c r="N36" s="47"/>
      <c r="O36" s="47"/>
      <c r="P36" s="47"/>
      <c r="Q36" s="47"/>
      <c r="R36" s="47"/>
      <c r="S36" s="47"/>
      <c r="T36" s="47"/>
      <c r="U36" s="47"/>
      <c r="V36" s="47"/>
      <c r="W36" s="47"/>
      <c r="X36" s="47"/>
      <c r="Y36" s="48"/>
      <c r="Z36" s="41"/>
    </row>
    <row r="37" spans="1:26" ht="17.100000000000001" customHeight="1" x14ac:dyDescent="0.1">
      <c r="A37" s="41"/>
      <c r="B37" s="49"/>
      <c r="C37" s="47"/>
      <c r="D37" s="47"/>
      <c r="E37" s="47"/>
      <c r="F37" s="47"/>
      <c r="G37" s="47"/>
      <c r="H37" s="47"/>
      <c r="I37" s="47"/>
      <c r="J37" s="48"/>
      <c r="K37" s="49"/>
      <c r="L37" s="47" t="s">
        <v>96</v>
      </c>
      <c r="M37" s="47" t="s">
        <v>97</v>
      </c>
      <c r="N37" s="47"/>
      <c r="O37" s="47"/>
      <c r="P37" s="47"/>
      <c r="Q37" s="47"/>
      <c r="R37" s="47"/>
      <c r="S37" s="47"/>
      <c r="T37" s="47"/>
      <c r="U37" s="47"/>
      <c r="V37" s="47"/>
      <c r="W37" s="47"/>
      <c r="X37" s="47"/>
      <c r="Y37" s="48"/>
      <c r="Z37" s="41"/>
    </row>
    <row r="38" spans="1:26" ht="17.100000000000001" customHeight="1" x14ac:dyDescent="0.1">
      <c r="A38" s="41"/>
      <c r="B38" s="49"/>
      <c r="C38" s="47"/>
      <c r="D38" s="47"/>
      <c r="E38" s="47"/>
      <c r="F38" s="47"/>
      <c r="G38" s="47"/>
      <c r="H38" s="47"/>
      <c r="I38" s="47"/>
      <c r="J38" s="48"/>
      <c r="K38" s="49"/>
      <c r="L38" s="47"/>
      <c r="M38" s="47" t="s">
        <v>106</v>
      </c>
      <c r="N38" s="47"/>
      <c r="O38" s="47"/>
      <c r="P38" s="88" t="s">
        <v>102</v>
      </c>
      <c r="Q38" s="88"/>
      <c r="R38" s="47"/>
      <c r="S38" s="47"/>
      <c r="T38" s="47"/>
      <c r="U38" s="47"/>
      <c r="V38" s="47"/>
      <c r="W38" s="47"/>
      <c r="X38" s="47"/>
      <c r="Y38" s="48"/>
      <c r="Z38" s="41"/>
    </row>
    <row r="39" spans="1:26" ht="17.100000000000001" customHeight="1" x14ac:dyDescent="0.1">
      <c r="A39" s="41"/>
      <c r="B39" s="49"/>
      <c r="C39" s="47"/>
      <c r="D39" s="47"/>
      <c r="E39" s="47"/>
      <c r="F39" s="47"/>
      <c r="G39" s="47"/>
      <c r="H39" s="47"/>
      <c r="I39" s="47"/>
      <c r="J39" s="48"/>
      <c r="K39" s="49"/>
      <c r="L39" s="47"/>
      <c r="M39" s="47" t="s">
        <v>107</v>
      </c>
      <c r="N39" s="47"/>
      <c r="O39" s="47"/>
      <c r="P39" s="88" t="s">
        <v>103</v>
      </c>
      <c r="Q39" s="88"/>
      <c r="R39" s="47"/>
      <c r="S39" s="47"/>
      <c r="T39" s="47"/>
      <c r="U39" s="47"/>
      <c r="V39" s="47"/>
      <c r="W39" s="47"/>
      <c r="X39" s="47"/>
      <c r="Y39" s="48"/>
      <c r="Z39" s="41"/>
    </row>
    <row r="40" spans="1:26" ht="17.100000000000001" customHeight="1" x14ac:dyDescent="0.1">
      <c r="A40" s="41"/>
      <c r="B40" s="51"/>
      <c r="C40" s="52"/>
      <c r="D40" s="52"/>
      <c r="E40" s="52"/>
      <c r="F40" s="52"/>
      <c r="G40" s="52"/>
      <c r="H40" s="52"/>
      <c r="I40" s="52"/>
      <c r="J40" s="53"/>
      <c r="K40" s="51"/>
      <c r="L40" s="52"/>
      <c r="M40" s="52"/>
      <c r="N40" s="52"/>
      <c r="O40" s="52"/>
      <c r="P40" s="52"/>
      <c r="Q40" s="52"/>
      <c r="R40" s="52"/>
      <c r="S40" s="52"/>
      <c r="T40" s="52"/>
      <c r="U40" s="52"/>
      <c r="V40" s="52"/>
      <c r="W40" s="52"/>
      <c r="X40" s="52"/>
      <c r="Y40" s="53"/>
      <c r="Z40" s="41"/>
    </row>
    <row r="41" spans="1:26" ht="1.5" customHeight="1" x14ac:dyDescent="0.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7.100000000000001" customHeight="1" x14ac:dyDescent="0.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7.100000000000001" customHeight="1" x14ac:dyDescent="0.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x14ac:dyDescent="0.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x14ac:dyDescent="0.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x14ac:dyDescent="0.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x14ac:dyDescent="0.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x14ac:dyDescent="0.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x14ac:dyDescent="0.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x14ac:dyDescent="0.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x14ac:dyDescent="0.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x14ac:dyDescent="0.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x14ac:dyDescent="0.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x14ac:dyDescent="0.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x14ac:dyDescent="0.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x14ac:dyDescent="0.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x14ac:dyDescent="0.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x14ac:dyDescent="0.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x14ac:dyDescent="0.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x14ac:dyDescent="0.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x14ac:dyDescent="0.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x14ac:dyDescent="0.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x14ac:dyDescent="0.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x14ac:dyDescent="0.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x14ac:dyDescent="0.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x14ac:dyDescent="0.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x14ac:dyDescent="0.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x14ac:dyDescent="0.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x14ac:dyDescent="0.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x14ac:dyDescent="0.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x14ac:dyDescent="0.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x14ac:dyDescent="0.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x14ac:dyDescent="0.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x14ac:dyDescent="0.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x14ac:dyDescent="0.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x14ac:dyDescent="0.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x14ac:dyDescent="0.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x14ac:dyDescent="0.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x14ac:dyDescent="0.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x14ac:dyDescent="0.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x14ac:dyDescent="0.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x14ac:dyDescent="0.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x14ac:dyDescent="0.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x14ac:dyDescent="0.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x14ac:dyDescent="0.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x14ac:dyDescent="0.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x14ac:dyDescent="0.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x14ac:dyDescent="0.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x14ac:dyDescent="0.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x14ac:dyDescent="0.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x14ac:dyDescent="0.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x14ac:dyDescent="0.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x14ac:dyDescent="0.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x14ac:dyDescent="0.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x14ac:dyDescent="0.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x14ac:dyDescent="0.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x14ac:dyDescent="0.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x14ac:dyDescent="0.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x14ac:dyDescent="0.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x14ac:dyDescent="0.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x14ac:dyDescent="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x14ac:dyDescent="0.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x14ac:dyDescent="0.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x14ac:dyDescent="0.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x14ac:dyDescent="0.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x14ac:dyDescent="0.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x14ac:dyDescent="0.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x14ac:dyDescent="0.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x14ac:dyDescent="0.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x14ac:dyDescent="0.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x14ac:dyDescent="0.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x14ac:dyDescent="0.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x14ac:dyDescent="0.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x14ac:dyDescent="0.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x14ac:dyDescent="0.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x14ac:dyDescent="0.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x14ac:dyDescent="0.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x14ac:dyDescent="0.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x14ac:dyDescent="0.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x14ac:dyDescent="0.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x14ac:dyDescent="0.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x14ac:dyDescent="0.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x14ac:dyDescent="0.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x14ac:dyDescent="0.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x14ac:dyDescent="0.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x14ac:dyDescent="0.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x14ac:dyDescent="0.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x14ac:dyDescent="0.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x14ac:dyDescent="0.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x14ac:dyDescent="0.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x14ac:dyDescent="0.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x14ac:dyDescent="0.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x14ac:dyDescent="0.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x14ac:dyDescent="0.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x14ac:dyDescent="0.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x14ac:dyDescent="0.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x14ac:dyDescent="0.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x14ac:dyDescent="0.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x14ac:dyDescent="0.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x14ac:dyDescent="0.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x14ac:dyDescent="0.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x14ac:dyDescent="0.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x14ac:dyDescent="0.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x14ac:dyDescent="0.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x14ac:dyDescent="0.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x14ac:dyDescent="0.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x14ac:dyDescent="0.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x14ac:dyDescent="0.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x14ac:dyDescent="0.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x14ac:dyDescent="0.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x14ac:dyDescent="0.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x14ac:dyDescent="0.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x14ac:dyDescent="0.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x14ac:dyDescent="0.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x14ac:dyDescent="0.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x14ac:dyDescent="0.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x14ac:dyDescent="0.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x14ac:dyDescent="0.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x14ac:dyDescent="0.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x14ac:dyDescent="0.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x14ac:dyDescent="0.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x14ac:dyDescent="0.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x14ac:dyDescent="0.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x14ac:dyDescent="0.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x14ac:dyDescent="0.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x14ac:dyDescent="0.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x14ac:dyDescent="0.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x14ac:dyDescent="0.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x14ac:dyDescent="0.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x14ac:dyDescent="0.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x14ac:dyDescent="0.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x14ac:dyDescent="0.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x14ac:dyDescent="0.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x14ac:dyDescent="0.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x14ac:dyDescent="0.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x14ac:dyDescent="0.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x14ac:dyDescent="0.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x14ac:dyDescent="0.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x14ac:dyDescent="0.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x14ac:dyDescent="0.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x14ac:dyDescent="0.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x14ac:dyDescent="0.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x14ac:dyDescent="0.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x14ac:dyDescent="0.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x14ac:dyDescent="0.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x14ac:dyDescent="0.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x14ac:dyDescent="0.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x14ac:dyDescent="0.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x14ac:dyDescent="0.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x14ac:dyDescent="0.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x14ac:dyDescent="0.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x14ac:dyDescent="0.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x14ac:dyDescent="0.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x14ac:dyDescent="0.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x14ac:dyDescent="0.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x14ac:dyDescent="0.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x14ac:dyDescent="0.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x14ac:dyDescent="0.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x14ac:dyDescent="0.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x14ac:dyDescent="0.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x14ac:dyDescent="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x14ac:dyDescent="0.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x14ac:dyDescent="0.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x14ac:dyDescent="0.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x14ac:dyDescent="0.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x14ac:dyDescent="0.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x14ac:dyDescent="0.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x14ac:dyDescent="0.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x14ac:dyDescent="0.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x14ac:dyDescent="0.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x14ac:dyDescent="0.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sheetData>
  <mergeCells count="13">
    <mergeCell ref="P39:Q39"/>
    <mergeCell ref="L22:X22"/>
    <mergeCell ref="C25:I26"/>
    <mergeCell ref="L25:Y26"/>
    <mergeCell ref="C27:H28"/>
    <mergeCell ref="C33:J35"/>
    <mergeCell ref="P38:Q38"/>
    <mergeCell ref="L15:X21"/>
    <mergeCell ref="E3:U3"/>
    <mergeCell ref="D9:H10"/>
    <mergeCell ref="O9:T10"/>
    <mergeCell ref="C11:H12"/>
    <mergeCell ref="L12:Y14"/>
  </mergeCells>
  <phoneticPr fontId="2"/>
  <pageMargins left="0.75" right="0.75" top="1" bottom="1" header="0.51200000000000001" footer="0.51200000000000001"/>
  <pageSetup paperSize="9" scale="88" orientation="portrait"/>
  <headerFooter alignWithMargins="0"/>
  <extLst>
    <ext xmlns:mx="http://schemas.microsoft.com/office/mac/excel/2008/main" uri="{64002731-A6B0-56B0-2670-7721B7C09600}">
      <mx:PLV Mode="0" OnePage="0" WScale="96"/>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F187"/>
  <sheetViews>
    <sheetView tabSelected="1" topLeftCell="A10" workbookViewId="0" xr3:uid="{51F8DEE0-4D01-5F28-A812-FC0BD7CAC4A5}">
      <selection activeCell="C25" sqref="C25"/>
    </sheetView>
  </sheetViews>
  <sheetFormatPr defaultColWidth="8.86328125" defaultRowHeight="25.5" customHeight="1" x14ac:dyDescent="0.1"/>
  <cols>
    <col min="1" max="1" width="1.49609375" customWidth="1"/>
    <col min="2" max="200" width="3.6796875" customWidth="1"/>
  </cols>
  <sheetData>
    <row r="1" spans="1:32" ht="25.5" customHeight="1" x14ac:dyDescent="0.1">
      <c r="A1" s="41"/>
      <c r="B1" s="41"/>
      <c r="C1" s="41"/>
      <c r="D1" s="41"/>
      <c r="E1" s="41"/>
      <c r="F1" s="41"/>
      <c r="G1" s="41"/>
      <c r="H1" s="41"/>
      <c r="I1" s="41"/>
      <c r="J1" s="41"/>
      <c r="K1" s="41"/>
      <c r="L1" s="41"/>
      <c r="M1" s="41"/>
      <c r="N1" s="41"/>
      <c r="O1" s="41"/>
      <c r="P1" s="41"/>
      <c r="Q1" s="41"/>
      <c r="R1" s="41"/>
      <c r="S1" s="41"/>
      <c r="T1" s="41"/>
      <c r="U1" s="41"/>
      <c r="V1" s="41"/>
      <c r="W1" s="41"/>
      <c r="X1" s="41"/>
    </row>
    <row r="2" spans="1:32" ht="25.5" customHeight="1" x14ac:dyDescent="0.1">
      <c r="A2" s="41"/>
      <c r="B2" s="41"/>
      <c r="C2" s="41"/>
      <c r="D2" s="41"/>
      <c r="E2" s="41"/>
      <c r="F2" s="41"/>
      <c r="G2" s="41"/>
      <c r="H2" s="41"/>
      <c r="I2" s="41"/>
      <c r="J2" s="41"/>
      <c r="K2" s="41"/>
      <c r="L2" s="41"/>
      <c r="M2" s="41"/>
      <c r="N2" s="41"/>
      <c r="O2" s="41"/>
      <c r="P2" s="41"/>
      <c r="Q2" s="41"/>
      <c r="R2" s="41"/>
      <c r="S2" s="41"/>
      <c r="T2" s="41"/>
      <c r="U2" s="41"/>
      <c r="V2" s="41"/>
      <c r="W2" s="41"/>
      <c r="X2" s="41"/>
    </row>
    <row r="3" spans="1:32" ht="25.5" customHeight="1" x14ac:dyDescent="0.15">
      <c r="A3" s="41"/>
      <c r="B3" s="41"/>
      <c r="C3" s="41"/>
      <c r="D3" s="41"/>
      <c r="E3" s="90" t="s">
        <v>62</v>
      </c>
      <c r="F3" s="90"/>
      <c r="G3" s="90"/>
      <c r="H3" s="90"/>
      <c r="I3" s="90"/>
      <c r="J3" s="90"/>
      <c r="K3" s="90"/>
      <c r="L3" s="90"/>
      <c r="M3" s="90"/>
      <c r="N3" s="90"/>
      <c r="O3" s="90"/>
      <c r="P3" s="90"/>
      <c r="Q3" s="90"/>
      <c r="R3" s="90"/>
      <c r="S3" s="90"/>
      <c r="T3" s="90"/>
      <c r="U3" s="90"/>
      <c r="V3" s="41"/>
      <c r="W3" s="41"/>
      <c r="X3" s="41"/>
    </row>
    <row r="4" spans="1:32" ht="25.5" customHeight="1" x14ac:dyDescent="0.1">
      <c r="A4" s="41"/>
      <c r="B4" s="41"/>
      <c r="C4" s="41"/>
      <c r="D4" s="41"/>
      <c r="E4" s="42"/>
      <c r="F4" s="42"/>
      <c r="G4" s="42"/>
      <c r="H4" s="42"/>
      <c r="I4" s="42"/>
      <c r="J4" s="42"/>
      <c r="K4" s="42"/>
      <c r="L4" s="42"/>
      <c r="M4" s="42"/>
      <c r="N4" s="42"/>
      <c r="O4" s="42"/>
      <c r="P4" s="42"/>
      <c r="Q4" s="42"/>
      <c r="R4" s="42"/>
      <c r="S4" s="42"/>
      <c r="T4" s="42"/>
      <c r="U4" s="42"/>
      <c r="V4" s="41"/>
      <c r="W4" s="41"/>
      <c r="X4" s="41"/>
    </row>
    <row r="5" spans="1:32" ht="25.5" customHeight="1" x14ac:dyDescent="0.1">
      <c r="A5" s="41"/>
      <c r="B5" s="41"/>
      <c r="C5" s="41"/>
      <c r="D5" s="41"/>
      <c r="E5" s="41"/>
      <c r="F5" s="41"/>
      <c r="G5" s="41"/>
      <c r="H5" s="41"/>
      <c r="I5" s="41"/>
      <c r="J5" s="41"/>
      <c r="K5" s="41"/>
      <c r="L5" s="41"/>
      <c r="M5" s="41"/>
      <c r="N5" s="41"/>
      <c r="O5" s="41"/>
      <c r="P5" s="41"/>
      <c r="Q5" s="41"/>
      <c r="R5" s="41"/>
      <c r="S5" s="41"/>
      <c r="T5" s="41"/>
      <c r="U5" s="41"/>
      <c r="V5" s="41"/>
      <c r="W5" s="41"/>
      <c r="X5" s="41"/>
    </row>
    <row r="6" spans="1:32" ht="25.5" customHeight="1" x14ac:dyDescent="0.1">
      <c r="A6" s="41"/>
      <c r="B6" s="41"/>
      <c r="C6" s="41"/>
      <c r="D6" s="41"/>
      <c r="E6" s="41"/>
      <c r="F6" s="41"/>
      <c r="G6" s="41"/>
      <c r="H6" s="41"/>
      <c r="I6" s="41"/>
      <c r="J6" s="41"/>
      <c r="K6" s="41"/>
      <c r="L6" s="41"/>
      <c r="M6" s="41"/>
      <c r="N6" s="41"/>
      <c r="O6" s="41"/>
      <c r="P6" s="41"/>
      <c r="Q6" s="41"/>
      <c r="R6" s="41"/>
      <c r="S6" s="41"/>
      <c r="T6" s="41"/>
      <c r="U6" s="41"/>
      <c r="V6" s="41"/>
      <c r="W6" s="41"/>
      <c r="X6" s="41"/>
    </row>
    <row r="7" spans="1:32" ht="25.5" customHeight="1" x14ac:dyDescent="0.1">
      <c r="A7" s="41"/>
      <c r="B7" s="43"/>
      <c r="C7" s="44"/>
      <c r="D7" s="44"/>
      <c r="E7" s="44"/>
      <c r="F7" s="44"/>
      <c r="G7" s="44"/>
      <c r="H7" s="44"/>
      <c r="I7" s="44"/>
      <c r="J7" s="44"/>
      <c r="K7" s="44"/>
      <c r="L7" s="44"/>
      <c r="M7" s="45"/>
      <c r="N7" s="45"/>
      <c r="O7" s="45"/>
      <c r="P7" s="45"/>
      <c r="Q7" s="45"/>
      <c r="R7" s="45"/>
      <c r="S7" s="45"/>
      <c r="T7" s="45"/>
      <c r="U7" s="45"/>
      <c r="V7" s="45"/>
      <c r="W7" s="45"/>
      <c r="X7" s="46"/>
    </row>
    <row r="8" spans="1:32" ht="25.5" customHeight="1" x14ac:dyDescent="0.1">
      <c r="A8" s="41"/>
      <c r="B8" s="9"/>
      <c r="C8" s="47" t="s">
        <v>30</v>
      </c>
      <c r="D8" s="47"/>
      <c r="E8" s="47"/>
      <c r="F8" s="47"/>
      <c r="G8" s="47"/>
      <c r="H8" s="47"/>
      <c r="I8" s="47"/>
      <c r="J8" s="47"/>
      <c r="K8" s="47"/>
      <c r="L8" s="47"/>
      <c r="M8" s="47"/>
      <c r="N8" s="47"/>
      <c r="O8" s="47"/>
      <c r="P8" s="47"/>
      <c r="Q8" s="47"/>
      <c r="R8" s="47"/>
      <c r="S8" s="47"/>
      <c r="T8" s="47"/>
      <c r="U8" s="47"/>
      <c r="W8" s="47" t="s">
        <v>67</v>
      </c>
      <c r="X8" s="48"/>
    </row>
    <row r="9" spans="1:32" ht="25.5" customHeight="1" x14ac:dyDescent="0.1">
      <c r="A9" s="41"/>
      <c r="B9" s="9"/>
      <c r="C9" s="47"/>
      <c r="D9" s="47"/>
      <c r="E9" s="47" t="s">
        <v>68</v>
      </c>
      <c r="F9" s="47"/>
      <c r="G9" s="47"/>
      <c r="H9" s="47"/>
      <c r="I9" s="47"/>
      <c r="J9" s="47"/>
      <c r="K9" s="47"/>
      <c r="L9" s="47"/>
      <c r="M9" s="47"/>
      <c r="N9" s="47"/>
      <c r="O9" s="47"/>
      <c r="P9" s="47"/>
      <c r="Q9" s="47"/>
      <c r="R9" s="47"/>
      <c r="S9" s="47"/>
      <c r="T9" s="47"/>
      <c r="U9" s="47"/>
      <c r="W9" s="47"/>
      <c r="X9" s="48"/>
    </row>
    <row r="10" spans="1:32" ht="25.5" customHeight="1" x14ac:dyDescent="0.1">
      <c r="A10" s="41"/>
      <c r="B10" s="9"/>
      <c r="C10" s="47"/>
      <c r="D10" s="47"/>
      <c r="E10" s="47"/>
      <c r="F10" s="47" t="s">
        <v>69</v>
      </c>
      <c r="G10" s="47"/>
      <c r="H10" s="47"/>
      <c r="I10" s="47"/>
      <c r="J10" s="47"/>
      <c r="K10" s="47"/>
      <c r="L10" s="47"/>
      <c r="M10" s="47"/>
      <c r="N10" s="47"/>
      <c r="O10" s="47"/>
      <c r="P10" s="47"/>
      <c r="Q10" s="47"/>
      <c r="R10" s="47"/>
      <c r="S10" s="47"/>
      <c r="T10" s="47"/>
      <c r="U10" s="47"/>
      <c r="W10" s="47"/>
      <c r="X10" s="48"/>
    </row>
    <row r="11" spans="1:32" ht="25.5" customHeight="1" x14ac:dyDescent="0.1">
      <c r="A11" s="41"/>
      <c r="B11" s="9"/>
      <c r="C11" s="47"/>
      <c r="D11" s="47"/>
      <c r="E11" s="47"/>
      <c r="F11" s="47" t="s">
        <v>70</v>
      </c>
      <c r="G11" s="47"/>
      <c r="H11" s="47" t="s">
        <v>71</v>
      </c>
      <c r="I11" s="47"/>
      <c r="J11" s="47"/>
      <c r="K11" s="47"/>
      <c r="L11" s="47"/>
      <c r="M11" s="47"/>
      <c r="N11" s="47"/>
      <c r="O11" s="47"/>
      <c r="P11" s="88"/>
      <c r="Q11" s="88"/>
      <c r="R11" s="88"/>
      <c r="S11" s="88"/>
      <c r="T11" s="88"/>
      <c r="U11" s="88"/>
      <c r="V11" s="88"/>
      <c r="W11" s="47" t="s">
        <v>67</v>
      </c>
      <c r="X11" s="48"/>
    </row>
    <row r="12" spans="1:32" ht="25.5" customHeight="1" x14ac:dyDescent="0.1">
      <c r="A12" s="41"/>
      <c r="B12" s="9"/>
      <c r="C12" s="47"/>
      <c r="D12" s="47"/>
      <c r="E12" s="47"/>
      <c r="F12" s="47" t="s">
        <v>72</v>
      </c>
      <c r="G12" s="47"/>
      <c r="H12" s="47" t="s">
        <v>73</v>
      </c>
      <c r="I12" s="47"/>
      <c r="J12" s="47"/>
      <c r="K12" s="47"/>
      <c r="L12" s="47"/>
      <c r="M12" s="47"/>
      <c r="N12" s="47"/>
      <c r="O12" s="47"/>
      <c r="P12" s="88" t="s">
        <v>158</v>
      </c>
      <c r="Q12" s="88"/>
      <c r="R12" s="88"/>
      <c r="S12" s="88"/>
      <c r="T12" s="88"/>
      <c r="U12" s="88"/>
      <c r="V12" s="88"/>
      <c r="W12" s="47" t="s">
        <v>67</v>
      </c>
      <c r="X12" s="48"/>
    </row>
    <row r="13" spans="1:32" ht="25.5" customHeight="1" x14ac:dyDescent="0.1">
      <c r="A13" s="41"/>
      <c r="B13" s="9"/>
      <c r="C13" s="47"/>
      <c r="D13" s="47"/>
      <c r="E13" s="47" t="s">
        <v>74</v>
      </c>
      <c r="F13" s="47"/>
      <c r="G13" s="47"/>
      <c r="H13" s="47"/>
      <c r="I13" s="47"/>
      <c r="J13" s="47"/>
      <c r="K13" s="47"/>
      <c r="L13" s="47"/>
      <c r="M13" s="47"/>
      <c r="N13" s="47"/>
      <c r="O13" s="47"/>
      <c r="P13" s="47"/>
      <c r="Q13" s="47"/>
      <c r="R13" s="47"/>
      <c r="S13" s="47"/>
      <c r="T13" s="47"/>
      <c r="U13" s="47"/>
      <c r="W13" s="47"/>
      <c r="X13" s="48"/>
    </row>
    <row r="14" spans="1:32" ht="25.5" customHeight="1" x14ac:dyDescent="0.1">
      <c r="A14" s="41"/>
      <c r="B14" s="49"/>
      <c r="C14" s="47"/>
      <c r="D14" s="47"/>
      <c r="E14" s="47"/>
      <c r="F14" s="47" t="s">
        <v>69</v>
      </c>
      <c r="G14" s="47"/>
      <c r="H14" s="47"/>
      <c r="I14" s="47"/>
      <c r="J14" s="47"/>
      <c r="K14" s="47"/>
      <c r="L14" s="47"/>
      <c r="M14" s="47"/>
      <c r="N14" s="47"/>
      <c r="O14" s="47"/>
      <c r="P14" s="47"/>
      <c r="Q14" s="47"/>
      <c r="R14" s="47"/>
      <c r="S14" s="47"/>
      <c r="T14" s="47"/>
      <c r="U14" s="47"/>
      <c r="W14" s="47"/>
      <c r="X14" s="48"/>
    </row>
    <row r="15" spans="1:32" ht="25.5" customHeight="1" x14ac:dyDescent="0.1">
      <c r="A15" s="41"/>
      <c r="B15" s="49"/>
      <c r="C15" s="47"/>
      <c r="D15" s="47"/>
      <c r="E15" s="47"/>
      <c r="F15" s="47" t="s">
        <v>70</v>
      </c>
      <c r="G15" s="47"/>
      <c r="H15" s="47" t="s">
        <v>75</v>
      </c>
      <c r="I15" s="47"/>
      <c r="J15" s="47"/>
      <c r="K15" s="47"/>
      <c r="L15" s="47"/>
      <c r="M15" s="47"/>
      <c r="N15" s="47"/>
      <c r="O15" s="47"/>
      <c r="P15" s="88" t="s">
        <v>159</v>
      </c>
      <c r="Q15" s="88"/>
      <c r="R15" s="88"/>
      <c r="S15" s="88"/>
      <c r="T15" s="88"/>
      <c r="U15" s="88"/>
      <c r="V15" s="88"/>
      <c r="W15" s="47" t="s">
        <v>67</v>
      </c>
      <c r="X15" s="48"/>
      <c r="AC15" s="98"/>
      <c r="AD15" s="98"/>
      <c r="AE15" s="98"/>
      <c r="AF15" s="98"/>
    </row>
    <row r="16" spans="1:32" ht="25.5" customHeight="1" x14ac:dyDescent="0.1">
      <c r="A16" s="41"/>
      <c r="B16" s="49"/>
      <c r="C16" s="47"/>
      <c r="D16" s="47"/>
      <c r="E16" s="47"/>
      <c r="F16" s="47" t="s">
        <v>72</v>
      </c>
      <c r="G16" s="47"/>
      <c r="H16" s="47" t="s">
        <v>76</v>
      </c>
      <c r="I16" s="47"/>
      <c r="J16" s="47"/>
      <c r="K16" s="47"/>
      <c r="L16" s="47"/>
      <c r="M16" s="47"/>
      <c r="N16" s="47"/>
      <c r="O16" s="47"/>
      <c r="P16" s="47"/>
      <c r="Q16" s="47"/>
      <c r="R16" s="47"/>
      <c r="S16" s="47"/>
      <c r="T16" s="47"/>
      <c r="U16" s="47"/>
      <c r="W16" s="47" t="s">
        <v>67</v>
      </c>
      <c r="X16" s="48"/>
    </row>
    <row r="17" spans="1:24" ht="25.5" customHeight="1" x14ac:dyDescent="0.1">
      <c r="A17" s="41"/>
      <c r="B17" s="49"/>
      <c r="C17" s="47"/>
      <c r="D17" s="47"/>
      <c r="E17" s="47"/>
      <c r="F17" s="47" t="s">
        <v>77</v>
      </c>
      <c r="G17" s="47"/>
      <c r="H17" s="47" t="s">
        <v>73</v>
      </c>
      <c r="I17" s="47"/>
      <c r="J17" s="47"/>
      <c r="K17" s="47"/>
      <c r="L17" s="47"/>
      <c r="M17" s="47"/>
      <c r="N17" s="47"/>
      <c r="O17" s="47"/>
      <c r="P17" s="47"/>
      <c r="Q17" s="47"/>
      <c r="R17" s="47"/>
      <c r="S17" s="47"/>
      <c r="T17" s="47"/>
      <c r="U17" s="47"/>
      <c r="W17" s="47" t="s">
        <v>67</v>
      </c>
      <c r="X17" s="48"/>
    </row>
    <row r="18" spans="1:24" ht="25.5" customHeight="1" x14ac:dyDescent="0.1">
      <c r="A18" s="41"/>
      <c r="B18" s="49"/>
      <c r="C18" s="47" t="s">
        <v>47</v>
      </c>
      <c r="D18" s="47"/>
      <c r="E18" s="47"/>
      <c r="F18" s="50"/>
      <c r="G18" s="47"/>
      <c r="H18" s="47"/>
      <c r="I18" s="47"/>
      <c r="J18" s="47"/>
      <c r="K18" s="47"/>
      <c r="L18" s="47"/>
      <c r="M18" s="47"/>
      <c r="N18" s="47"/>
      <c r="O18" s="47"/>
      <c r="P18" s="47"/>
      <c r="Q18" s="47"/>
      <c r="R18" s="47"/>
      <c r="S18" s="47"/>
      <c r="T18" s="47"/>
      <c r="U18" s="47"/>
      <c r="W18" s="47"/>
      <c r="X18" s="48"/>
    </row>
    <row r="19" spans="1:24" ht="25.5" customHeight="1" x14ac:dyDescent="0.1">
      <c r="A19" s="41"/>
      <c r="B19" s="49"/>
      <c r="C19" s="47"/>
      <c r="D19" s="47"/>
      <c r="E19" s="47" t="s">
        <v>78</v>
      </c>
      <c r="F19" s="47"/>
      <c r="G19" s="47"/>
      <c r="H19" s="47"/>
      <c r="I19" s="47"/>
      <c r="J19" s="47"/>
      <c r="K19" s="47"/>
      <c r="L19" s="47"/>
      <c r="M19" s="47"/>
      <c r="N19" s="47"/>
      <c r="O19" s="47"/>
      <c r="P19" s="88" t="s">
        <v>160</v>
      </c>
      <c r="Q19" s="88"/>
      <c r="R19" s="88"/>
      <c r="S19" s="88"/>
      <c r="T19" s="88"/>
      <c r="U19" s="88"/>
      <c r="V19" s="88"/>
      <c r="W19" s="47" t="s">
        <v>67</v>
      </c>
      <c r="X19" s="48"/>
    </row>
    <row r="20" spans="1:24" ht="25.5" customHeight="1" x14ac:dyDescent="0.1">
      <c r="A20" s="41"/>
      <c r="B20" s="49"/>
      <c r="C20" s="47" t="s">
        <v>79</v>
      </c>
      <c r="D20" s="47"/>
      <c r="E20" s="47"/>
      <c r="F20" s="47"/>
      <c r="G20" s="47"/>
      <c r="H20" s="47"/>
      <c r="I20" s="47"/>
      <c r="J20" s="47"/>
      <c r="K20" s="47"/>
      <c r="L20" s="47"/>
      <c r="M20" s="47"/>
      <c r="N20" s="47"/>
      <c r="O20" s="47"/>
      <c r="P20" s="88" t="s">
        <v>100</v>
      </c>
      <c r="Q20" s="88"/>
      <c r="R20" s="88"/>
      <c r="S20" s="88"/>
      <c r="T20" s="88"/>
      <c r="U20" s="88"/>
      <c r="V20" s="88"/>
      <c r="W20" s="47" t="s">
        <v>67</v>
      </c>
      <c r="X20" s="48"/>
    </row>
    <row r="21" spans="1:24" ht="25.5" customHeight="1" x14ac:dyDescent="0.1">
      <c r="A21" s="41"/>
      <c r="B21" s="49"/>
      <c r="C21" s="47"/>
      <c r="D21" s="47"/>
      <c r="E21" s="47" t="s">
        <v>80</v>
      </c>
      <c r="F21" s="47"/>
      <c r="G21" s="47"/>
      <c r="H21" s="47"/>
      <c r="I21" s="47"/>
      <c r="J21" s="47"/>
      <c r="K21" s="47"/>
      <c r="L21" s="47"/>
      <c r="M21" s="47"/>
      <c r="N21" s="47"/>
      <c r="O21" s="47"/>
      <c r="P21" s="47"/>
      <c r="Q21" s="47"/>
      <c r="R21" s="47"/>
      <c r="S21" s="47"/>
      <c r="T21" s="47"/>
      <c r="U21" s="47"/>
      <c r="V21" s="47"/>
      <c r="W21" s="47"/>
      <c r="X21" s="48"/>
    </row>
    <row r="22" spans="1:24" ht="25.5" customHeight="1" x14ac:dyDescent="0.1">
      <c r="A22" s="41"/>
      <c r="B22" s="51"/>
      <c r="C22" s="52"/>
      <c r="D22" s="52"/>
      <c r="E22" s="52"/>
      <c r="F22" s="52"/>
      <c r="G22" s="52"/>
      <c r="H22" s="52"/>
      <c r="I22" s="52"/>
      <c r="J22" s="52"/>
      <c r="K22" s="52"/>
      <c r="L22" s="52"/>
      <c r="M22" s="52"/>
      <c r="N22" s="52"/>
      <c r="O22" s="52"/>
      <c r="P22" s="52"/>
      <c r="Q22" s="52"/>
      <c r="R22" s="52"/>
      <c r="S22" s="52"/>
      <c r="T22" s="52"/>
      <c r="U22" s="52"/>
      <c r="V22" s="52"/>
      <c r="W22" s="52"/>
      <c r="X22" s="53"/>
    </row>
    <row r="23" spans="1:24" ht="25.5" customHeight="1" x14ac:dyDescent="0.1">
      <c r="A23" s="41"/>
      <c r="B23" s="41"/>
      <c r="C23" s="41"/>
      <c r="D23" s="41"/>
      <c r="E23" s="41"/>
      <c r="F23" s="41"/>
      <c r="G23" s="41"/>
      <c r="H23" s="41"/>
      <c r="I23" s="41"/>
      <c r="J23" s="41"/>
      <c r="K23" s="41"/>
      <c r="L23" s="41"/>
      <c r="M23" s="41"/>
      <c r="N23" s="41"/>
      <c r="O23" s="41"/>
      <c r="P23" s="41"/>
      <c r="Q23" s="41"/>
      <c r="R23" s="41"/>
      <c r="S23" s="41"/>
      <c r="T23" s="41"/>
      <c r="U23" s="41"/>
      <c r="V23" s="41"/>
      <c r="W23" s="41"/>
      <c r="X23" s="41"/>
    </row>
    <row r="24" spans="1:24" ht="25.5" customHeight="1" x14ac:dyDescent="0.1">
      <c r="A24" s="41"/>
      <c r="B24" s="41"/>
      <c r="C24" s="41" t="s">
        <v>161</v>
      </c>
      <c r="D24" s="41"/>
      <c r="E24" s="41"/>
      <c r="F24" s="41"/>
      <c r="G24" s="41"/>
      <c r="H24" s="41"/>
      <c r="I24" s="41"/>
      <c r="J24" s="41"/>
      <c r="K24" s="41"/>
      <c r="L24" s="41"/>
      <c r="M24" s="41"/>
      <c r="N24" s="41"/>
      <c r="O24" s="41"/>
      <c r="P24" s="41"/>
      <c r="Q24" s="41"/>
      <c r="R24" s="41"/>
      <c r="S24" s="41"/>
      <c r="T24" s="41"/>
      <c r="U24" s="41"/>
      <c r="V24" s="41"/>
      <c r="W24" s="41"/>
      <c r="X24" s="41"/>
    </row>
    <row r="25" spans="1:24" ht="25.5" customHeight="1" x14ac:dyDescent="0.1">
      <c r="A25" s="41"/>
      <c r="B25" s="41"/>
      <c r="C25" s="41" t="s">
        <v>101</v>
      </c>
      <c r="D25" s="41"/>
      <c r="E25" s="41"/>
      <c r="F25" s="41"/>
      <c r="G25" s="41"/>
      <c r="H25" s="41"/>
      <c r="I25" s="41"/>
      <c r="J25" s="41"/>
      <c r="K25" s="41"/>
      <c r="L25" s="41"/>
      <c r="M25" s="41"/>
      <c r="N25" s="41"/>
      <c r="O25" s="41"/>
      <c r="P25" s="41"/>
      <c r="Q25" s="41"/>
      <c r="R25" s="41"/>
      <c r="S25" s="41"/>
      <c r="T25" s="41"/>
      <c r="U25" s="41"/>
      <c r="V25" s="41"/>
      <c r="W25" s="41"/>
      <c r="X25" s="41"/>
    </row>
    <row r="26" spans="1:24" ht="25.5" customHeight="1" x14ac:dyDescent="0.1">
      <c r="A26" s="41"/>
      <c r="B26" s="41"/>
      <c r="C26" s="41" t="s">
        <v>153</v>
      </c>
      <c r="D26" s="41"/>
      <c r="E26" s="41"/>
      <c r="F26" s="41"/>
      <c r="G26" s="41"/>
      <c r="H26" s="41"/>
      <c r="I26" s="41"/>
      <c r="J26" s="41"/>
      <c r="K26" s="41"/>
      <c r="L26" s="41"/>
      <c r="M26" s="41"/>
      <c r="N26" s="41"/>
      <c r="O26" s="41"/>
      <c r="P26" s="41"/>
      <c r="Q26" s="41"/>
      <c r="R26" s="41"/>
      <c r="S26" s="41"/>
      <c r="T26" s="41"/>
      <c r="U26" s="41"/>
      <c r="V26" s="41"/>
      <c r="W26" s="41"/>
      <c r="X26" s="41"/>
    </row>
    <row r="27" spans="1:24" ht="25.5" customHeight="1" x14ac:dyDescent="0.1">
      <c r="A27" s="41"/>
      <c r="B27" s="41"/>
      <c r="C27" s="41" t="s">
        <v>154</v>
      </c>
      <c r="D27" s="41"/>
      <c r="E27" s="41"/>
      <c r="F27" s="41"/>
      <c r="G27" s="41"/>
      <c r="H27" s="41"/>
      <c r="I27" s="41"/>
      <c r="J27" s="41"/>
      <c r="K27" s="41"/>
      <c r="L27" s="41"/>
      <c r="M27" s="41"/>
      <c r="N27" s="41"/>
      <c r="O27" s="41"/>
      <c r="P27" s="41"/>
      <c r="Q27" s="41"/>
      <c r="R27" s="41"/>
      <c r="S27" s="41"/>
      <c r="T27" s="41"/>
      <c r="U27" s="41"/>
      <c r="V27" s="41"/>
      <c r="W27" s="41"/>
      <c r="X27" s="41"/>
    </row>
    <row r="28" spans="1:24" ht="25.5" customHeight="1" x14ac:dyDescent="0.1">
      <c r="A28" s="41"/>
      <c r="B28" s="41"/>
      <c r="C28" s="41"/>
      <c r="D28" s="41"/>
      <c r="E28" s="41"/>
      <c r="F28" s="41"/>
      <c r="G28" s="41"/>
      <c r="H28" s="41"/>
      <c r="I28" s="41"/>
      <c r="J28" s="41"/>
      <c r="K28" s="41"/>
      <c r="L28" s="41"/>
      <c r="M28" s="41"/>
      <c r="N28" s="41"/>
      <c r="O28" s="41"/>
      <c r="P28" s="41"/>
      <c r="Q28" s="41"/>
      <c r="R28" s="41"/>
      <c r="S28" s="41"/>
      <c r="T28" s="41"/>
      <c r="U28" s="41"/>
      <c r="V28" s="41"/>
      <c r="W28" s="41"/>
      <c r="X28" s="41"/>
    </row>
    <row r="29" spans="1:24" ht="25.5" customHeight="1" x14ac:dyDescent="0.1">
      <c r="A29" s="41"/>
      <c r="B29" s="41"/>
      <c r="C29" s="41"/>
      <c r="D29" s="41"/>
      <c r="E29" s="41"/>
      <c r="F29" s="41"/>
      <c r="G29" s="41"/>
      <c r="H29" s="41"/>
      <c r="I29" s="41"/>
      <c r="J29" s="41"/>
      <c r="K29" s="41"/>
      <c r="L29" s="41"/>
      <c r="M29" s="41"/>
      <c r="N29" s="41"/>
      <c r="O29" s="41"/>
      <c r="P29" s="41"/>
      <c r="Q29" s="41"/>
      <c r="R29" s="41"/>
      <c r="S29" s="41"/>
      <c r="T29" s="41"/>
      <c r="U29" s="41"/>
      <c r="V29" s="41"/>
      <c r="W29" s="41"/>
      <c r="X29" s="41"/>
    </row>
    <row r="30" spans="1:24" ht="25.5" customHeight="1" x14ac:dyDescent="0.1">
      <c r="A30" s="41"/>
      <c r="B30" s="41"/>
      <c r="C30" s="41"/>
      <c r="D30" s="41"/>
      <c r="E30" s="41"/>
      <c r="F30" s="41"/>
      <c r="G30" s="41"/>
      <c r="H30" s="41"/>
      <c r="I30" s="41"/>
      <c r="J30" s="41"/>
      <c r="K30" s="41"/>
      <c r="L30" s="41"/>
      <c r="M30" s="41"/>
      <c r="N30" s="41"/>
      <c r="O30" s="41"/>
      <c r="P30" s="41"/>
      <c r="Q30" s="41"/>
      <c r="R30" s="41"/>
      <c r="S30" s="41"/>
      <c r="T30" s="41"/>
      <c r="U30" s="41"/>
      <c r="V30" s="41"/>
      <c r="W30" s="41"/>
      <c r="X30" s="41"/>
    </row>
    <row r="31" spans="1:24" ht="25.5" customHeight="1" x14ac:dyDescent="0.1">
      <c r="A31" s="41"/>
      <c r="B31" s="41"/>
      <c r="C31" s="41"/>
      <c r="D31" s="41"/>
      <c r="E31" s="41"/>
      <c r="F31" s="41"/>
      <c r="G31" s="41"/>
      <c r="H31" s="41"/>
      <c r="I31" s="41"/>
      <c r="J31" s="41"/>
      <c r="K31" s="41"/>
      <c r="L31" s="41"/>
      <c r="M31" s="41"/>
      <c r="N31" s="41"/>
      <c r="O31" s="41"/>
      <c r="P31" s="41"/>
      <c r="Q31" s="41"/>
      <c r="R31" s="41"/>
      <c r="S31" s="41"/>
      <c r="T31" s="41"/>
      <c r="U31" s="41"/>
      <c r="V31" s="41"/>
      <c r="W31" s="41"/>
      <c r="X31" s="41"/>
    </row>
    <row r="32" spans="1:24" ht="25.5" customHeight="1" x14ac:dyDescent="0.1">
      <c r="A32" s="41"/>
      <c r="B32" s="41"/>
      <c r="C32" s="41"/>
      <c r="D32" s="41"/>
      <c r="E32" s="41"/>
      <c r="F32" s="41"/>
      <c r="G32" s="41"/>
      <c r="H32" s="41"/>
      <c r="I32" s="41"/>
      <c r="J32" s="41"/>
      <c r="K32" s="41"/>
      <c r="L32" s="41"/>
      <c r="M32" s="41"/>
      <c r="N32" s="41"/>
      <c r="O32" s="41"/>
      <c r="P32" s="41"/>
      <c r="Q32" s="41"/>
      <c r="R32" s="41"/>
      <c r="S32" s="41"/>
      <c r="T32" s="41"/>
      <c r="U32" s="41"/>
      <c r="V32" s="41"/>
      <c r="W32" s="41"/>
      <c r="X32" s="41"/>
    </row>
    <row r="33" spans="1:24" ht="25.5" customHeight="1" x14ac:dyDescent="0.1">
      <c r="A33" s="41"/>
      <c r="B33" s="41"/>
      <c r="C33" s="41"/>
      <c r="D33" s="41"/>
      <c r="E33" s="41"/>
      <c r="F33" s="41"/>
      <c r="G33" s="41"/>
      <c r="H33" s="41"/>
      <c r="I33" s="41"/>
      <c r="J33" s="41"/>
      <c r="K33" s="41"/>
      <c r="L33" s="41"/>
      <c r="M33" s="41"/>
      <c r="N33" s="41"/>
      <c r="O33" s="41"/>
      <c r="P33" s="41"/>
      <c r="Q33" s="41"/>
      <c r="R33" s="41"/>
      <c r="S33" s="41"/>
      <c r="T33" s="41"/>
      <c r="U33" s="41"/>
      <c r="V33" s="41"/>
      <c r="W33" s="41"/>
      <c r="X33" s="41"/>
    </row>
    <row r="34" spans="1:24" ht="25.5" customHeight="1" x14ac:dyDescent="0.1">
      <c r="A34" s="41"/>
      <c r="B34" s="41"/>
      <c r="C34" s="41"/>
      <c r="D34" s="41"/>
      <c r="E34" s="41"/>
      <c r="F34" s="41"/>
      <c r="G34" s="41"/>
      <c r="H34" s="41"/>
      <c r="I34" s="41"/>
      <c r="J34" s="41"/>
      <c r="K34" s="41"/>
      <c r="L34" s="41"/>
      <c r="M34" s="41"/>
      <c r="N34" s="41"/>
      <c r="O34" s="41"/>
      <c r="P34" s="41"/>
      <c r="Q34" s="41"/>
      <c r="R34" s="41"/>
      <c r="S34" s="41"/>
      <c r="T34" s="41"/>
      <c r="U34" s="41"/>
      <c r="V34" s="41"/>
      <c r="W34" s="41"/>
      <c r="X34" s="41"/>
    </row>
    <row r="35" spans="1:24" ht="25.5" customHeight="1" x14ac:dyDescent="0.1">
      <c r="A35" s="41"/>
      <c r="B35" s="41"/>
      <c r="C35" s="41"/>
      <c r="D35" s="41"/>
      <c r="E35" s="41"/>
      <c r="F35" s="41"/>
      <c r="G35" s="41"/>
      <c r="H35" s="41"/>
      <c r="I35" s="41"/>
      <c r="J35" s="41"/>
      <c r="K35" s="41"/>
      <c r="L35" s="41"/>
      <c r="M35" s="41"/>
      <c r="N35" s="41"/>
      <c r="O35" s="41"/>
      <c r="P35" s="41"/>
      <c r="Q35" s="41"/>
      <c r="R35" s="41"/>
      <c r="S35" s="41"/>
      <c r="T35" s="41"/>
      <c r="U35" s="41"/>
      <c r="V35" s="41"/>
      <c r="W35" s="41"/>
      <c r="X35" s="41"/>
    </row>
    <row r="36" spans="1:24" ht="25.5" customHeight="1" x14ac:dyDescent="0.1">
      <c r="A36" s="41"/>
      <c r="B36" s="41"/>
      <c r="C36" s="41"/>
      <c r="D36" s="41"/>
      <c r="E36" s="41"/>
      <c r="F36" s="41"/>
      <c r="G36" s="41"/>
      <c r="H36" s="41"/>
      <c r="I36" s="41"/>
      <c r="J36" s="41"/>
      <c r="K36" s="41"/>
      <c r="L36" s="41"/>
      <c r="M36" s="41"/>
      <c r="N36" s="41"/>
      <c r="O36" s="41"/>
      <c r="P36" s="41"/>
      <c r="Q36" s="41"/>
      <c r="R36" s="41"/>
      <c r="S36" s="41"/>
      <c r="T36" s="41"/>
      <c r="U36" s="41"/>
      <c r="V36" s="41"/>
      <c r="W36" s="41"/>
      <c r="X36" s="41"/>
    </row>
    <row r="37" spans="1:24" ht="25.5" customHeight="1" x14ac:dyDescent="0.1">
      <c r="A37" s="41"/>
      <c r="B37" s="41"/>
      <c r="C37" s="41"/>
      <c r="D37" s="41"/>
      <c r="E37" s="41"/>
      <c r="F37" s="41"/>
      <c r="G37" s="41"/>
      <c r="H37" s="41"/>
      <c r="I37" s="41"/>
      <c r="J37" s="41"/>
      <c r="K37" s="41"/>
      <c r="L37" s="41"/>
      <c r="M37" s="41"/>
      <c r="N37" s="41"/>
      <c r="O37" s="41"/>
      <c r="P37" s="41"/>
      <c r="Q37" s="41"/>
      <c r="R37" s="41"/>
      <c r="S37" s="41"/>
      <c r="T37" s="41"/>
      <c r="U37" s="41"/>
      <c r="V37" s="41"/>
      <c r="W37" s="41"/>
      <c r="X37" s="41"/>
    </row>
    <row r="38" spans="1:24" ht="25.5" customHeight="1" x14ac:dyDescent="0.1">
      <c r="A38" s="41"/>
      <c r="B38" s="41"/>
      <c r="C38" s="41"/>
      <c r="D38" s="41"/>
      <c r="E38" s="41"/>
      <c r="F38" s="41"/>
      <c r="G38" s="41"/>
      <c r="H38" s="41"/>
      <c r="I38" s="41"/>
      <c r="J38" s="41"/>
      <c r="K38" s="41"/>
      <c r="L38" s="41"/>
      <c r="M38" s="41"/>
      <c r="N38" s="41"/>
      <c r="O38" s="41"/>
      <c r="P38" s="41"/>
      <c r="Q38" s="41"/>
      <c r="R38" s="41"/>
      <c r="S38" s="41"/>
      <c r="T38" s="41"/>
      <c r="U38" s="41"/>
      <c r="V38" s="41"/>
      <c r="W38" s="41"/>
      <c r="X38" s="41"/>
    </row>
    <row r="39" spans="1:24" ht="25.5" customHeight="1" x14ac:dyDescent="0.1">
      <c r="A39" s="41"/>
      <c r="B39" s="41"/>
      <c r="C39" s="41"/>
      <c r="D39" s="41"/>
      <c r="E39" s="41"/>
      <c r="F39" s="41"/>
      <c r="G39" s="41"/>
      <c r="H39" s="41"/>
      <c r="I39" s="41"/>
      <c r="J39" s="41"/>
      <c r="K39" s="41"/>
      <c r="L39" s="41"/>
      <c r="M39" s="41"/>
      <c r="N39" s="41"/>
      <c r="O39" s="41"/>
      <c r="P39" s="41"/>
      <c r="Q39" s="41"/>
      <c r="R39" s="41"/>
      <c r="S39" s="41"/>
      <c r="T39" s="41"/>
      <c r="U39" s="41"/>
      <c r="V39" s="41"/>
      <c r="W39" s="41"/>
      <c r="X39" s="41"/>
    </row>
    <row r="40" spans="1:24" ht="25.5" customHeight="1" x14ac:dyDescent="0.1">
      <c r="A40" s="41"/>
      <c r="B40" s="41"/>
      <c r="C40" s="41"/>
      <c r="D40" s="41"/>
      <c r="E40" s="41"/>
      <c r="F40" s="41"/>
      <c r="G40" s="41"/>
      <c r="H40" s="41"/>
      <c r="I40" s="41"/>
      <c r="J40" s="41"/>
      <c r="K40" s="41"/>
      <c r="L40" s="41"/>
      <c r="M40" s="41"/>
      <c r="N40" s="41"/>
      <c r="O40" s="41"/>
      <c r="P40" s="41"/>
      <c r="Q40" s="41"/>
      <c r="R40" s="41"/>
      <c r="S40" s="41"/>
      <c r="T40" s="41"/>
      <c r="U40" s="41"/>
      <c r="V40" s="41"/>
      <c r="W40" s="41"/>
      <c r="X40" s="41"/>
    </row>
    <row r="41" spans="1:24" ht="25.5" customHeight="1" x14ac:dyDescent="0.1">
      <c r="A41" s="41"/>
      <c r="B41" s="41"/>
      <c r="C41" s="41"/>
      <c r="D41" s="41"/>
      <c r="E41" s="41"/>
      <c r="F41" s="41"/>
      <c r="G41" s="41"/>
      <c r="H41" s="41"/>
      <c r="I41" s="41"/>
      <c r="J41" s="41"/>
      <c r="K41" s="41"/>
      <c r="L41" s="41"/>
      <c r="M41" s="41"/>
      <c r="N41" s="41"/>
      <c r="O41" s="41"/>
      <c r="P41" s="41"/>
      <c r="Q41" s="41"/>
      <c r="R41" s="41"/>
      <c r="S41" s="41"/>
      <c r="T41" s="41"/>
      <c r="U41" s="41"/>
      <c r="V41" s="41"/>
      <c r="W41" s="41"/>
      <c r="X41" s="41"/>
    </row>
    <row r="42" spans="1:24" ht="25.5" customHeight="1" x14ac:dyDescent="0.1">
      <c r="A42" s="41"/>
      <c r="B42" s="41"/>
      <c r="C42" s="41"/>
      <c r="D42" s="41"/>
      <c r="E42" s="41"/>
      <c r="F42" s="41"/>
      <c r="G42" s="41"/>
      <c r="H42" s="41"/>
      <c r="I42" s="41"/>
      <c r="J42" s="41"/>
      <c r="K42" s="41"/>
      <c r="L42" s="41"/>
      <c r="M42" s="41"/>
      <c r="N42" s="41"/>
      <c r="O42" s="41"/>
      <c r="P42" s="41"/>
      <c r="Q42" s="41"/>
      <c r="R42" s="41"/>
      <c r="S42" s="41"/>
      <c r="T42" s="41"/>
      <c r="U42" s="41"/>
      <c r="V42" s="41"/>
      <c r="W42" s="41"/>
      <c r="X42" s="41"/>
    </row>
    <row r="43" spans="1:24" ht="25.5" customHeight="1" x14ac:dyDescent="0.1">
      <c r="A43" s="41"/>
      <c r="B43" s="41"/>
      <c r="C43" s="41"/>
      <c r="D43" s="41"/>
      <c r="E43" s="41"/>
      <c r="F43" s="41"/>
      <c r="G43" s="41"/>
      <c r="H43" s="41"/>
      <c r="I43" s="41"/>
      <c r="J43" s="41"/>
      <c r="K43" s="41"/>
      <c r="L43" s="41"/>
      <c r="M43" s="41"/>
      <c r="N43" s="41"/>
      <c r="O43" s="41"/>
      <c r="P43" s="41"/>
      <c r="Q43" s="41"/>
      <c r="R43" s="41"/>
      <c r="S43" s="41"/>
      <c r="T43" s="41"/>
      <c r="U43" s="41"/>
      <c r="V43" s="41"/>
      <c r="W43" s="41"/>
      <c r="X43" s="41"/>
    </row>
    <row r="44" spans="1:24" ht="25.5" customHeight="1" x14ac:dyDescent="0.1">
      <c r="A44" s="41"/>
      <c r="B44" s="41"/>
      <c r="C44" s="41"/>
      <c r="D44" s="41"/>
      <c r="E44" s="41"/>
      <c r="F44" s="41"/>
      <c r="G44" s="41"/>
      <c r="H44" s="41"/>
      <c r="I44" s="41"/>
      <c r="J44" s="41"/>
      <c r="K44" s="41"/>
      <c r="L44" s="41"/>
      <c r="M44" s="41"/>
      <c r="N44" s="41"/>
      <c r="O44" s="41"/>
      <c r="P44" s="41"/>
      <c r="Q44" s="41"/>
      <c r="R44" s="41"/>
      <c r="S44" s="41"/>
      <c r="T44" s="41"/>
      <c r="U44" s="41"/>
      <c r="V44" s="41"/>
      <c r="W44" s="41"/>
      <c r="X44" s="41"/>
    </row>
    <row r="45" spans="1:24" ht="25.5" customHeight="1" x14ac:dyDescent="0.1">
      <c r="A45" s="41"/>
      <c r="B45" s="41"/>
      <c r="C45" s="41"/>
      <c r="D45" s="41"/>
      <c r="E45" s="41"/>
      <c r="F45" s="41"/>
      <c r="G45" s="41"/>
      <c r="H45" s="41"/>
      <c r="I45" s="41"/>
      <c r="J45" s="41"/>
      <c r="K45" s="41"/>
      <c r="L45" s="41"/>
      <c r="M45" s="41"/>
      <c r="N45" s="41"/>
      <c r="O45" s="41"/>
      <c r="P45" s="41"/>
      <c r="Q45" s="41"/>
      <c r="R45" s="41"/>
      <c r="S45" s="41"/>
      <c r="T45" s="41"/>
      <c r="U45" s="41"/>
      <c r="V45" s="41"/>
      <c r="W45" s="41"/>
      <c r="X45" s="41"/>
    </row>
    <row r="46" spans="1:24" ht="25.5" customHeight="1" x14ac:dyDescent="0.1">
      <c r="A46" s="41"/>
      <c r="B46" s="41"/>
      <c r="C46" s="41"/>
      <c r="D46" s="41"/>
      <c r="E46" s="41"/>
      <c r="F46" s="41"/>
      <c r="G46" s="41"/>
      <c r="H46" s="41"/>
      <c r="I46" s="41"/>
      <c r="J46" s="41"/>
      <c r="K46" s="41"/>
      <c r="L46" s="41"/>
      <c r="M46" s="41"/>
      <c r="N46" s="41"/>
      <c r="O46" s="41"/>
      <c r="P46" s="41"/>
      <c r="Q46" s="41"/>
      <c r="R46" s="41"/>
      <c r="S46" s="41"/>
      <c r="T46" s="41"/>
      <c r="U46" s="41"/>
      <c r="V46" s="41"/>
      <c r="W46" s="41"/>
      <c r="X46" s="41"/>
    </row>
    <row r="47" spans="1:24" ht="25.5" customHeight="1" x14ac:dyDescent="0.1">
      <c r="A47" s="41"/>
      <c r="B47" s="41"/>
      <c r="C47" s="41"/>
      <c r="D47" s="41"/>
      <c r="E47" s="41"/>
      <c r="F47" s="41"/>
      <c r="G47" s="41"/>
      <c r="H47" s="41"/>
      <c r="I47" s="41"/>
      <c r="J47" s="41"/>
      <c r="K47" s="41"/>
      <c r="L47" s="41"/>
      <c r="M47" s="41"/>
      <c r="N47" s="41"/>
      <c r="O47" s="41"/>
      <c r="P47" s="41"/>
      <c r="Q47" s="41"/>
      <c r="R47" s="41"/>
      <c r="S47" s="41"/>
      <c r="T47" s="41"/>
      <c r="U47" s="41"/>
      <c r="V47" s="41"/>
      <c r="W47" s="41"/>
      <c r="X47" s="41"/>
    </row>
    <row r="48" spans="1:24" ht="25.5" customHeight="1" x14ac:dyDescent="0.1">
      <c r="A48" s="41"/>
      <c r="B48" s="41"/>
      <c r="C48" s="41"/>
      <c r="D48" s="41"/>
      <c r="E48" s="41"/>
      <c r="F48" s="41"/>
      <c r="G48" s="41"/>
      <c r="H48" s="41"/>
      <c r="I48" s="41"/>
      <c r="J48" s="41"/>
      <c r="K48" s="41"/>
      <c r="L48" s="41"/>
      <c r="M48" s="41"/>
      <c r="N48" s="41"/>
      <c r="O48" s="41"/>
      <c r="P48" s="41"/>
      <c r="Q48" s="41"/>
      <c r="R48" s="41"/>
      <c r="S48" s="41"/>
      <c r="T48" s="41"/>
      <c r="U48" s="41"/>
      <c r="V48" s="41"/>
      <c r="W48" s="41"/>
      <c r="X48" s="41"/>
    </row>
    <row r="49" spans="1:24" ht="25.5" customHeight="1" x14ac:dyDescent="0.1">
      <c r="A49" s="41"/>
      <c r="B49" s="41"/>
      <c r="C49" s="41"/>
      <c r="D49" s="41"/>
      <c r="E49" s="41"/>
      <c r="F49" s="41"/>
      <c r="G49" s="41"/>
      <c r="H49" s="41"/>
      <c r="I49" s="41"/>
      <c r="J49" s="41"/>
      <c r="K49" s="41"/>
      <c r="L49" s="41"/>
      <c r="M49" s="41"/>
      <c r="N49" s="41"/>
      <c r="O49" s="41"/>
      <c r="P49" s="41"/>
      <c r="Q49" s="41"/>
      <c r="R49" s="41"/>
      <c r="S49" s="41"/>
      <c r="T49" s="41"/>
      <c r="U49" s="41"/>
      <c r="V49" s="41"/>
      <c r="W49" s="41"/>
      <c r="X49" s="41"/>
    </row>
    <row r="50" spans="1:24" ht="25.5" customHeight="1" x14ac:dyDescent="0.1">
      <c r="A50" s="41"/>
      <c r="B50" s="41"/>
      <c r="C50" s="41"/>
      <c r="D50" s="41"/>
      <c r="E50" s="41"/>
      <c r="F50" s="41"/>
      <c r="G50" s="41"/>
      <c r="H50" s="41"/>
      <c r="I50" s="41"/>
      <c r="J50" s="41"/>
      <c r="K50" s="41"/>
      <c r="L50" s="41"/>
      <c r="M50" s="41"/>
      <c r="N50" s="41"/>
      <c r="O50" s="41"/>
      <c r="P50" s="41"/>
      <c r="Q50" s="41"/>
      <c r="R50" s="41"/>
      <c r="S50" s="41"/>
      <c r="T50" s="41"/>
      <c r="U50" s="41"/>
      <c r="V50" s="41"/>
      <c r="W50" s="41"/>
      <c r="X50" s="41"/>
    </row>
    <row r="51" spans="1:24" ht="25.5" customHeight="1" x14ac:dyDescent="0.1">
      <c r="A51" s="41"/>
      <c r="B51" s="41"/>
      <c r="C51" s="41"/>
      <c r="D51" s="41"/>
      <c r="E51" s="41"/>
      <c r="F51" s="41"/>
      <c r="G51" s="41"/>
      <c r="H51" s="41"/>
      <c r="I51" s="41"/>
      <c r="J51" s="41"/>
      <c r="K51" s="41"/>
      <c r="L51" s="41"/>
      <c r="M51" s="41"/>
      <c r="N51" s="41"/>
      <c r="O51" s="41"/>
      <c r="P51" s="41"/>
      <c r="Q51" s="41"/>
      <c r="R51" s="41"/>
      <c r="S51" s="41"/>
      <c r="T51" s="41"/>
      <c r="U51" s="41"/>
      <c r="V51" s="41"/>
      <c r="W51" s="41"/>
      <c r="X51" s="41"/>
    </row>
    <row r="52" spans="1:24" ht="25.5" customHeight="1" x14ac:dyDescent="0.1">
      <c r="A52" s="41"/>
      <c r="B52" s="41"/>
      <c r="C52" s="41"/>
      <c r="D52" s="41"/>
      <c r="E52" s="41"/>
      <c r="F52" s="41"/>
      <c r="G52" s="41"/>
      <c r="H52" s="41"/>
      <c r="I52" s="41"/>
      <c r="J52" s="41"/>
      <c r="K52" s="41"/>
      <c r="L52" s="41"/>
      <c r="M52" s="41"/>
      <c r="N52" s="41"/>
      <c r="O52" s="41"/>
      <c r="P52" s="41"/>
      <c r="Q52" s="41"/>
      <c r="R52" s="41"/>
      <c r="S52" s="41"/>
      <c r="T52" s="41"/>
      <c r="U52" s="41"/>
      <c r="V52" s="41"/>
      <c r="W52" s="41"/>
      <c r="X52" s="41"/>
    </row>
    <row r="53" spans="1:24" ht="25.5" customHeight="1" x14ac:dyDescent="0.1">
      <c r="A53" s="41"/>
      <c r="B53" s="41"/>
      <c r="C53" s="41"/>
      <c r="D53" s="41"/>
      <c r="E53" s="41"/>
      <c r="F53" s="41"/>
      <c r="G53" s="41"/>
      <c r="H53" s="41"/>
      <c r="I53" s="41"/>
      <c r="J53" s="41"/>
      <c r="K53" s="41"/>
      <c r="L53" s="41"/>
      <c r="M53" s="41"/>
      <c r="N53" s="41"/>
      <c r="O53" s="41"/>
      <c r="P53" s="41"/>
      <c r="Q53" s="41"/>
      <c r="R53" s="41"/>
      <c r="S53" s="41"/>
      <c r="T53" s="41"/>
      <c r="U53" s="41"/>
      <c r="V53" s="41"/>
      <c r="W53" s="41"/>
      <c r="X53" s="41"/>
    </row>
    <row r="54" spans="1:24" ht="25.5" customHeight="1" x14ac:dyDescent="0.1">
      <c r="A54" s="41"/>
      <c r="B54" s="41"/>
      <c r="C54" s="41"/>
      <c r="D54" s="41"/>
      <c r="E54" s="41"/>
      <c r="F54" s="41"/>
      <c r="G54" s="41"/>
      <c r="H54" s="41"/>
      <c r="I54" s="41"/>
      <c r="J54" s="41"/>
      <c r="K54" s="41"/>
      <c r="L54" s="41"/>
      <c r="M54" s="41"/>
      <c r="N54" s="41"/>
      <c r="O54" s="41"/>
      <c r="P54" s="41"/>
      <c r="Q54" s="41"/>
      <c r="R54" s="41"/>
      <c r="S54" s="41"/>
      <c r="T54" s="41"/>
      <c r="U54" s="41"/>
      <c r="V54" s="41"/>
      <c r="W54" s="41"/>
      <c r="X54" s="41"/>
    </row>
    <row r="55" spans="1:24" ht="25.5" customHeight="1" x14ac:dyDescent="0.1">
      <c r="A55" s="41"/>
      <c r="B55" s="41"/>
      <c r="C55" s="41"/>
      <c r="D55" s="41"/>
      <c r="E55" s="41"/>
      <c r="F55" s="41"/>
      <c r="G55" s="41"/>
      <c r="H55" s="41"/>
      <c r="I55" s="41"/>
      <c r="J55" s="41"/>
      <c r="K55" s="41"/>
      <c r="L55" s="41"/>
      <c r="M55" s="41"/>
      <c r="N55" s="41"/>
      <c r="O55" s="41"/>
      <c r="P55" s="41"/>
      <c r="Q55" s="41"/>
      <c r="R55" s="41"/>
      <c r="S55" s="41"/>
      <c r="T55" s="41"/>
      <c r="U55" s="41"/>
      <c r="V55" s="41"/>
      <c r="W55" s="41"/>
      <c r="X55" s="41"/>
    </row>
    <row r="56" spans="1:24" ht="25.5" customHeight="1" x14ac:dyDescent="0.1">
      <c r="A56" s="41"/>
      <c r="B56" s="41"/>
      <c r="C56" s="41"/>
      <c r="D56" s="41"/>
      <c r="E56" s="41"/>
      <c r="F56" s="41"/>
      <c r="G56" s="41"/>
      <c r="H56" s="41"/>
      <c r="I56" s="41"/>
      <c r="J56" s="41"/>
      <c r="K56" s="41"/>
      <c r="L56" s="41"/>
      <c r="M56" s="41"/>
      <c r="N56" s="41"/>
      <c r="O56" s="41"/>
      <c r="P56" s="41"/>
      <c r="Q56" s="41"/>
      <c r="R56" s="41"/>
      <c r="S56" s="41"/>
      <c r="T56" s="41"/>
      <c r="U56" s="41"/>
      <c r="V56" s="41"/>
      <c r="W56" s="41"/>
      <c r="X56" s="41"/>
    </row>
    <row r="57" spans="1:24" ht="25.5" customHeight="1" x14ac:dyDescent="0.1">
      <c r="A57" s="41"/>
      <c r="B57" s="41"/>
      <c r="C57" s="41"/>
      <c r="D57" s="41"/>
      <c r="E57" s="41"/>
      <c r="F57" s="41"/>
      <c r="G57" s="41"/>
      <c r="H57" s="41"/>
      <c r="I57" s="41"/>
      <c r="J57" s="41"/>
      <c r="K57" s="41"/>
      <c r="L57" s="41"/>
      <c r="M57" s="41"/>
      <c r="N57" s="41"/>
      <c r="O57" s="41"/>
      <c r="P57" s="41"/>
      <c r="Q57" s="41"/>
      <c r="R57" s="41"/>
      <c r="S57" s="41"/>
      <c r="T57" s="41"/>
      <c r="U57" s="41"/>
      <c r="V57" s="41"/>
      <c r="W57" s="41"/>
      <c r="X57" s="41"/>
    </row>
    <row r="58" spans="1:24" ht="25.5" customHeight="1" x14ac:dyDescent="0.1">
      <c r="A58" s="41"/>
      <c r="B58" s="41"/>
      <c r="C58" s="41"/>
      <c r="D58" s="41"/>
      <c r="E58" s="41"/>
      <c r="F58" s="41"/>
      <c r="G58" s="41"/>
      <c r="H58" s="41"/>
      <c r="I58" s="41"/>
      <c r="J58" s="41"/>
      <c r="K58" s="41"/>
      <c r="L58" s="41"/>
      <c r="M58" s="41"/>
      <c r="N58" s="41"/>
      <c r="O58" s="41"/>
      <c r="P58" s="41"/>
      <c r="Q58" s="41"/>
      <c r="R58" s="41"/>
      <c r="S58" s="41"/>
      <c r="T58" s="41"/>
      <c r="U58" s="41"/>
      <c r="V58" s="41"/>
      <c r="W58" s="41"/>
      <c r="X58" s="41"/>
    </row>
    <row r="59" spans="1:24" ht="25.5" customHeight="1" x14ac:dyDescent="0.1">
      <c r="A59" s="41"/>
      <c r="B59" s="41"/>
      <c r="C59" s="41"/>
      <c r="D59" s="41"/>
      <c r="E59" s="41"/>
      <c r="F59" s="41"/>
      <c r="G59" s="41"/>
      <c r="H59" s="41"/>
      <c r="I59" s="41"/>
      <c r="J59" s="41"/>
      <c r="K59" s="41"/>
      <c r="L59" s="41"/>
      <c r="M59" s="41"/>
      <c r="N59" s="41"/>
      <c r="O59" s="41"/>
      <c r="P59" s="41"/>
      <c r="Q59" s="41"/>
      <c r="R59" s="41"/>
      <c r="S59" s="41"/>
      <c r="T59" s="41"/>
      <c r="U59" s="41"/>
      <c r="V59" s="41"/>
      <c r="W59" s="41"/>
      <c r="X59" s="41"/>
    </row>
    <row r="60" spans="1:24" ht="25.5" customHeight="1" x14ac:dyDescent="0.1">
      <c r="A60" s="41"/>
      <c r="B60" s="41"/>
      <c r="C60" s="41"/>
      <c r="D60" s="41"/>
      <c r="E60" s="41"/>
      <c r="F60" s="41"/>
      <c r="G60" s="41"/>
      <c r="H60" s="41"/>
      <c r="I60" s="41"/>
      <c r="J60" s="41"/>
      <c r="K60" s="41"/>
      <c r="L60" s="41"/>
      <c r="M60" s="41"/>
      <c r="N60" s="41"/>
      <c r="O60" s="41"/>
      <c r="P60" s="41"/>
      <c r="Q60" s="41"/>
      <c r="R60" s="41"/>
      <c r="S60" s="41"/>
      <c r="T60" s="41"/>
      <c r="U60" s="41"/>
      <c r="V60" s="41"/>
      <c r="W60" s="41"/>
      <c r="X60" s="41"/>
    </row>
    <row r="61" spans="1:24" ht="25.5" customHeight="1" x14ac:dyDescent="0.1">
      <c r="A61" s="41"/>
      <c r="B61" s="41"/>
      <c r="C61" s="41"/>
      <c r="D61" s="41"/>
      <c r="E61" s="41"/>
      <c r="F61" s="41"/>
      <c r="G61" s="41"/>
      <c r="H61" s="41"/>
      <c r="I61" s="41"/>
      <c r="J61" s="41"/>
      <c r="K61" s="41"/>
      <c r="L61" s="41"/>
      <c r="M61" s="41"/>
      <c r="N61" s="41"/>
      <c r="O61" s="41"/>
      <c r="P61" s="41"/>
      <c r="Q61" s="41"/>
      <c r="R61" s="41"/>
      <c r="S61" s="41"/>
      <c r="T61" s="41"/>
      <c r="U61" s="41"/>
      <c r="V61" s="41"/>
      <c r="W61" s="41"/>
      <c r="X61" s="41"/>
    </row>
    <row r="62" spans="1:24" ht="25.5" customHeight="1" x14ac:dyDescent="0.1">
      <c r="A62" s="41"/>
      <c r="B62" s="41"/>
      <c r="C62" s="41"/>
      <c r="D62" s="41"/>
      <c r="E62" s="41"/>
      <c r="F62" s="41"/>
      <c r="G62" s="41"/>
      <c r="H62" s="41"/>
      <c r="I62" s="41"/>
      <c r="J62" s="41"/>
      <c r="K62" s="41"/>
      <c r="L62" s="41"/>
      <c r="M62" s="41"/>
      <c r="N62" s="41"/>
      <c r="O62" s="41"/>
      <c r="P62" s="41"/>
      <c r="Q62" s="41"/>
      <c r="R62" s="41"/>
      <c r="S62" s="41"/>
      <c r="T62" s="41"/>
      <c r="U62" s="41"/>
      <c r="V62" s="41"/>
      <c r="W62" s="41"/>
      <c r="X62" s="41"/>
    </row>
    <row r="63" spans="1:24" ht="25.5" customHeight="1" x14ac:dyDescent="0.1">
      <c r="A63" s="41"/>
      <c r="B63" s="41"/>
      <c r="C63" s="41"/>
      <c r="D63" s="41"/>
      <c r="E63" s="41"/>
      <c r="F63" s="41"/>
      <c r="G63" s="41"/>
      <c r="H63" s="41"/>
      <c r="I63" s="41"/>
      <c r="J63" s="41"/>
      <c r="K63" s="41"/>
      <c r="L63" s="41"/>
      <c r="M63" s="41"/>
      <c r="N63" s="41"/>
      <c r="O63" s="41"/>
      <c r="P63" s="41"/>
      <c r="Q63" s="41"/>
      <c r="R63" s="41"/>
      <c r="S63" s="41"/>
      <c r="T63" s="41"/>
      <c r="U63" s="41"/>
      <c r="V63" s="41"/>
      <c r="W63" s="41"/>
      <c r="X63" s="41"/>
    </row>
    <row r="64" spans="1:24" ht="25.5" customHeight="1" x14ac:dyDescent="0.1">
      <c r="A64" s="41"/>
      <c r="B64" s="41"/>
      <c r="C64" s="41"/>
      <c r="D64" s="41"/>
      <c r="E64" s="41"/>
      <c r="F64" s="41"/>
      <c r="G64" s="41"/>
      <c r="H64" s="41"/>
      <c r="I64" s="41"/>
      <c r="J64" s="41"/>
      <c r="K64" s="41"/>
      <c r="L64" s="41"/>
      <c r="M64" s="41"/>
      <c r="N64" s="41"/>
      <c r="O64" s="41"/>
      <c r="P64" s="41"/>
      <c r="Q64" s="41"/>
      <c r="R64" s="41"/>
      <c r="S64" s="41"/>
      <c r="T64" s="41"/>
      <c r="U64" s="41"/>
      <c r="V64" s="41"/>
      <c r="W64" s="41"/>
      <c r="X64" s="41"/>
    </row>
    <row r="65" spans="1:24" ht="25.5" customHeight="1" x14ac:dyDescent="0.1">
      <c r="A65" s="41"/>
      <c r="B65" s="41"/>
      <c r="C65" s="41"/>
      <c r="D65" s="41"/>
      <c r="E65" s="41"/>
      <c r="F65" s="41"/>
      <c r="G65" s="41"/>
      <c r="H65" s="41"/>
      <c r="I65" s="41"/>
      <c r="J65" s="41"/>
      <c r="K65" s="41"/>
      <c r="L65" s="41"/>
      <c r="M65" s="41"/>
      <c r="N65" s="41"/>
      <c r="O65" s="41"/>
      <c r="P65" s="41"/>
      <c r="Q65" s="41"/>
      <c r="R65" s="41"/>
      <c r="S65" s="41"/>
      <c r="T65" s="41"/>
      <c r="U65" s="41"/>
      <c r="V65" s="41"/>
      <c r="W65" s="41"/>
      <c r="X65" s="41"/>
    </row>
    <row r="66" spans="1:24" ht="25.5" customHeight="1" x14ac:dyDescent="0.1">
      <c r="A66" s="41"/>
      <c r="B66" s="41"/>
      <c r="C66" s="41"/>
      <c r="D66" s="41"/>
      <c r="E66" s="41"/>
      <c r="F66" s="41"/>
      <c r="G66" s="41"/>
      <c r="H66" s="41"/>
      <c r="I66" s="41"/>
      <c r="J66" s="41"/>
      <c r="K66" s="41"/>
      <c r="L66" s="41"/>
      <c r="M66" s="41"/>
      <c r="N66" s="41"/>
      <c r="O66" s="41"/>
      <c r="P66" s="41"/>
      <c r="Q66" s="41"/>
      <c r="R66" s="41"/>
      <c r="S66" s="41"/>
      <c r="T66" s="41"/>
      <c r="U66" s="41"/>
      <c r="V66" s="41"/>
      <c r="W66" s="41"/>
      <c r="X66" s="41"/>
    </row>
    <row r="67" spans="1:24" ht="25.5" customHeight="1" x14ac:dyDescent="0.1">
      <c r="A67" s="41"/>
      <c r="B67" s="41"/>
      <c r="C67" s="41"/>
      <c r="D67" s="41"/>
      <c r="E67" s="41"/>
      <c r="F67" s="41"/>
      <c r="G67" s="41"/>
      <c r="H67" s="41"/>
      <c r="I67" s="41"/>
      <c r="J67" s="41"/>
      <c r="K67" s="41"/>
      <c r="L67" s="41"/>
      <c r="M67" s="41"/>
      <c r="N67" s="41"/>
      <c r="O67" s="41"/>
      <c r="P67" s="41"/>
      <c r="Q67" s="41"/>
      <c r="R67" s="41"/>
      <c r="S67" s="41"/>
      <c r="T67" s="41"/>
      <c r="U67" s="41"/>
      <c r="V67" s="41"/>
      <c r="W67" s="41"/>
      <c r="X67" s="41"/>
    </row>
    <row r="68" spans="1:24" ht="25.5" customHeight="1" x14ac:dyDescent="0.1">
      <c r="A68" s="41"/>
      <c r="B68" s="41"/>
      <c r="C68" s="41"/>
      <c r="D68" s="41"/>
      <c r="E68" s="41"/>
      <c r="F68" s="41"/>
      <c r="G68" s="41"/>
      <c r="H68" s="41"/>
      <c r="I68" s="41"/>
      <c r="J68" s="41"/>
      <c r="K68" s="41"/>
      <c r="L68" s="41"/>
      <c r="M68" s="41"/>
      <c r="N68" s="41"/>
      <c r="O68" s="41"/>
      <c r="P68" s="41"/>
      <c r="Q68" s="41"/>
      <c r="R68" s="41"/>
      <c r="S68" s="41"/>
      <c r="T68" s="41"/>
      <c r="U68" s="41"/>
      <c r="V68" s="41"/>
      <c r="W68" s="41"/>
      <c r="X68" s="41"/>
    </row>
    <row r="69" spans="1:24" ht="25.5" customHeight="1" x14ac:dyDescent="0.1">
      <c r="A69" s="41"/>
      <c r="B69" s="41"/>
      <c r="C69" s="41"/>
      <c r="D69" s="41"/>
      <c r="E69" s="41"/>
      <c r="F69" s="41"/>
      <c r="G69" s="41"/>
      <c r="H69" s="41"/>
      <c r="I69" s="41"/>
      <c r="J69" s="41"/>
      <c r="K69" s="41"/>
      <c r="L69" s="41"/>
      <c r="M69" s="41"/>
      <c r="N69" s="41"/>
      <c r="O69" s="41"/>
      <c r="P69" s="41"/>
      <c r="Q69" s="41"/>
      <c r="R69" s="41"/>
      <c r="S69" s="41"/>
      <c r="T69" s="41"/>
      <c r="U69" s="41"/>
      <c r="V69" s="41"/>
      <c r="W69" s="41"/>
      <c r="X69" s="41"/>
    </row>
    <row r="70" spans="1:24" ht="25.5" customHeight="1" x14ac:dyDescent="0.1">
      <c r="A70" s="41"/>
      <c r="B70" s="41"/>
      <c r="C70" s="41"/>
      <c r="D70" s="41"/>
      <c r="E70" s="41"/>
      <c r="F70" s="41"/>
      <c r="G70" s="41"/>
      <c r="H70" s="41"/>
      <c r="I70" s="41"/>
      <c r="J70" s="41"/>
      <c r="K70" s="41"/>
      <c r="L70" s="41"/>
      <c r="M70" s="41"/>
      <c r="N70" s="41"/>
      <c r="O70" s="41"/>
      <c r="P70" s="41"/>
      <c r="Q70" s="41"/>
      <c r="R70" s="41"/>
      <c r="S70" s="41"/>
      <c r="T70" s="41"/>
      <c r="U70" s="41"/>
      <c r="V70" s="41"/>
      <c r="W70" s="41"/>
      <c r="X70" s="41"/>
    </row>
    <row r="71" spans="1:24" ht="25.5" customHeight="1" x14ac:dyDescent="0.1">
      <c r="A71" s="41"/>
      <c r="B71" s="41"/>
      <c r="C71" s="41"/>
      <c r="D71" s="41"/>
      <c r="E71" s="41"/>
      <c r="F71" s="41"/>
      <c r="G71" s="41"/>
      <c r="H71" s="41"/>
      <c r="I71" s="41"/>
      <c r="J71" s="41"/>
      <c r="K71" s="41"/>
      <c r="L71" s="41"/>
      <c r="M71" s="41"/>
      <c r="N71" s="41"/>
      <c r="O71" s="41"/>
      <c r="P71" s="41"/>
      <c r="Q71" s="41"/>
      <c r="R71" s="41"/>
      <c r="S71" s="41"/>
      <c r="T71" s="41"/>
      <c r="U71" s="41"/>
      <c r="V71" s="41"/>
      <c r="W71" s="41"/>
      <c r="X71" s="41"/>
    </row>
    <row r="72" spans="1:24" ht="25.5" customHeight="1" x14ac:dyDescent="0.1">
      <c r="A72" s="41"/>
      <c r="B72" s="41"/>
      <c r="C72" s="41"/>
      <c r="D72" s="41"/>
      <c r="E72" s="41"/>
      <c r="F72" s="41"/>
      <c r="G72" s="41"/>
      <c r="H72" s="41"/>
      <c r="I72" s="41"/>
      <c r="J72" s="41"/>
      <c r="K72" s="41"/>
      <c r="L72" s="41"/>
      <c r="M72" s="41"/>
      <c r="N72" s="41"/>
      <c r="O72" s="41"/>
      <c r="P72" s="41"/>
      <c r="Q72" s="41"/>
      <c r="R72" s="41"/>
      <c r="S72" s="41"/>
      <c r="T72" s="41"/>
      <c r="U72" s="41"/>
      <c r="V72" s="41"/>
      <c r="W72" s="41"/>
      <c r="X72" s="41"/>
    </row>
    <row r="73" spans="1:24" ht="25.5" customHeight="1" x14ac:dyDescent="0.1">
      <c r="A73" s="41"/>
      <c r="B73" s="41"/>
      <c r="C73" s="41"/>
      <c r="D73" s="41"/>
      <c r="E73" s="41"/>
      <c r="F73" s="41"/>
      <c r="G73" s="41"/>
      <c r="H73" s="41"/>
      <c r="I73" s="41"/>
      <c r="J73" s="41"/>
      <c r="K73" s="41"/>
      <c r="L73" s="41"/>
      <c r="M73" s="41"/>
      <c r="N73" s="41"/>
      <c r="O73" s="41"/>
      <c r="P73" s="41"/>
      <c r="Q73" s="41"/>
      <c r="R73" s="41"/>
      <c r="S73" s="41"/>
      <c r="T73" s="41"/>
      <c r="U73" s="41"/>
      <c r="V73" s="41"/>
      <c r="W73" s="41"/>
      <c r="X73" s="41"/>
    </row>
    <row r="74" spans="1:24" ht="25.5" customHeight="1" x14ac:dyDescent="0.1">
      <c r="A74" s="41"/>
      <c r="B74" s="41"/>
      <c r="C74" s="41"/>
      <c r="D74" s="41"/>
      <c r="E74" s="41"/>
      <c r="F74" s="41"/>
      <c r="G74" s="41"/>
      <c r="H74" s="41"/>
      <c r="I74" s="41"/>
      <c r="J74" s="41"/>
      <c r="K74" s="41"/>
      <c r="L74" s="41"/>
      <c r="M74" s="41"/>
      <c r="N74" s="41"/>
      <c r="O74" s="41"/>
      <c r="P74" s="41"/>
      <c r="Q74" s="41"/>
      <c r="R74" s="41"/>
      <c r="S74" s="41"/>
      <c r="T74" s="41"/>
      <c r="U74" s="41"/>
      <c r="V74" s="41"/>
      <c r="W74" s="41"/>
      <c r="X74" s="41"/>
    </row>
    <row r="75" spans="1:24" ht="25.5" customHeight="1" x14ac:dyDescent="0.1">
      <c r="A75" s="41"/>
      <c r="B75" s="41"/>
      <c r="C75" s="41"/>
      <c r="D75" s="41"/>
      <c r="E75" s="41"/>
      <c r="F75" s="41"/>
      <c r="G75" s="41"/>
      <c r="H75" s="41"/>
      <c r="I75" s="41"/>
      <c r="J75" s="41"/>
      <c r="K75" s="41"/>
      <c r="L75" s="41"/>
      <c r="M75" s="41"/>
      <c r="N75" s="41"/>
      <c r="O75" s="41"/>
      <c r="P75" s="41"/>
      <c r="Q75" s="41"/>
      <c r="R75" s="41"/>
      <c r="S75" s="41"/>
      <c r="T75" s="41"/>
      <c r="U75" s="41"/>
      <c r="V75" s="41"/>
      <c r="W75" s="41"/>
      <c r="X75" s="41"/>
    </row>
    <row r="76" spans="1:24" ht="25.5" customHeight="1" x14ac:dyDescent="0.1">
      <c r="A76" s="41"/>
      <c r="B76" s="41"/>
      <c r="C76" s="41"/>
      <c r="D76" s="41"/>
      <c r="E76" s="41"/>
      <c r="F76" s="41"/>
      <c r="G76" s="41"/>
      <c r="H76" s="41"/>
      <c r="I76" s="41"/>
      <c r="J76" s="41"/>
      <c r="K76" s="41"/>
      <c r="L76" s="41"/>
      <c r="M76" s="41"/>
      <c r="N76" s="41"/>
      <c r="O76" s="41"/>
      <c r="P76" s="41"/>
      <c r="Q76" s="41"/>
      <c r="R76" s="41"/>
      <c r="S76" s="41"/>
      <c r="T76" s="41"/>
      <c r="U76" s="41"/>
      <c r="V76" s="41"/>
      <c r="W76" s="41"/>
      <c r="X76" s="41"/>
    </row>
    <row r="77" spans="1:24" ht="25.5" customHeight="1" x14ac:dyDescent="0.1">
      <c r="A77" s="41"/>
      <c r="B77" s="41"/>
      <c r="C77" s="41"/>
      <c r="D77" s="41"/>
      <c r="E77" s="41"/>
      <c r="F77" s="41"/>
      <c r="G77" s="41"/>
      <c r="H77" s="41"/>
      <c r="I77" s="41"/>
      <c r="J77" s="41"/>
      <c r="K77" s="41"/>
      <c r="L77" s="41"/>
      <c r="M77" s="41"/>
      <c r="N77" s="41"/>
      <c r="O77" s="41"/>
      <c r="P77" s="41"/>
      <c r="Q77" s="41"/>
      <c r="R77" s="41"/>
      <c r="S77" s="41"/>
      <c r="T77" s="41"/>
      <c r="U77" s="41"/>
      <c r="V77" s="41"/>
      <c r="W77" s="41"/>
      <c r="X77" s="41"/>
    </row>
    <row r="78" spans="1:24" ht="25.5" customHeight="1" x14ac:dyDescent="0.1">
      <c r="A78" s="41"/>
      <c r="B78" s="41"/>
      <c r="C78" s="41"/>
      <c r="D78" s="41"/>
      <c r="E78" s="41"/>
      <c r="F78" s="41"/>
      <c r="G78" s="41"/>
      <c r="H78" s="41"/>
      <c r="I78" s="41"/>
      <c r="J78" s="41"/>
      <c r="K78" s="41"/>
      <c r="L78" s="41"/>
      <c r="M78" s="41"/>
      <c r="N78" s="41"/>
      <c r="O78" s="41"/>
      <c r="P78" s="41"/>
      <c r="Q78" s="41"/>
      <c r="R78" s="41"/>
      <c r="S78" s="41"/>
      <c r="T78" s="41"/>
      <c r="U78" s="41"/>
      <c r="V78" s="41"/>
      <c r="W78" s="41"/>
      <c r="X78" s="41"/>
    </row>
    <row r="79" spans="1:24" ht="25.5" customHeight="1" x14ac:dyDescent="0.1">
      <c r="A79" s="41"/>
      <c r="B79" s="41"/>
      <c r="C79" s="41"/>
      <c r="D79" s="41"/>
      <c r="E79" s="41"/>
      <c r="F79" s="41"/>
      <c r="G79" s="41"/>
      <c r="H79" s="41"/>
      <c r="I79" s="41"/>
      <c r="J79" s="41"/>
      <c r="K79" s="41"/>
      <c r="L79" s="41"/>
      <c r="M79" s="41"/>
      <c r="N79" s="41"/>
      <c r="O79" s="41"/>
      <c r="P79" s="41"/>
      <c r="Q79" s="41"/>
      <c r="R79" s="41"/>
      <c r="S79" s="41"/>
      <c r="T79" s="41"/>
      <c r="U79" s="41"/>
      <c r="V79" s="41"/>
      <c r="W79" s="41"/>
      <c r="X79" s="41"/>
    </row>
    <row r="80" spans="1:24" ht="25.5" customHeight="1" x14ac:dyDescent="0.1">
      <c r="A80" s="41"/>
      <c r="B80" s="41"/>
      <c r="C80" s="41"/>
      <c r="D80" s="41"/>
      <c r="E80" s="41"/>
      <c r="F80" s="41"/>
      <c r="G80" s="41"/>
      <c r="H80" s="41"/>
      <c r="I80" s="41"/>
      <c r="J80" s="41"/>
      <c r="K80" s="41"/>
      <c r="L80" s="41"/>
      <c r="M80" s="41"/>
      <c r="N80" s="41"/>
      <c r="O80" s="41"/>
      <c r="P80" s="41"/>
      <c r="Q80" s="41"/>
      <c r="R80" s="41"/>
      <c r="S80" s="41"/>
      <c r="T80" s="41"/>
      <c r="U80" s="41"/>
      <c r="V80" s="41"/>
      <c r="W80" s="41"/>
      <c r="X80" s="41"/>
    </row>
    <row r="81" spans="1:24" ht="25.5" customHeight="1" x14ac:dyDescent="0.1">
      <c r="A81" s="41"/>
      <c r="B81" s="41"/>
      <c r="C81" s="41"/>
      <c r="D81" s="41"/>
      <c r="E81" s="41"/>
      <c r="F81" s="41"/>
      <c r="G81" s="41"/>
      <c r="H81" s="41"/>
      <c r="I81" s="41"/>
      <c r="J81" s="41"/>
      <c r="K81" s="41"/>
      <c r="L81" s="41"/>
      <c r="M81" s="41"/>
      <c r="N81" s="41"/>
      <c r="O81" s="41"/>
      <c r="P81" s="41"/>
      <c r="Q81" s="41"/>
      <c r="R81" s="41"/>
      <c r="S81" s="41"/>
      <c r="T81" s="41"/>
      <c r="U81" s="41"/>
      <c r="V81" s="41"/>
      <c r="W81" s="41"/>
      <c r="X81" s="41"/>
    </row>
    <row r="82" spans="1:24" ht="25.5" customHeight="1" x14ac:dyDescent="0.1">
      <c r="A82" s="41"/>
      <c r="B82" s="41"/>
      <c r="C82" s="41"/>
      <c r="D82" s="41"/>
      <c r="E82" s="41"/>
      <c r="F82" s="41"/>
      <c r="G82" s="41"/>
      <c r="H82" s="41"/>
      <c r="I82" s="41"/>
      <c r="J82" s="41"/>
      <c r="K82" s="41"/>
      <c r="L82" s="41"/>
      <c r="M82" s="41"/>
      <c r="N82" s="41"/>
      <c r="O82" s="41"/>
      <c r="P82" s="41"/>
      <c r="Q82" s="41"/>
      <c r="R82" s="41"/>
      <c r="S82" s="41"/>
      <c r="T82" s="41"/>
      <c r="U82" s="41"/>
      <c r="V82" s="41"/>
      <c r="W82" s="41"/>
      <c r="X82" s="41"/>
    </row>
    <row r="83" spans="1:24" ht="25.5" customHeight="1" x14ac:dyDescent="0.1">
      <c r="A83" s="41"/>
      <c r="B83" s="41"/>
      <c r="C83" s="41"/>
      <c r="D83" s="41"/>
      <c r="E83" s="41"/>
      <c r="F83" s="41"/>
      <c r="G83" s="41"/>
      <c r="H83" s="41"/>
      <c r="I83" s="41"/>
      <c r="J83" s="41"/>
      <c r="K83" s="41"/>
      <c r="L83" s="41"/>
      <c r="M83" s="41"/>
      <c r="N83" s="41"/>
      <c r="O83" s="41"/>
      <c r="P83" s="41"/>
      <c r="Q83" s="41"/>
      <c r="R83" s="41"/>
      <c r="S83" s="41"/>
      <c r="T83" s="41"/>
      <c r="U83" s="41"/>
      <c r="V83" s="41"/>
      <c r="W83" s="41"/>
      <c r="X83" s="41"/>
    </row>
    <row r="84" spans="1:24" ht="25.5" customHeight="1" x14ac:dyDescent="0.1">
      <c r="A84" s="41"/>
      <c r="B84" s="41"/>
      <c r="C84" s="41"/>
      <c r="D84" s="41"/>
      <c r="E84" s="41"/>
      <c r="F84" s="41"/>
      <c r="G84" s="41"/>
      <c r="H84" s="41"/>
      <c r="I84" s="41"/>
      <c r="J84" s="41"/>
      <c r="K84" s="41"/>
      <c r="L84" s="41"/>
      <c r="M84" s="41"/>
      <c r="N84" s="41"/>
      <c r="O84" s="41"/>
      <c r="P84" s="41"/>
      <c r="Q84" s="41"/>
      <c r="R84" s="41"/>
      <c r="S84" s="41"/>
      <c r="T84" s="41"/>
      <c r="U84" s="41"/>
      <c r="V84" s="41"/>
      <c r="W84" s="41"/>
      <c r="X84" s="41"/>
    </row>
    <row r="85" spans="1:24" ht="25.5" customHeight="1" x14ac:dyDescent="0.1">
      <c r="A85" s="41"/>
      <c r="B85" s="41"/>
      <c r="C85" s="41"/>
      <c r="D85" s="41"/>
      <c r="E85" s="41"/>
      <c r="F85" s="41"/>
      <c r="G85" s="41"/>
      <c r="H85" s="41"/>
      <c r="I85" s="41"/>
      <c r="J85" s="41"/>
      <c r="K85" s="41"/>
      <c r="L85" s="41"/>
      <c r="M85" s="41"/>
      <c r="N85" s="41"/>
      <c r="O85" s="41"/>
      <c r="P85" s="41"/>
      <c r="Q85" s="41"/>
      <c r="R85" s="41"/>
      <c r="S85" s="41"/>
      <c r="T85" s="41"/>
      <c r="U85" s="41"/>
      <c r="V85" s="41"/>
      <c r="W85" s="41"/>
      <c r="X85" s="41"/>
    </row>
    <row r="86" spans="1:24" ht="25.5" customHeight="1" x14ac:dyDescent="0.1">
      <c r="A86" s="41"/>
      <c r="B86" s="41"/>
      <c r="C86" s="41"/>
      <c r="D86" s="41"/>
      <c r="E86" s="41"/>
      <c r="F86" s="41"/>
      <c r="G86" s="41"/>
      <c r="H86" s="41"/>
      <c r="I86" s="41"/>
      <c r="J86" s="41"/>
      <c r="K86" s="41"/>
      <c r="L86" s="41"/>
      <c r="M86" s="41"/>
      <c r="N86" s="41"/>
      <c r="O86" s="41"/>
      <c r="P86" s="41"/>
      <c r="Q86" s="41"/>
      <c r="R86" s="41"/>
      <c r="S86" s="41"/>
      <c r="T86" s="41"/>
      <c r="U86" s="41"/>
      <c r="V86" s="41"/>
      <c r="W86" s="41"/>
      <c r="X86" s="41"/>
    </row>
    <row r="87" spans="1:24" ht="25.5" customHeight="1" x14ac:dyDescent="0.1">
      <c r="A87" s="41"/>
      <c r="B87" s="41"/>
      <c r="C87" s="41"/>
      <c r="D87" s="41"/>
      <c r="E87" s="41"/>
      <c r="F87" s="41"/>
      <c r="G87" s="41"/>
      <c r="H87" s="41"/>
      <c r="I87" s="41"/>
      <c r="J87" s="41"/>
      <c r="K87" s="41"/>
      <c r="L87" s="41"/>
      <c r="M87" s="41"/>
      <c r="N87" s="41"/>
      <c r="O87" s="41"/>
      <c r="P87" s="41"/>
      <c r="Q87" s="41"/>
      <c r="R87" s="41"/>
      <c r="S87" s="41"/>
      <c r="T87" s="41"/>
      <c r="U87" s="41"/>
      <c r="V87" s="41"/>
      <c r="W87" s="41"/>
      <c r="X87" s="41"/>
    </row>
    <row r="88" spans="1:24" ht="25.5" customHeight="1" x14ac:dyDescent="0.1">
      <c r="A88" s="41"/>
      <c r="B88" s="41"/>
      <c r="C88" s="41"/>
      <c r="D88" s="41"/>
      <c r="E88" s="41"/>
      <c r="F88" s="41"/>
      <c r="G88" s="41"/>
      <c r="H88" s="41"/>
      <c r="I88" s="41"/>
      <c r="J88" s="41"/>
      <c r="K88" s="41"/>
      <c r="L88" s="41"/>
      <c r="M88" s="41"/>
      <c r="N88" s="41"/>
      <c r="O88" s="41"/>
      <c r="P88" s="41"/>
      <c r="Q88" s="41"/>
      <c r="R88" s="41"/>
      <c r="S88" s="41"/>
      <c r="T88" s="41"/>
      <c r="U88" s="41"/>
      <c r="V88" s="41"/>
      <c r="W88" s="41"/>
      <c r="X88" s="41"/>
    </row>
    <row r="89" spans="1:24" ht="25.5" customHeight="1" x14ac:dyDescent="0.1">
      <c r="A89" s="41"/>
      <c r="B89" s="41"/>
      <c r="C89" s="41"/>
      <c r="D89" s="41"/>
      <c r="E89" s="41"/>
      <c r="F89" s="41"/>
      <c r="G89" s="41"/>
      <c r="H89" s="41"/>
      <c r="I89" s="41"/>
      <c r="J89" s="41"/>
      <c r="K89" s="41"/>
      <c r="L89" s="41"/>
      <c r="M89" s="41"/>
      <c r="N89" s="41"/>
      <c r="O89" s="41"/>
      <c r="P89" s="41"/>
      <c r="Q89" s="41"/>
      <c r="R89" s="41"/>
      <c r="S89" s="41"/>
      <c r="T89" s="41"/>
      <c r="U89" s="41"/>
      <c r="V89" s="41"/>
      <c r="W89" s="41"/>
      <c r="X89" s="41"/>
    </row>
    <row r="90" spans="1:24" ht="25.5" customHeight="1" x14ac:dyDescent="0.1">
      <c r="A90" s="41"/>
      <c r="B90" s="41"/>
      <c r="C90" s="41"/>
      <c r="D90" s="41"/>
      <c r="E90" s="41"/>
      <c r="F90" s="41"/>
      <c r="G90" s="41"/>
      <c r="H90" s="41"/>
      <c r="I90" s="41"/>
      <c r="J90" s="41"/>
      <c r="K90" s="41"/>
      <c r="L90" s="41"/>
      <c r="M90" s="41"/>
      <c r="N90" s="41"/>
      <c r="O90" s="41"/>
      <c r="P90" s="41"/>
      <c r="Q90" s="41"/>
      <c r="R90" s="41"/>
      <c r="S90" s="41"/>
      <c r="T90" s="41"/>
      <c r="U90" s="41"/>
      <c r="V90" s="41"/>
      <c r="W90" s="41"/>
      <c r="X90" s="41"/>
    </row>
    <row r="91" spans="1:24" ht="25.5" customHeight="1" x14ac:dyDescent="0.1">
      <c r="A91" s="41"/>
      <c r="B91" s="41"/>
      <c r="C91" s="41"/>
      <c r="D91" s="41"/>
      <c r="E91" s="41"/>
      <c r="F91" s="41"/>
      <c r="G91" s="41"/>
      <c r="H91" s="41"/>
      <c r="I91" s="41"/>
      <c r="J91" s="41"/>
      <c r="K91" s="41"/>
      <c r="L91" s="41"/>
      <c r="M91" s="41"/>
      <c r="N91" s="41"/>
      <c r="O91" s="41"/>
      <c r="P91" s="41"/>
      <c r="Q91" s="41"/>
      <c r="R91" s="41"/>
      <c r="S91" s="41"/>
      <c r="T91" s="41"/>
      <c r="U91" s="41"/>
      <c r="V91" s="41"/>
      <c r="W91" s="41"/>
      <c r="X91" s="41"/>
    </row>
    <row r="92" spans="1:24" ht="25.5" customHeight="1" x14ac:dyDescent="0.1">
      <c r="A92" s="41"/>
      <c r="B92" s="41"/>
      <c r="C92" s="41"/>
      <c r="D92" s="41"/>
      <c r="E92" s="41"/>
      <c r="F92" s="41"/>
      <c r="G92" s="41"/>
      <c r="H92" s="41"/>
      <c r="I92" s="41"/>
      <c r="J92" s="41"/>
      <c r="K92" s="41"/>
      <c r="L92" s="41"/>
      <c r="M92" s="41"/>
      <c r="N92" s="41"/>
      <c r="O92" s="41"/>
      <c r="P92" s="41"/>
      <c r="Q92" s="41"/>
      <c r="R92" s="41"/>
      <c r="S92" s="41"/>
      <c r="T92" s="41"/>
      <c r="U92" s="41"/>
      <c r="V92" s="41"/>
      <c r="W92" s="41"/>
      <c r="X92" s="41"/>
    </row>
    <row r="93" spans="1:24" ht="25.5" customHeight="1" x14ac:dyDescent="0.1">
      <c r="A93" s="41"/>
      <c r="B93" s="41"/>
      <c r="C93" s="41"/>
      <c r="D93" s="41"/>
      <c r="E93" s="41"/>
      <c r="F93" s="41"/>
      <c r="G93" s="41"/>
      <c r="H93" s="41"/>
      <c r="I93" s="41"/>
      <c r="J93" s="41"/>
      <c r="K93" s="41"/>
      <c r="L93" s="41"/>
      <c r="M93" s="41"/>
      <c r="N93" s="41"/>
      <c r="O93" s="41"/>
      <c r="P93" s="41"/>
      <c r="Q93" s="41"/>
      <c r="R93" s="41"/>
      <c r="S93" s="41"/>
      <c r="T93" s="41"/>
      <c r="U93" s="41"/>
      <c r="V93" s="41"/>
      <c r="W93" s="41"/>
      <c r="X93" s="41"/>
    </row>
    <row r="94" spans="1:24" ht="25.5" customHeight="1" x14ac:dyDescent="0.1">
      <c r="A94" s="41"/>
      <c r="B94" s="41"/>
      <c r="C94" s="41"/>
      <c r="D94" s="41"/>
      <c r="E94" s="41"/>
      <c r="F94" s="41"/>
      <c r="G94" s="41"/>
      <c r="H94" s="41"/>
      <c r="I94" s="41"/>
      <c r="J94" s="41"/>
      <c r="K94" s="41"/>
      <c r="L94" s="41"/>
      <c r="M94" s="41"/>
      <c r="N94" s="41"/>
      <c r="O94" s="41"/>
      <c r="P94" s="41"/>
      <c r="Q94" s="41"/>
      <c r="R94" s="41"/>
      <c r="S94" s="41"/>
      <c r="T94" s="41"/>
      <c r="U94" s="41"/>
      <c r="V94" s="41"/>
      <c r="W94" s="41"/>
      <c r="X94" s="41"/>
    </row>
    <row r="95" spans="1:24" ht="25.5" customHeight="1" x14ac:dyDescent="0.1">
      <c r="A95" s="41"/>
      <c r="B95" s="41"/>
      <c r="C95" s="41"/>
      <c r="D95" s="41"/>
      <c r="E95" s="41"/>
      <c r="F95" s="41"/>
      <c r="G95" s="41"/>
      <c r="H95" s="41"/>
      <c r="I95" s="41"/>
      <c r="J95" s="41"/>
      <c r="K95" s="41"/>
      <c r="L95" s="41"/>
      <c r="M95" s="41"/>
      <c r="N95" s="41"/>
      <c r="O95" s="41"/>
      <c r="P95" s="41"/>
      <c r="Q95" s="41"/>
      <c r="R95" s="41"/>
      <c r="S95" s="41"/>
      <c r="T95" s="41"/>
      <c r="U95" s="41"/>
      <c r="V95" s="41"/>
      <c r="W95" s="41"/>
      <c r="X95" s="41"/>
    </row>
    <row r="96" spans="1:24" ht="25.5" customHeight="1" x14ac:dyDescent="0.1">
      <c r="A96" s="41"/>
      <c r="B96" s="41"/>
      <c r="C96" s="41"/>
      <c r="D96" s="41"/>
      <c r="E96" s="41"/>
      <c r="F96" s="41"/>
      <c r="G96" s="41"/>
      <c r="H96" s="41"/>
      <c r="I96" s="41"/>
      <c r="J96" s="41"/>
      <c r="K96" s="41"/>
      <c r="L96" s="41"/>
      <c r="M96" s="41"/>
      <c r="N96" s="41"/>
      <c r="O96" s="41"/>
      <c r="P96" s="41"/>
      <c r="Q96" s="41"/>
      <c r="R96" s="41"/>
      <c r="S96" s="41"/>
      <c r="T96" s="41"/>
      <c r="U96" s="41"/>
      <c r="V96" s="41"/>
      <c r="W96" s="41"/>
      <c r="X96" s="41"/>
    </row>
    <row r="97" spans="1:24" ht="25.5" customHeight="1" x14ac:dyDescent="0.1">
      <c r="A97" s="41"/>
      <c r="B97" s="41"/>
      <c r="C97" s="41"/>
      <c r="D97" s="41"/>
      <c r="E97" s="41"/>
      <c r="F97" s="41"/>
      <c r="G97" s="41"/>
      <c r="H97" s="41"/>
      <c r="I97" s="41"/>
      <c r="J97" s="41"/>
      <c r="K97" s="41"/>
      <c r="L97" s="41"/>
      <c r="M97" s="41"/>
      <c r="N97" s="41"/>
      <c r="O97" s="41"/>
      <c r="P97" s="41"/>
      <c r="Q97" s="41"/>
      <c r="R97" s="41"/>
      <c r="S97" s="41"/>
      <c r="T97" s="41"/>
      <c r="U97" s="41"/>
      <c r="V97" s="41"/>
      <c r="W97" s="41"/>
      <c r="X97" s="41"/>
    </row>
    <row r="98" spans="1:24" ht="25.5" customHeight="1" x14ac:dyDescent="0.1">
      <c r="A98" s="41"/>
      <c r="B98" s="41"/>
      <c r="C98" s="41"/>
      <c r="D98" s="41"/>
      <c r="E98" s="41"/>
      <c r="F98" s="41"/>
      <c r="G98" s="41"/>
      <c r="H98" s="41"/>
      <c r="I98" s="41"/>
      <c r="J98" s="41"/>
      <c r="K98" s="41"/>
      <c r="L98" s="41"/>
      <c r="M98" s="41"/>
      <c r="N98" s="41"/>
      <c r="O98" s="41"/>
      <c r="P98" s="41"/>
      <c r="Q98" s="41"/>
      <c r="R98" s="41"/>
      <c r="S98" s="41"/>
      <c r="T98" s="41"/>
      <c r="U98" s="41"/>
      <c r="V98" s="41"/>
      <c r="W98" s="41"/>
      <c r="X98" s="41"/>
    </row>
    <row r="99" spans="1:24" ht="25.5" customHeight="1" x14ac:dyDescent="0.1">
      <c r="A99" s="41"/>
      <c r="B99" s="41"/>
      <c r="C99" s="41"/>
      <c r="D99" s="41"/>
      <c r="E99" s="41"/>
      <c r="F99" s="41"/>
      <c r="G99" s="41"/>
      <c r="H99" s="41"/>
      <c r="I99" s="41"/>
      <c r="J99" s="41"/>
      <c r="K99" s="41"/>
      <c r="L99" s="41"/>
      <c r="M99" s="41"/>
      <c r="N99" s="41"/>
      <c r="O99" s="41"/>
      <c r="P99" s="41"/>
      <c r="Q99" s="41"/>
      <c r="R99" s="41"/>
      <c r="S99" s="41"/>
      <c r="T99" s="41"/>
      <c r="U99" s="41"/>
      <c r="V99" s="41"/>
      <c r="W99" s="41"/>
      <c r="X99" s="41"/>
    </row>
    <row r="100" spans="1:24" ht="25.5" customHeight="1" x14ac:dyDescent="0.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row>
    <row r="101" spans="1:24" ht="25.5" customHeight="1" x14ac:dyDescent="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row>
    <row r="102" spans="1:24" ht="25.5" customHeight="1" x14ac:dyDescent="0.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row>
    <row r="103" spans="1:24" ht="25.5" customHeight="1" x14ac:dyDescent="0.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row>
    <row r="104" spans="1:24" ht="25.5" customHeight="1" x14ac:dyDescent="0.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row>
    <row r="105" spans="1:24" ht="25.5" customHeight="1" x14ac:dyDescent="0.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row>
    <row r="106" spans="1:24" ht="25.5" customHeight="1" x14ac:dyDescent="0.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row>
    <row r="107" spans="1:24" ht="25.5" customHeight="1" x14ac:dyDescent="0.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row>
    <row r="108" spans="1:24" ht="25.5" customHeight="1" x14ac:dyDescent="0.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row>
    <row r="109" spans="1:24" ht="25.5" customHeight="1" x14ac:dyDescent="0.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row>
    <row r="110" spans="1:24" ht="25.5" customHeight="1" x14ac:dyDescent="0.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row>
    <row r="111" spans="1:24" ht="25.5" customHeight="1" x14ac:dyDescent="0.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row>
    <row r="112" spans="1:24" ht="25.5" customHeight="1" x14ac:dyDescent="0.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row>
    <row r="113" spans="1:24" ht="25.5" customHeight="1" x14ac:dyDescent="0.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row>
    <row r="114" spans="1:24" ht="25.5" customHeight="1" x14ac:dyDescent="0.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row>
    <row r="115" spans="1:24" ht="25.5" customHeight="1" x14ac:dyDescent="0.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row>
    <row r="116" spans="1:24" ht="25.5" customHeight="1" x14ac:dyDescent="0.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row>
    <row r="117" spans="1:24" ht="25.5" customHeight="1" x14ac:dyDescent="0.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row>
    <row r="118" spans="1:24" ht="25.5" customHeight="1" x14ac:dyDescent="0.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row>
    <row r="119" spans="1:24" ht="25.5" customHeight="1" x14ac:dyDescent="0.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row>
    <row r="120" spans="1:24" ht="25.5" customHeight="1" x14ac:dyDescent="0.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row>
    <row r="121" spans="1:24" ht="25.5" customHeight="1" x14ac:dyDescent="0.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row>
    <row r="122" spans="1:24" ht="25.5" customHeight="1" x14ac:dyDescent="0.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row>
    <row r="123" spans="1:24" ht="25.5" customHeight="1" x14ac:dyDescent="0.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row>
    <row r="124" spans="1:24" ht="25.5" customHeight="1" x14ac:dyDescent="0.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row>
    <row r="125" spans="1:24" ht="25.5" customHeight="1" x14ac:dyDescent="0.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row>
    <row r="126" spans="1:24" ht="25.5" customHeight="1" x14ac:dyDescent="0.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row>
    <row r="127" spans="1:24" ht="25.5" customHeight="1" x14ac:dyDescent="0.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row>
    <row r="128" spans="1:24" ht="25.5" customHeight="1" x14ac:dyDescent="0.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row>
    <row r="129" spans="1:24" ht="25.5" customHeight="1" x14ac:dyDescent="0.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row>
    <row r="130" spans="1:24" ht="25.5" customHeight="1" x14ac:dyDescent="0.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row>
    <row r="131" spans="1:24" ht="25.5" customHeight="1" x14ac:dyDescent="0.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row>
    <row r="132" spans="1:24" ht="25.5" customHeight="1" x14ac:dyDescent="0.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row>
    <row r="133" spans="1:24" ht="25.5" customHeight="1" x14ac:dyDescent="0.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row>
    <row r="134" spans="1:24" ht="25.5" customHeight="1" x14ac:dyDescent="0.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row>
    <row r="135" spans="1:24" ht="25.5" customHeight="1" x14ac:dyDescent="0.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row>
    <row r="136" spans="1:24" ht="25.5" customHeight="1" x14ac:dyDescent="0.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row>
    <row r="137" spans="1:24" ht="25.5" customHeight="1" x14ac:dyDescent="0.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row>
    <row r="138" spans="1:24" ht="25.5" customHeight="1" x14ac:dyDescent="0.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row>
    <row r="139" spans="1:24" ht="25.5" customHeight="1" x14ac:dyDescent="0.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row>
    <row r="140" spans="1:24" ht="25.5" customHeight="1" x14ac:dyDescent="0.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row>
    <row r="141" spans="1:24" ht="25.5" customHeight="1" x14ac:dyDescent="0.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row>
    <row r="142" spans="1:24" ht="25.5" customHeight="1" x14ac:dyDescent="0.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row>
    <row r="143" spans="1:24" ht="25.5" customHeight="1" x14ac:dyDescent="0.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row>
    <row r="144" spans="1:24" ht="25.5" customHeight="1" x14ac:dyDescent="0.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row>
    <row r="145" spans="1:24" ht="25.5" customHeight="1" x14ac:dyDescent="0.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row>
    <row r="146" spans="1:24" ht="25.5" customHeight="1" x14ac:dyDescent="0.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row>
    <row r="147" spans="1:24" ht="25.5" customHeight="1" x14ac:dyDescent="0.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row>
    <row r="148" spans="1:24" ht="25.5" customHeight="1" x14ac:dyDescent="0.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row>
    <row r="149" spans="1:24" ht="25.5" customHeight="1" x14ac:dyDescent="0.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row>
    <row r="150" spans="1:24" ht="25.5" customHeight="1" x14ac:dyDescent="0.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row>
    <row r="151" spans="1:24" ht="25.5" customHeight="1" x14ac:dyDescent="0.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row>
    <row r="152" spans="1:24" ht="25.5" customHeight="1" x14ac:dyDescent="0.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row>
    <row r="153" spans="1:24" ht="25.5" customHeight="1" x14ac:dyDescent="0.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row>
    <row r="154" spans="1:24" ht="25.5" customHeight="1" x14ac:dyDescent="0.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row>
    <row r="155" spans="1:24" ht="25.5" customHeight="1" x14ac:dyDescent="0.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row>
    <row r="156" spans="1:24" ht="25.5" customHeight="1" x14ac:dyDescent="0.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row>
    <row r="157" spans="1:24" ht="25.5" customHeight="1" x14ac:dyDescent="0.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row>
    <row r="158" spans="1:24" ht="25.5" customHeight="1" x14ac:dyDescent="0.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row>
    <row r="159" spans="1:24" ht="25.5" customHeight="1" x14ac:dyDescent="0.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row>
    <row r="160" spans="1:24" ht="25.5" customHeight="1" x14ac:dyDescent="0.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row>
    <row r="161" spans="1:24" ht="25.5" customHeight="1" x14ac:dyDescent="0.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row>
    <row r="162" spans="1:24" ht="25.5" customHeight="1" x14ac:dyDescent="0.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row>
    <row r="163" spans="1:24" ht="25.5" customHeight="1" x14ac:dyDescent="0.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row>
    <row r="164" spans="1:24" ht="25.5" customHeight="1" x14ac:dyDescent="0.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row>
    <row r="165" spans="1:24" ht="25.5" customHeight="1" x14ac:dyDescent="0.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row>
    <row r="166" spans="1:24" ht="25.5" customHeight="1" x14ac:dyDescent="0.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row>
    <row r="167" spans="1:24" ht="25.5" customHeight="1" x14ac:dyDescent="0.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row>
    <row r="168" spans="1:24" ht="25.5" customHeight="1" x14ac:dyDescent="0.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row>
    <row r="169" spans="1:24" ht="25.5" customHeight="1" x14ac:dyDescent="0.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row>
    <row r="170" spans="1:24" ht="25.5" customHeight="1" x14ac:dyDescent="0.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row>
    <row r="171" spans="1:24" ht="25.5" customHeight="1" x14ac:dyDescent="0.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row>
    <row r="172" spans="1:24" ht="25.5" customHeight="1" x14ac:dyDescent="0.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row>
    <row r="173" spans="1:24" ht="25.5" customHeight="1" x14ac:dyDescent="0.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row>
    <row r="174" spans="1:24" ht="25.5" customHeight="1" x14ac:dyDescent="0.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row>
    <row r="175" spans="1:24" ht="25.5" customHeight="1" x14ac:dyDescent="0.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row>
    <row r="176" spans="1:24" ht="25.5" customHeight="1" x14ac:dyDescent="0.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row>
    <row r="177" spans="1:24" ht="25.5" customHeight="1" x14ac:dyDescent="0.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row>
    <row r="178" spans="1:24" ht="25.5" customHeight="1" x14ac:dyDescent="0.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row>
    <row r="179" spans="1:24" ht="25.5" customHeight="1" x14ac:dyDescent="0.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row>
    <row r="180" spans="1:24" ht="25.5" customHeight="1" x14ac:dyDescent="0.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row>
    <row r="181" spans="1:24" ht="25.5" customHeight="1" x14ac:dyDescent="0.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row>
    <row r="182" spans="1:24" ht="25.5" customHeight="1" x14ac:dyDescent="0.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row>
    <row r="183" spans="1:24" ht="25.5" customHeight="1" x14ac:dyDescent="0.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row>
    <row r="184" spans="1:24" ht="25.5" customHeight="1" x14ac:dyDescent="0.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row>
    <row r="185" spans="1:24" ht="25.5" customHeight="1" x14ac:dyDescent="0.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row>
    <row r="186" spans="1:24" ht="25.5" customHeight="1" x14ac:dyDescent="0.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row>
    <row r="187" spans="1:24" ht="25.5" customHeight="1" x14ac:dyDescent="0.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row>
  </sheetData>
  <mergeCells count="7">
    <mergeCell ref="AC15:AF15"/>
    <mergeCell ref="P20:V20"/>
    <mergeCell ref="E3:U3"/>
    <mergeCell ref="P11:V11"/>
    <mergeCell ref="P12:V12"/>
    <mergeCell ref="P15:V15"/>
    <mergeCell ref="P19:V19"/>
  </mergeCells>
  <phoneticPr fontId="2"/>
  <pageMargins left="0.78740157480314965" right="0.78740157480314965" top="0.98425196850393704" bottom="0.98425196850393704" header="0.51181102362204722" footer="0.51181102362204722"/>
  <pageSetup paperSize="9" scale="92" orientation="portrait"/>
  <headerFooter alignWithMargins="0"/>
  <extLst>
    <ext xmlns:mx="http://schemas.microsoft.com/office/mac/excel/2008/main" uri="{64002731-A6B0-56B0-2670-7721B7C09600}">
      <mx:PLV Mode="0" OnePage="0" WScale="10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39"/>
  <sheetViews>
    <sheetView workbookViewId="0" xr3:uid="{F9CF3CF3-643B-5BE6-8B46-32C596A47465}"/>
  </sheetViews>
  <sheetFormatPr defaultColWidth="8.86328125" defaultRowHeight="16.5" customHeight="1" x14ac:dyDescent="0.1"/>
  <cols>
    <col min="1" max="1" width="4.08984375" customWidth="1"/>
    <col min="2" max="2" width="2.99609375" customWidth="1"/>
    <col min="3" max="3" width="25.36328125" customWidth="1"/>
    <col min="4" max="5" width="12.1328125" customWidth="1"/>
    <col min="6" max="6" width="30.953125" style="34" customWidth="1"/>
  </cols>
  <sheetData>
    <row r="1" spans="1:6" ht="16.5" customHeight="1" x14ac:dyDescent="0.1">
      <c r="B1" s="98" t="s">
        <v>109</v>
      </c>
      <c r="C1" s="98"/>
      <c r="D1" s="98"/>
      <c r="E1" s="98"/>
      <c r="F1" s="98"/>
    </row>
    <row r="2" spans="1:6" ht="16.5" customHeight="1" x14ac:dyDescent="0.1">
      <c r="B2" s="98" t="s">
        <v>130</v>
      </c>
      <c r="C2" s="98"/>
      <c r="D2" s="98"/>
      <c r="E2" s="98"/>
      <c r="F2" s="98"/>
    </row>
    <row r="3" spans="1:6" ht="16.5" customHeight="1" x14ac:dyDescent="0.1">
      <c r="A3" s="1"/>
      <c r="B3" s="108" t="s">
        <v>0</v>
      </c>
      <c r="C3" s="109"/>
      <c r="D3" s="2"/>
      <c r="E3" s="3"/>
      <c r="F3" s="3" t="s">
        <v>1</v>
      </c>
    </row>
    <row r="4" spans="1:6" ht="16.5" customHeight="1" x14ac:dyDescent="0.1">
      <c r="A4" s="110" t="s">
        <v>2</v>
      </c>
      <c r="B4" s="4" t="s">
        <v>3</v>
      </c>
      <c r="C4" s="5"/>
      <c r="D4" s="6"/>
      <c r="E4" s="7"/>
      <c r="F4" s="8"/>
    </row>
    <row r="5" spans="1:6" ht="16.5" customHeight="1" x14ac:dyDescent="0.1">
      <c r="A5" s="111"/>
      <c r="B5" s="9"/>
      <c r="C5" s="10" t="s">
        <v>144</v>
      </c>
      <c r="D5" s="11">
        <v>240000</v>
      </c>
      <c r="E5" s="12"/>
      <c r="F5" s="13" t="s">
        <v>143</v>
      </c>
    </row>
    <row r="6" spans="1:6" s="70" customFormat="1" ht="16.5" customHeight="1" x14ac:dyDescent="0.1">
      <c r="A6" s="111"/>
      <c r="B6" s="9"/>
      <c r="C6" s="10" t="s">
        <v>145</v>
      </c>
      <c r="D6" s="11">
        <f>3000*21*6</f>
        <v>378000</v>
      </c>
      <c r="E6" s="12"/>
      <c r="F6" s="13" t="s">
        <v>148</v>
      </c>
    </row>
    <row r="7" spans="1:6" s="70" customFormat="1" ht="16.5" customHeight="1" x14ac:dyDescent="0.1">
      <c r="A7" s="111"/>
      <c r="B7" s="9"/>
      <c r="C7" s="10" t="s">
        <v>146</v>
      </c>
      <c r="D7" s="11">
        <v>138000</v>
      </c>
      <c r="E7" s="12"/>
      <c r="F7" s="13" t="s">
        <v>149</v>
      </c>
    </row>
    <row r="8" spans="1:6" ht="16.5" customHeight="1" thickBot="1" x14ac:dyDescent="0.15">
      <c r="A8" s="111"/>
      <c r="B8" s="9"/>
      <c r="C8" s="10" t="s">
        <v>4</v>
      </c>
      <c r="D8" s="11"/>
      <c r="E8" s="14">
        <f>SUM(D5:D7)</f>
        <v>756000</v>
      </c>
      <c r="F8" s="13"/>
    </row>
    <row r="9" spans="1:6" ht="16.5" customHeight="1" thickTop="1" x14ac:dyDescent="0.1">
      <c r="A9" s="111"/>
      <c r="B9" s="15"/>
      <c r="C9" s="16"/>
      <c r="D9" s="17"/>
      <c r="E9" s="18"/>
      <c r="F9" s="13"/>
    </row>
    <row r="10" spans="1:6" ht="16.5" customHeight="1" x14ac:dyDescent="0.1">
      <c r="A10" s="111"/>
      <c r="B10" s="19" t="s">
        <v>5</v>
      </c>
      <c r="C10" s="20"/>
      <c r="D10" s="6"/>
      <c r="E10" s="7"/>
      <c r="F10" s="13"/>
    </row>
    <row r="11" spans="1:6" ht="16.5" customHeight="1" x14ac:dyDescent="0.1">
      <c r="A11" s="111"/>
      <c r="B11" s="9"/>
      <c r="C11" s="10" t="s">
        <v>6</v>
      </c>
      <c r="D11" s="11">
        <f>(12*500*21*6)</f>
        <v>756000</v>
      </c>
      <c r="E11" s="12"/>
      <c r="F11" s="21" t="s">
        <v>147</v>
      </c>
    </row>
    <row r="12" spans="1:6" ht="16.5" customHeight="1" x14ac:dyDescent="0.1">
      <c r="A12" s="111"/>
      <c r="B12" s="9"/>
      <c r="C12" s="10" t="s">
        <v>7</v>
      </c>
      <c r="D12" s="11"/>
      <c r="E12" s="12"/>
      <c r="F12" s="21" t="s">
        <v>104</v>
      </c>
    </row>
    <row r="13" spans="1:6" ht="16.5" customHeight="1" thickBot="1" x14ac:dyDescent="0.15">
      <c r="A13" s="111"/>
      <c r="B13" s="9"/>
      <c r="C13" s="10" t="s">
        <v>8</v>
      </c>
      <c r="D13" s="11"/>
      <c r="E13" s="14">
        <f>SUM(D11:D12)</f>
        <v>756000</v>
      </c>
      <c r="F13" s="21"/>
    </row>
    <row r="14" spans="1:6" ht="16.5" customHeight="1" thickTop="1" x14ac:dyDescent="0.1">
      <c r="A14" s="111"/>
      <c r="B14" s="9"/>
      <c r="C14" s="22" t="s">
        <v>9</v>
      </c>
      <c r="D14" s="11"/>
      <c r="E14" s="18">
        <f>E8-E13</f>
        <v>0</v>
      </c>
      <c r="F14" s="21"/>
    </row>
    <row r="15" spans="1:6" ht="16.5" customHeight="1" x14ac:dyDescent="0.1">
      <c r="A15" s="112"/>
      <c r="B15" s="15"/>
      <c r="C15" s="16"/>
      <c r="D15" s="17"/>
      <c r="E15" s="23"/>
      <c r="F15" s="24"/>
    </row>
    <row r="16" spans="1:6" ht="16.5" customHeight="1" x14ac:dyDescent="0.1">
      <c r="A16" s="99" t="s">
        <v>10</v>
      </c>
      <c r="B16" s="102" t="s">
        <v>99</v>
      </c>
      <c r="C16" s="103"/>
      <c r="D16" s="7"/>
      <c r="E16" s="7"/>
      <c r="F16" s="25"/>
    </row>
    <row r="17" spans="1:12" ht="16.5" customHeight="1" x14ac:dyDescent="0.1">
      <c r="A17" s="100"/>
      <c r="B17" s="104"/>
      <c r="C17" s="105"/>
      <c r="D17" s="12"/>
      <c r="E17" s="12"/>
      <c r="F17" s="26"/>
    </row>
    <row r="18" spans="1:12" ht="16.5" customHeight="1" x14ac:dyDescent="0.1">
      <c r="A18" s="100"/>
      <c r="B18" s="9"/>
      <c r="C18" s="10" t="s">
        <v>11</v>
      </c>
      <c r="D18" s="12">
        <f>12*5840*21*6</f>
        <v>8830080</v>
      </c>
      <c r="E18" s="12"/>
      <c r="F18" s="26" t="s">
        <v>132</v>
      </c>
    </row>
    <row r="19" spans="1:12" ht="16.5" customHeight="1" thickBot="1" x14ac:dyDescent="0.15">
      <c r="A19" s="100"/>
      <c r="B19" s="9"/>
      <c r="C19" s="22" t="s">
        <v>4</v>
      </c>
      <c r="D19" s="12"/>
      <c r="E19" s="14">
        <f>SUM(D18)</f>
        <v>8830080</v>
      </c>
      <c r="F19" s="26"/>
    </row>
    <row r="20" spans="1:12" ht="16.5" customHeight="1" thickTop="1" x14ac:dyDescent="0.1">
      <c r="A20" s="100"/>
      <c r="B20" s="27" t="s">
        <v>12</v>
      </c>
      <c r="C20" s="28"/>
      <c r="D20" s="12"/>
      <c r="E20" s="18"/>
      <c r="F20" s="26"/>
    </row>
    <row r="21" spans="1:12" ht="12" customHeight="1" x14ac:dyDescent="0.1">
      <c r="A21" s="100"/>
      <c r="B21" s="9"/>
      <c r="C21" s="106" t="s">
        <v>13</v>
      </c>
      <c r="D21" s="107">
        <f>5400000/6*6</f>
        <v>5400000</v>
      </c>
      <c r="E21" s="12"/>
      <c r="F21" s="26" t="s">
        <v>133</v>
      </c>
    </row>
    <row r="22" spans="1:12" ht="12" customHeight="1" x14ac:dyDescent="0.1">
      <c r="A22" s="100"/>
      <c r="B22" s="9"/>
      <c r="C22" s="106"/>
      <c r="D22" s="107"/>
      <c r="E22" s="12"/>
      <c r="F22" s="26" t="s">
        <v>134</v>
      </c>
    </row>
    <row r="23" spans="1:12" ht="16.5" customHeight="1" x14ac:dyDescent="0.1">
      <c r="A23" s="100"/>
      <c r="B23" s="9"/>
      <c r="C23" s="28" t="s">
        <v>14</v>
      </c>
      <c r="D23" s="12">
        <f>100000*6</f>
        <v>600000</v>
      </c>
      <c r="E23" s="12"/>
      <c r="F23" s="26" t="s">
        <v>135</v>
      </c>
    </row>
    <row r="24" spans="1:12" ht="16.5" customHeight="1" x14ac:dyDescent="0.1">
      <c r="A24" s="100"/>
      <c r="B24" s="9"/>
      <c r="C24" s="28" t="s">
        <v>15</v>
      </c>
      <c r="D24" s="12">
        <v>50000</v>
      </c>
      <c r="E24" s="29"/>
      <c r="F24" s="26" t="s">
        <v>16</v>
      </c>
    </row>
    <row r="25" spans="1:12" ht="16.5" customHeight="1" x14ac:dyDescent="0.1">
      <c r="A25" s="100"/>
      <c r="B25" s="9"/>
      <c r="C25" s="28" t="s">
        <v>17</v>
      </c>
      <c r="D25" s="12">
        <f>20000*6</f>
        <v>120000</v>
      </c>
      <c r="E25" s="29"/>
      <c r="F25" s="26" t="s">
        <v>136</v>
      </c>
      <c r="L25" s="61"/>
    </row>
    <row r="26" spans="1:12" ht="16.5" customHeight="1" x14ac:dyDescent="0.1">
      <c r="A26" s="100"/>
      <c r="B26" s="9"/>
      <c r="C26" s="28" t="s">
        <v>18</v>
      </c>
      <c r="D26" s="12">
        <v>0</v>
      </c>
      <c r="E26" s="29"/>
      <c r="F26" s="26" t="s">
        <v>131</v>
      </c>
    </row>
    <row r="27" spans="1:12" ht="16.5" customHeight="1" x14ac:dyDescent="0.1">
      <c r="A27" s="100"/>
      <c r="B27" s="9"/>
      <c r="C27" s="28" t="s">
        <v>19</v>
      </c>
      <c r="D27" s="12">
        <v>80000</v>
      </c>
      <c r="E27" s="29"/>
      <c r="F27" s="26" t="s">
        <v>20</v>
      </c>
    </row>
    <row r="28" spans="1:12" ht="16.5" customHeight="1" x14ac:dyDescent="0.1">
      <c r="A28" s="100"/>
      <c r="B28" s="9"/>
      <c r="C28" s="28" t="s">
        <v>21</v>
      </c>
      <c r="D28" s="12">
        <f>100000*6</f>
        <v>600000</v>
      </c>
      <c r="E28" s="29"/>
      <c r="F28" s="26" t="s">
        <v>137</v>
      </c>
    </row>
    <row r="29" spans="1:12" ht="16.5" customHeight="1" x14ac:dyDescent="0.1">
      <c r="A29" s="100"/>
      <c r="B29" s="9"/>
      <c r="C29" s="28" t="s">
        <v>22</v>
      </c>
      <c r="D29" s="12">
        <f>20000*6</f>
        <v>120000</v>
      </c>
      <c r="E29" s="29"/>
      <c r="F29" s="26" t="s">
        <v>138</v>
      </c>
    </row>
    <row r="30" spans="1:12" ht="16.5" customHeight="1" x14ac:dyDescent="0.1">
      <c r="A30" s="100"/>
      <c r="B30" s="9"/>
      <c r="C30" s="28" t="s">
        <v>23</v>
      </c>
      <c r="D30" s="12">
        <f>100000*6</f>
        <v>600000</v>
      </c>
      <c r="E30" s="29"/>
      <c r="F30" s="26" t="s">
        <v>139</v>
      </c>
    </row>
    <row r="31" spans="1:12" ht="16.5" customHeight="1" x14ac:dyDescent="0.1">
      <c r="A31" s="100"/>
      <c r="B31" s="9"/>
      <c r="C31" s="28" t="s">
        <v>24</v>
      </c>
      <c r="D31" s="12">
        <v>80000</v>
      </c>
      <c r="E31" s="29"/>
      <c r="F31" s="26" t="s">
        <v>140</v>
      </c>
    </row>
    <row r="32" spans="1:12" ht="16.5" customHeight="1" x14ac:dyDescent="0.1">
      <c r="A32" s="100"/>
      <c r="B32" s="9"/>
      <c r="C32" s="28" t="s">
        <v>25</v>
      </c>
      <c r="D32" s="12">
        <f>20000*6</f>
        <v>120000</v>
      </c>
      <c r="E32" s="29"/>
      <c r="F32" s="30" t="s">
        <v>141</v>
      </c>
    </row>
    <row r="33" spans="1:17" ht="16.5" customHeight="1" x14ac:dyDescent="0.1">
      <c r="A33" s="100"/>
      <c r="B33" s="9"/>
      <c r="C33" s="28" t="s">
        <v>26</v>
      </c>
      <c r="D33" s="12">
        <f>10000*6</f>
        <v>60000</v>
      </c>
      <c r="E33" s="29"/>
      <c r="F33" s="30" t="s">
        <v>142</v>
      </c>
    </row>
    <row r="34" spans="1:17" ht="16.5" customHeight="1" x14ac:dyDescent="0.1">
      <c r="A34" s="100"/>
      <c r="B34" s="9"/>
      <c r="C34" s="28"/>
      <c r="D34" s="12"/>
      <c r="E34" s="29"/>
      <c r="F34" s="30"/>
    </row>
    <row r="35" spans="1:17" ht="16.5" customHeight="1" thickBot="1" x14ac:dyDescent="0.15">
      <c r="A35" s="100"/>
      <c r="B35" s="9"/>
      <c r="C35" s="10" t="s">
        <v>8</v>
      </c>
      <c r="D35" s="12"/>
      <c r="E35" s="14">
        <f>SUM(D21:D33)</f>
        <v>7830000</v>
      </c>
      <c r="F35" s="30"/>
    </row>
    <row r="36" spans="1:17" ht="16.5" customHeight="1" thickTop="1" x14ac:dyDescent="0.1">
      <c r="A36" s="100"/>
      <c r="B36" s="9"/>
      <c r="C36" s="28"/>
      <c r="D36" s="12"/>
      <c r="E36" s="18"/>
      <c r="F36" s="30"/>
    </row>
    <row r="37" spans="1:17" ht="16.5" customHeight="1" x14ac:dyDescent="0.1">
      <c r="A37" s="101"/>
      <c r="B37" s="15"/>
      <c r="C37" s="31" t="s">
        <v>27</v>
      </c>
      <c r="D37" s="23"/>
      <c r="E37" s="32">
        <f>E19-E35</f>
        <v>1000080</v>
      </c>
      <c r="F37" s="33"/>
    </row>
    <row r="38" spans="1:17" ht="16.5" customHeight="1" x14ac:dyDescent="0.1">
      <c r="P38" s="60"/>
    </row>
    <row r="39" spans="1:17" ht="16.5" customHeight="1" x14ac:dyDescent="0.1">
      <c r="M39" s="59"/>
      <c r="P39" s="60"/>
      <c r="Q39" s="59"/>
    </row>
  </sheetData>
  <mergeCells count="8">
    <mergeCell ref="A16:A37"/>
    <mergeCell ref="B16:C17"/>
    <mergeCell ref="C21:C22"/>
    <mergeCell ref="D21:D22"/>
    <mergeCell ref="B1:F1"/>
    <mergeCell ref="B2:F2"/>
    <mergeCell ref="B3:C3"/>
    <mergeCell ref="A4:A15"/>
  </mergeCells>
  <phoneticPr fontId="2"/>
  <pageMargins left="0.7" right="0.7" top="0.75" bottom="0.75" header="0.3" footer="0.3"/>
  <pageSetup paperSize="9" scale="93" orientation="portrait"/>
  <extLst>
    <ext xmlns:mx="http://schemas.microsoft.com/office/mac/excel/2008/main" uri="{64002731-A6B0-56B0-2670-7721B7C09600}">
      <mx:PLV Mode="0" OnePage="0" WScale="10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39"/>
  <sheetViews>
    <sheetView workbookViewId="0" xr3:uid="{78B4E459-6924-5F8B-B7BA-2DD04133E49E}"/>
  </sheetViews>
  <sheetFormatPr defaultColWidth="8.86328125" defaultRowHeight="16.5" customHeight="1" x14ac:dyDescent="0.1"/>
  <cols>
    <col min="1" max="1" width="4.08984375" style="64" customWidth="1"/>
    <col min="2" max="2" width="2.99609375" style="64" customWidth="1"/>
    <col min="3" max="3" width="25.36328125" style="64" customWidth="1"/>
    <col min="4" max="5" width="12.1328125" style="64" customWidth="1"/>
    <col min="6" max="6" width="30.953125" style="34" customWidth="1"/>
    <col min="7" max="16384" width="8.86328125" style="64"/>
  </cols>
  <sheetData>
    <row r="1" spans="1:6" ht="16.5" customHeight="1" x14ac:dyDescent="0.1">
      <c r="B1" s="98" t="s">
        <v>113</v>
      </c>
      <c r="C1" s="98"/>
      <c r="D1" s="98"/>
      <c r="E1" s="98"/>
      <c r="F1" s="98"/>
    </row>
    <row r="2" spans="1:6" ht="16.5" customHeight="1" x14ac:dyDescent="0.1">
      <c r="B2" s="98" t="s">
        <v>114</v>
      </c>
      <c r="C2" s="98"/>
      <c r="D2" s="98"/>
      <c r="E2" s="98"/>
      <c r="F2" s="98"/>
    </row>
    <row r="3" spans="1:6" ht="16.5" customHeight="1" x14ac:dyDescent="0.1">
      <c r="A3" s="1"/>
      <c r="B3" s="108" t="s">
        <v>0</v>
      </c>
      <c r="C3" s="109"/>
      <c r="D3" s="62"/>
      <c r="E3" s="3"/>
      <c r="F3" s="3" t="s">
        <v>1</v>
      </c>
    </row>
    <row r="4" spans="1:6" ht="16.5" customHeight="1" x14ac:dyDescent="0.1">
      <c r="A4" s="110" t="s">
        <v>2</v>
      </c>
      <c r="B4" s="4" t="s">
        <v>3</v>
      </c>
      <c r="C4" s="63"/>
      <c r="D4" s="6"/>
      <c r="E4" s="7"/>
      <c r="F4" s="8"/>
    </row>
    <row r="5" spans="1:6" ht="15.95" customHeight="1" x14ac:dyDescent="0.1">
      <c r="A5" s="111"/>
      <c r="B5" s="9"/>
      <c r="C5" s="10" t="s">
        <v>144</v>
      </c>
      <c r="D5" s="11">
        <f>120000*12</f>
        <v>1440000</v>
      </c>
      <c r="E5" s="12"/>
      <c r="F5" s="13" t="s">
        <v>150</v>
      </c>
    </row>
    <row r="6" spans="1:6" s="70" customFormat="1" ht="15.95" customHeight="1" x14ac:dyDescent="0.1">
      <c r="A6" s="111"/>
      <c r="B6" s="9"/>
      <c r="C6" s="10" t="s">
        <v>145</v>
      </c>
      <c r="D6" s="11">
        <f>3000*30*12</f>
        <v>1080000</v>
      </c>
      <c r="E6" s="12"/>
      <c r="F6" s="13" t="s">
        <v>151</v>
      </c>
    </row>
    <row r="7" spans="1:6" s="70" customFormat="1" ht="15.95" customHeight="1" x14ac:dyDescent="0.1">
      <c r="A7" s="111"/>
      <c r="B7" s="9"/>
      <c r="C7" s="71" t="s">
        <v>146</v>
      </c>
      <c r="D7" s="11">
        <v>1872000</v>
      </c>
      <c r="E7" s="12"/>
      <c r="F7" s="13" t="s">
        <v>152</v>
      </c>
    </row>
    <row r="8" spans="1:6" ht="16.5" customHeight="1" thickBot="1" x14ac:dyDescent="0.15">
      <c r="A8" s="111"/>
      <c r="B8" s="9"/>
      <c r="C8" s="10" t="s">
        <v>4</v>
      </c>
      <c r="D8" s="11"/>
      <c r="E8" s="14">
        <f>SUM(D5:D7)</f>
        <v>4392000</v>
      </c>
      <c r="F8" s="13"/>
    </row>
    <row r="9" spans="1:6" ht="16.5" customHeight="1" thickTop="1" x14ac:dyDescent="0.1">
      <c r="A9" s="111"/>
      <c r="B9" s="15"/>
      <c r="C9" s="16"/>
      <c r="D9" s="17"/>
      <c r="E9" s="18"/>
      <c r="F9" s="13"/>
    </row>
    <row r="10" spans="1:6" ht="16.5" customHeight="1" x14ac:dyDescent="0.1">
      <c r="A10" s="111"/>
      <c r="B10" s="19" t="s">
        <v>5</v>
      </c>
      <c r="C10" s="20"/>
      <c r="D10" s="6"/>
      <c r="E10" s="7"/>
      <c r="F10" s="13"/>
    </row>
    <row r="11" spans="1:6" ht="16.5" customHeight="1" x14ac:dyDescent="0.1">
      <c r="A11" s="111"/>
      <c r="B11" s="9"/>
      <c r="C11" s="10" t="s">
        <v>6</v>
      </c>
      <c r="D11" s="11">
        <f>(16*1000*21*12)</f>
        <v>4032000</v>
      </c>
      <c r="E11" s="12"/>
      <c r="F11" s="21" t="s">
        <v>110</v>
      </c>
    </row>
    <row r="12" spans="1:6" ht="16.5" customHeight="1" x14ac:dyDescent="0.1">
      <c r="A12" s="111"/>
      <c r="B12" s="9"/>
      <c r="C12" s="10" t="s">
        <v>7</v>
      </c>
      <c r="D12" s="11">
        <v>360000</v>
      </c>
      <c r="E12" s="12"/>
      <c r="F12" s="21" t="s">
        <v>104</v>
      </c>
    </row>
    <row r="13" spans="1:6" ht="16.5" customHeight="1" thickBot="1" x14ac:dyDescent="0.15">
      <c r="A13" s="111"/>
      <c r="B13" s="9"/>
      <c r="C13" s="10" t="s">
        <v>8</v>
      </c>
      <c r="D13" s="11"/>
      <c r="E13" s="14">
        <f>SUM(D11:D12)</f>
        <v>4392000</v>
      </c>
      <c r="F13" s="21"/>
    </row>
    <row r="14" spans="1:6" ht="16.5" customHeight="1" thickTop="1" x14ac:dyDescent="0.1">
      <c r="A14" s="111"/>
      <c r="B14" s="9"/>
      <c r="C14" s="22" t="s">
        <v>9</v>
      </c>
      <c r="D14" s="11"/>
      <c r="E14" s="18">
        <f>E8-E13</f>
        <v>0</v>
      </c>
      <c r="F14" s="21"/>
    </row>
    <row r="15" spans="1:6" ht="16.5" customHeight="1" x14ac:dyDescent="0.1">
      <c r="A15" s="112"/>
      <c r="B15" s="15"/>
      <c r="C15" s="16"/>
      <c r="D15" s="17"/>
      <c r="E15" s="23"/>
      <c r="F15" s="24"/>
    </row>
    <row r="16" spans="1:6" ht="16.5" customHeight="1" x14ac:dyDescent="0.1">
      <c r="A16" s="99" t="s">
        <v>10</v>
      </c>
      <c r="B16" s="102" t="s">
        <v>99</v>
      </c>
      <c r="C16" s="103"/>
      <c r="D16" s="7"/>
      <c r="E16" s="7"/>
      <c r="F16" s="25"/>
    </row>
    <row r="17" spans="1:12" ht="16.5" customHeight="1" x14ac:dyDescent="0.1">
      <c r="A17" s="100"/>
      <c r="B17" s="104"/>
      <c r="C17" s="105"/>
      <c r="D17" s="12"/>
      <c r="E17" s="12"/>
      <c r="F17" s="26"/>
    </row>
    <row r="18" spans="1:12" ht="16.5" customHeight="1" x14ac:dyDescent="0.1">
      <c r="A18" s="100"/>
      <c r="B18" s="9"/>
      <c r="C18" s="10" t="s">
        <v>11</v>
      </c>
      <c r="D18" s="12">
        <f>16*5840*21*12</f>
        <v>23546880</v>
      </c>
      <c r="E18" s="12"/>
      <c r="F18" s="26" t="s">
        <v>115</v>
      </c>
    </row>
    <row r="19" spans="1:12" ht="16.5" customHeight="1" thickBot="1" x14ac:dyDescent="0.15">
      <c r="A19" s="100"/>
      <c r="B19" s="9"/>
      <c r="C19" s="22" t="s">
        <v>4</v>
      </c>
      <c r="D19" s="12"/>
      <c r="E19" s="14">
        <f>SUM(D18)</f>
        <v>23546880</v>
      </c>
      <c r="F19" s="26"/>
    </row>
    <row r="20" spans="1:12" ht="16.5" customHeight="1" thickTop="1" x14ac:dyDescent="0.1">
      <c r="A20" s="100"/>
      <c r="B20" s="27" t="s">
        <v>12</v>
      </c>
      <c r="C20" s="65"/>
      <c r="D20" s="12"/>
      <c r="E20" s="18"/>
      <c r="F20" s="26"/>
    </row>
    <row r="21" spans="1:12" ht="12" customHeight="1" x14ac:dyDescent="0.1">
      <c r="A21" s="100"/>
      <c r="B21" s="9"/>
      <c r="C21" s="106" t="s">
        <v>13</v>
      </c>
      <c r="D21" s="107">
        <f>1200000*12</f>
        <v>14400000</v>
      </c>
      <c r="E21" s="12"/>
      <c r="F21" s="26" t="s">
        <v>116</v>
      </c>
    </row>
    <row r="22" spans="1:12" ht="12" customHeight="1" x14ac:dyDescent="0.1">
      <c r="A22" s="100"/>
      <c r="B22" s="9"/>
      <c r="C22" s="106"/>
      <c r="D22" s="107"/>
      <c r="E22" s="12"/>
      <c r="F22" s="26" t="s">
        <v>117</v>
      </c>
    </row>
    <row r="23" spans="1:12" ht="16.5" customHeight="1" x14ac:dyDescent="0.1">
      <c r="A23" s="100"/>
      <c r="B23" s="9"/>
      <c r="C23" s="65" t="s">
        <v>14</v>
      </c>
      <c r="D23" s="12">
        <f>240000*12</f>
        <v>2880000</v>
      </c>
      <c r="E23" s="12"/>
      <c r="F23" s="26" t="s">
        <v>118</v>
      </c>
    </row>
    <row r="24" spans="1:12" ht="16.5" customHeight="1" x14ac:dyDescent="0.1">
      <c r="A24" s="100"/>
      <c r="B24" s="9"/>
      <c r="C24" s="65" t="s">
        <v>15</v>
      </c>
      <c r="D24" s="12">
        <v>100000</v>
      </c>
      <c r="E24" s="29"/>
      <c r="F24" s="26" t="s">
        <v>16</v>
      </c>
    </row>
    <row r="25" spans="1:12" ht="16.5" customHeight="1" x14ac:dyDescent="0.1">
      <c r="A25" s="100"/>
      <c r="B25" s="9"/>
      <c r="C25" s="65" t="s">
        <v>17</v>
      </c>
      <c r="D25" s="12">
        <v>240000</v>
      </c>
      <c r="E25" s="29"/>
      <c r="F25" s="26" t="s">
        <v>119</v>
      </c>
      <c r="L25" s="61"/>
    </row>
    <row r="26" spans="1:12" ht="16.5" customHeight="1" x14ac:dyDescent="0.1">
      <c r="A26" s="100"/>
      <c r="B26" s="9"/>
      <c r="C26" s="65" t="s">
        <v>18</v>
      </c>
      <c r="D26" s="12">
        <v>240000</v>
      </c>
      <c r="E26" s="29"/>
      <c r="F26" s="26" t="s">
        <v>120</v>
      </c>
    </row>
    <row r="27" spans="1:12" ht="16.5" customHeight="1" x14ac:dyDescent="0.1">
      <c r="A27" s="100"/>
      <c r="B27" s="9"/>
      <c r="C27" s="65" t="s">
        <v>19</v>
      </c>
      <c r="D27" s="12">
        <v>200000</v>
      </c>
      <c r="E27" s="29"/>
      <c r="F27" s="26" t="s">
        <v>20</v>
      </c>
    </row>
    <row r="28" spans="1:12" ht="16.5" customHeight="1" x14ac:dyDescent="0.1">
      <c r="A28" s="100"/>
      <c r="B28" s="9"/>
      <c r="C28" s="65" t="s">
        <v>21</v>
      </c>
      <c r="D28" s="12">
        <v>1200000</v>
      </c>
      <c r="E28" s="29"/>
      <c r="F28" s="26" t="s">
        <v>121</v>
      </c>
    </row>
    <row r="29" spans="1:12" ht="16.5" customHeight="1" x14ac:dyDescent="0.1">
      <c r="A29" s="100"/>
      <c r="B29" s="9"/>
      <c r="C29" s="65" t="s">
        <v>22</v>
      </c>
      <c r="D29" s="12">
        <v>240000</v>
      </c>
      <c r="E29" s="29"/>
      <c r="F29" s="26" t="s">
        <v>122</v>
      </c>
    </row>
    <row r="30" spans="1:12" ht="16.5" customHeight="1" x14ac:dyDescent="0.1">
      <c r="A30" s="100"/>
      <c r="B30" s="9"/>
      <c r="C30" s="65" t="s">
        <v>23</v>
      </c>
      <c r="D30" s="12">
        <v>120000</v>
      </c>
      <c r="E30" s="29"/>
      <c r="F30" s="26" t="s">
        <v>123</v>
      </c>
    </row>
    <row r="31" spans="1:12" ht="16.5" customHeight="1" x14ac:dyDescent="0.1">
      <c r="A31" s="100"/>
      <c r="B31" s="9"/>
      <c r="C31" s="65" t="s">
        <v>24</v>
      </c>
      <c r="D31" s="12">
        <v>120000</v>
      </c>
      <c r="E31" s="29"/>
      <c r="F31" s="26" t="s">
        <v>124</v>
      </c>
    </row>
    <row r="32" spans="1:12" ht="16.5" customHeight="1" x14ac:dyDescent="0.1">
      <c r="A32" s="100"/>
      <c r="B32" s="9"/>
      <c r="C32" s="65" t="s">
        <v>25</v>
      </c>
      <c r="D32" s="12">
        <v>240000</v>
      </c>
      <c r="E32" s="29"/>
      <c r="F32" s="30" t="s">
        <v>125</v>
      </c>
    </row>
    <row r="33" spans="1:16" ht="16.5" customHeight="1" x14ac:dyDescent="0.1">
      <c r="A33" s="100"/>
      <c r="B33" s="9"/>
      <c r="C33" s="65" t="s">
        <v>26</v>
      </c>
      <c r="D33" s="12">
        <v>120000</v>
      </c>
      <c r="E33" s="29"/>
      <c r="F33" s="30" t="s">
        <v>126</v>
      </c>
    </row>
    <row r="34" spans="1:16" ht="16.5" customHeight="1" x14ac:dyDescent="0.1">
      <c r="A34" s="100"/>
      <c r="B34" s="9"/>
      <c r="C34" s="65"/>
      <c r="D34" s="12"/>
      <c r="E34" s="29"/>
      <c r="F34" s="30"/>
    </row>
    <row r="35" spans="1:16" ht="16.5" customHeight="1" thickBot="1" x14ac:dyDescent="0.15">
      <c r="A35" s="100"/>
      <c r="B35" s="9"/>
      <c r="C35" s="10" t="s">
        <v>8</v>
      </c>
      <c r="D35" s="12"/>
      <c r="E35" s="14">
        <f>SUM(D21:D33)</f>
        <v>20100000</v>
      </c>
      <c r="F35" s="30"/>
    </row>
    <row r="36" spans="1:16" ht="16.5" customHeight="1" thickTop="1" x14ac:dyDescent="0.1">
      <c r="A36" s="100"/>
      <c r="B36" s="9"/>
      <c r="C36" s="65"/>
      <c r="D36" s="12"/>
      <c r="E36" s="18"/>
      <c r="F36" s="30"/>
    </row>
    <row r="37" spans="1:16" ht="16.5" customHeight="1" x14ac:dyDescent="0.1">
      <c r="A37" s="101"/>
      <c r="B37" s="15"/>
      <c r="C37" s="31" t="s">
        <v>27</v>
      </c>
      <c r="D37" s="23"/>
      <c r="E37" s="32">
        <f>E19-E35</f>
        <v>3446880</v>
      </c>
      <c r="F37" s="33"/>
    </row>
    <row r="38" spans="1:16" ht="16.5" customHeight="1" x14ac:dyDescent="0.1">
      <c r="P38" s="60"/>
    </row>
    <row r="39" spans="1:16" ht="16.5" customHeight="1" x14ac:dyDescent="0.1">
      <c r="P39" s="60"/>
    </row>
  </sheetData>
  <mergeCells count="8">
    <mergeCell ref="B16:C17"/>
    <mergeCell ref="B1:F1"/>
    <mergeCell ref="B2:F2"/>
    <mergeCell ref="B3:C3"/>
    <mergeCell ref="A4:A15"/>
    <mergeCell ref="A16:A37"/>
    <mergeCell ref="C21:C22"/>
    <mergeCell ref="D21:D22"/>
  </mergeCells>
  <phoneticPr fontId="2"/>
  <pageMargins left="0.7" right="0.7" top="0.75" bottom="0.75" header="0.3" footer="0.3"/>
  <pageSetup paperSize="9" scale="93" orientation="portrait"/>
  <extLst>
    <ext xmlns:mx="http://schemas.microsoft.com/office/mac/excel/2008/main" uri="{64002731-A6B0-56B0-2670-7721B7C09600}">
      <mx:PLV Mode="0" OnePage="0" WScale="10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9"/>
  <sheetViews>
    <sheetView workbookViewId="0" xr3:uid="{9B253EF2-77E0-53E3-AE26-4D66ECD923F3}">
      <selection activeCell="A2" sqref="A2:D2"/>
    </sheetView>
  </sheetViews>
  <sheetFormatPr defaultColWidth="8.86328125" defaultRowHeight="13.5" x14ac:dyDescent="0.1"/>
  <cols>
    <col min="1" max="1" width="30.1328125" customWidth="1"/>
    <col min="2" max="4" width="19.08984375" style="35" customWidth="1"/>
    <col min="5" max="8" width="8.86328125" style="35"/>
  </cols>
  <sheetData>
    <row r="1" spans="1:4" x14ac:dyDescent="0.1">
      <c r="A1" s="113" t="s">
        <v>28</v>
      </c>
      <c r="B1" s="113"/>
      <c r="C1" s="113"/>
      <c r="D1" s="113"/>
    </row>
    <row r="2" spans="1:4" x14ac:dyDescent="0.1">
      <c r="A2" s="114">
        <v>42825</v>
      </c>
      <c r="B2" s="115"/>
      <c r="C2" s="115"/>
      <c r="D2" s="115"/>
    </row>
    <row r="3" spans="1:4" x14ac:dyDescent="0.1">
      <c r="A3" s="36" t="s">
        <v>0</v>
      </c>
      <c r="B3" s="116" t="s">
        <v>29</v>
      </c>
      <c r="C3" s="117"/>
      <c r="D3" s="117"/>
    </row>
    <row r="4" spans="1:4" x14ac:dyDescent="0.1">
      <c r="A4" s="29" t="s">
        <v>30</v>
      </c>
      <c r="B4" s="7"/>
      <c r="C4" s="7"/>
      <c r="D4" s="7"/>
    </row>
    <row r="5" spans="1:4" x14ac:dyDescent="0.1">
      <c r="A5" s="37" t="s">
        <v>31</v>
      </c>
      <c r="B5" s="12"/>
      <c r="C5" s="12"/>
      <c r="D5" s="12"/>
    </row>
    <row r="6" spans="1:4" x14ac:dyDescent="0.1">
      <c r="A6" s="38" t="s">
        <v>32</v>
      </c>
      <c r="B6" s="12">
        <v>144200</v>
      </c>
      <c r="C6" s="12"/>
      <c r="D6" s="12"/>
    </row>
    <row r="7" spans="1:4" x14ac:dyDescent="0.1">
      <c r="A7" s="38" t="s">
        <v>33</v>
      </c>
      <c r="B7" s="12">
        <f>SUM(B6:B6)</f>
        <v>144200</v>
      </c>
      <c r="C7" s="12">
        <f>SUM(B6:B6)</f>
        <v>144200</v>
      </c>
      <c r="D7" s="12"/>
    </row>
    <row r="8" spans="1:4" x14ac:dyDescent="0.1">
      <c r="A8" s="37" t="s">
        <v>34</v>
      </c>
      <c r="B8" s="12"/>
      <c r="C8" s="12"/>
      <c r="D8" s="12"/>
    </row>
    <row r="9" spans="1:4" x14ac:dyDescent="0.1">
      <c r="A9" s="37" t="s">
        <v>35</v>
      </c>
      <c r="B9" s="12"/>
      <c r="C9" s="12"/>
      <c r="D9" s="12"/>
    </row>
    <row r="10" spans="1:4" x14ac:dyDescent="0.1">
      <c r="A10" s="38" t="s">
        <v>36</v>
      </c>
      <c r="B10" s="12">
        <v>0</v>
      </c>
      <c r="C10" s="12"/>
      <c r="D10" s="12"/>
    </row>
    <row r="11" spans="1:4" x14ac:dyDescent="0.1">
      <c r="A11" s="38" t="s">
        <v>37</v>
      </c>
      <c r="B11" s="23"/>
      <c r="C11" s="12"/>
      <c r="D11" s="12"/>
    </row>
    <row r="12" spans="1:4" x14ac:dyDescent="0.1">
      <c r="A12" s="38" t="s">
        <v>38</v>
      </c>
      <c r="B12" s="12">
        <f>SUM(B10:B11)</f>
        <v>0</v>
      </c>
      <c r="C12" s="12"/>
      <c r="D12" s="12"/>
    </row>
    <row r="13" spans="1:4" x14ac:dyDescent="0.1">
      <c r="A13" s="37" t="s">
        <v>39</v>
      </c>
      <c r="B13" s="12"/>
      <c r="C13" s="12"/>
      <c r="D13" s="12"/>
    </row>
    <row r="14" spans="1:4" x14ac:dyDescent="0.1">
      <c r="A14" s="38" t="s">
        <v>40</v>
      </c>
      <c r="B14" s="23">
        <v>0</v>
      </c>
      <c r="C14" s="12"/>
      <c r="D14" s="12"/>
    </row>
    <row r="15" spans="1:4" x14ac:dyDescent="0.1">
      <c r="A15" s="38" t="s">
        <v>41</v>
      </c>
      <c r="B15" s="12">
        <f>SUM(B14)</f>
        <v>0</v>
      </c>
      <c r="C15" s="12"/>
      <c r="D15" s="12"/>
    </row>
    <row r="16" spans="1:4" x14ac:dyDescent="0.1">
      <c r="A16" s="37" t="s">
        <v>42</v>
      </c>
      <c r="B16" s="12"/>
      <c r="C16" s="12"/>
      <c r="D16" s="12"/>
    </row>
    <row r="17" spans="1:12" x14ac:dyDescent="0.1">
      <c r="A17" s="38" t="s">
        <v>43</v>
      </c>
      <c r="B17" s="23">
        <v>0</v>
      </c>
      <c r="C17" s="12"/>
      <c r="D17" s="12"/>
    </row>
    <row r="18" spans="1:12" x14ac:dyDescent="0.1">
      <c r="A18" s="38" t="s">
        <v>44</v>
      </c>
      <c r="B18" s="12">
        <f>B17</f>
        <v>0</v>
      </c>
      <c r="C18" s="12"/>
      <c r="D18" s="12"/>
    </row>
    <row r="19" spans="1:12" x14ac:dyDescent="0.1">
      <c r="A19" s="37" t="s">
        <v>45</v>
      </c>
      <c r="B19" s="12"/>
      <c r="C19" s="23">
        <f>B12+B15+B17</f>
        <v>0</v>
      </c>
      <c r="D19" s="12"/>
    </row>
    <row r="20" spans="1:12" ht="14.25" thickBot="1" x14ac:dyDescent="0.15">
      <c r="A20" s="29" t="s">
        <v>46</v>
      </c>
      <c r="B20" s="12"/>
      <c r="C20" s="12"/>
      <c r="D20" s="39">
        <f>C7+C19</f>
        <v>144200</v>
      </c>
    </row>
    <row r="21" spans="1:12" ht="14.25" thickTop="1" x14ac:dyDescent="0.1">
      <c r="A21" s="29"/>
      <c r="B21" s="12"/>
      <c r="C21" s="12"/>
      <c r="D21" s="12"/>
    </row>
    <row r="22" spans="1:12" x14ac:dyDescent="0.1">
      <c r="A22" s="29" t="s">
        <v>47</v>
      </c>
      <c r="B22" s="12"/>
      <c r="C22" s="12"/>
      <c r="D22" s="12"/>
    </row>
    <row r="23" spans="1:12" x14ac:dyDescent="0.1">
      <c r="A23" s="37" t="s">
        <v>48</v>
      </c>
      <c r="B23" s="12"/>
      <c r="C23" s="12"/>
      <c r="D23" s="12"/>
    </row>
    <row r="24" spans="1:12" x14ac:dyDescent="0.1">
      <c r="A24" s="38" t="s">
        <v>49</v>
      </c>
      <c r="B24" s="12">
        <v>0</v>
      </c>
      <c r="C24" s="12"/>
      <c r="D24" s="12"/>
      <c r="L24" s="61"/>
    </row>
    <row r="25" spans="1:12" x14ac:dyDescent="0.1">
      <c r="A25" s="38" t="s">
        <v>50</v>
      </c>
      <c r="B25" s="12">
        <v>0</v>
      </c>
      <c r="C25" s="12"/>
      <c r="D25" s="12"/>
    </row>
    <row r="26" spans="1:12" x14ac:dyDescent="0.1">
      <c r="A26" s="38" t="s">
        <v>51</v>
      </c>
      <c r="B26" s="23">
        <v>50000</v>
      </c>
      <c r="C26" s="12"/>
      <c r="D26" s="12"/>
    </row>
    <row r="27" spans="1:12" x14ac:dyDescent="0.1">
      <c r="A27" s="38" t="s">
        <v>52</v>
      </c>
      <c r="B27" s="12">
        <f>SUM(B24:B26)</f>
        <v>50000</v>
      </c>
      <c r="C27" s="12"/>
      <c r="D27" s="12"/>
    </row>
    <row r="28" spans="1:12" x14ac:dyDescent="0.1">
      <c r="A28" s="37" t="s">
        <v>53</v>
      </c>
      <c r="B28" s="12"/>
      <c r="C28" s="12"/>
      <c r="D28" s="12"/>
    </row>
    <row r="29" spans="1:12" x14ac:dyDescent="0.1">
      <c r="A29" s="38" t="s">
        <v>54</v>
      </c>
      <c r="B29" s="23"/>
      <c r="C29" s="12"/>
      <c r="D29" s="12"/>
    </row>
    <row r="30" spans="1:12" x14ac:dyDescent="0.1">
      <c r="A30" s="38" t="s">
        <v>55</v>
      </c>
      <c r="B30" s="12">
        <f>SUM(B29)</f>
        <v>0</v>
      </c>
      <c r="C30" s="12"/>
      <c r="D30" s="12"/>
    </row>
    <row r="31" spans="1:12" x14ac:dyDescent="0.1">
      <c r="A31" s="29" t="s">
        <v>56</v>
      </c>
      <c r="B31" s="12"/>
      <c r="C31" s="12"/>
      <c r="D31" s="12">
        <f>B27+B30</f>
        <v>50000</v>
      </c>
    </row>
    <row r="32" spans="1:12" x14ac:dyDescent="0.1">
      <c r="A32" s="29" t="s">
        <v>57</v>
      </c>
      <c r="B32" s="12"/>
      <c r="C32" s="12"/>
      <c r="D32" s="12"/>
    </row>
    <row r="33" spans="1:17" x14ac:dyDescent="0.1">
      <c r="A33" s="37" t="s">
        <v>58</v>
      </c>
      <c r="B33" s="12"/>
      <c r="C33" s="12">
        <v>0</v>
      </c>
      <c r="D33" s="12"/>
    </row>
    <row r="34" spans="1:17" x14ac:dyDescent="0.1">
      <c r="A34" s="37" t="s">
        <v>59</v>
      </c>
      <c r="B34" s="12"/>
      <c r="C34" s="23">
        <f>平成29年度!E37</f>
        <v>1000080</v>
      </c>
      <c r="D34" s="12"/>
    </row>
    <row r="35" spans="1:17" x14ac:dyDescent="0.1">
      <c r="A35" s="37" t="s">
        <v>60</v>
      </c>
      <c r="B35" s="12"/>
      <c r="C35" s="12"/>
      <c r="D35" s="23">
        <f>SUM(C33:C34)</f>
        <v>1000080</v>
      </c>
    </row>
    <row r="36" spans="1:17" x14ac:dyDescent="0.1">
      <c r="A36" s="40" t="s">
        <v>61</v>
      </c>
      <c r="B36" s="23"/>
      <c r="C36" s="23"/>
      <c r="D36" s="23">
        <f>D31+D35</f>
        <v>1050080</v>
      </c>
    </row>
    <row r="38" spans="1:17" x14ac:dyDescent="0.1">
      <c r="P38" s="60"/>
    </row>
    <row r="39" spans="1:17" x14ac:dyDescent="0.1">
      <c r="M39" s="59"/>
      <c r="P39" s="60"/>
      <c r="Q39" s="59"/>
    </row>
  </sheetData>
  <mergeCells count="3">
    <mergeCell ref="A1:D1"/>
    <mergeCell ref="A2:D2"/>
    <mergeCell ref="B3:D3"/>
  </mergeCells>
  <phoneticPr fontId="2"/>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39"/>
  <sheetViews>
    <sheetView workbookViewId="0" xr3:uid="{85D5C41F-068E-5C55-9968-509E7C2A5619}">
      <selection sqref="A1:D1"/>
    </sheetView>
  </sheetViews>
  <sheetFormatPr defaultColWidth="8.86328125" defaultRowHeight="13.5" x14ac:dyDescent="0.1"/>
  <cols>
    <col min="1" max="1" width="30.1328125" customWidth="1"/>
    <col min="2" max="4" width="19.08984375" style="35" customWidth="1"/>
    <col min="5" max="5" width="8.86328125" style="35"/>
    <col min="6" max="6" width="9.1328125" style="35" bestFit="1" customWidth="1"/>
    <col min="7" max="8" width="8.86328125" style="35"/>
  </cols>
  <sheetData>
    <row r="1" spans="1:4" x14ac:dyDescent="0.1">
      <c r="A1" s="113" t="s">
        <v>28</v>
      </c>
      <c r="B1" s="113"/>
      <c r="C1" s="113"/>
      <c r="D1" s="113"/>
    </row>
    <row r="2" spans="1:4" x14ac:dyDescent="0.1">
      <c r="A2" s="114">
        <v>43190</v>
      </c>
      <c r="B2" s="115"/>
      <c r="C2" s="115"/>
      <c r="D2" s="115"/>
    </row>
    <row r="3" spans="1:4" x14ac:dyDescent="0.1">
      <c r="A3" s="36" t="s">
        <v>0</v>
      </c>
      <c r="B3" s="116" t="s">
        <v>29</v>
      </c>
      <c r="C3" s="117"/>
      <c r="D3" s="117"/>
    </row>
    <row r="4" spans="1:4" x14ac:dyDescent="0.1">
      <c r="A4" s="29" t="s">
        <v>30</v>
      </c>
      <c r="B4" s="7"/>
      <c r="C4" s="7"/>
      <c r="D4" s="7"/>
    </row>
    <row r="5" spans="1:4" x14ac:dyDescent="0.1">
      <c r="A5" s="37" t="s">
        <v>31</v>
      </c>
      <c r="B5" s="12"/>
      <c r="C5" s="12"/>
      <c r="D5" s="12"/>
    </row>
    <row r="6" spans="1:4" x14ac:dyDescent="0.1">
      <c r="A6" s="38" t="s">
        <v>32</v>
      </c>
      <c r="B6" s="12">
        <v>2447400</v>
      </c>
      <c r="C6" s="12"/>
      <c r="D6" s="12"/>
    </row>
    <row r="7" spans="1:4" x14ac:dyDescent="0.1">
      <c r="A7" s="38" t="s">
        <v>33</v>
      </c>
      <c r="B7" s="12">
        <f>SUM(B6:B6)</f>
        <v>2447400</v>
      </c>
      <c r="C7" s="12">
        <f>SUM(B6:B6)</f>
        <v>2447400</v>
      </c>
      <c r="D7" s="12"/>
    </row>
    <row r="8" spans="1:4" x14ac:dyDescent="0.1">
      <c r="A8" s="37" t="s">
        <v>34</v>
      </c>
      <c r="B8" s="12"/>
      <c r="C8" s="12"/>
      <c r="D8" s="12"/>
    </row>
    <row r="9" spans="1:4" x14ac:dyDescent="0.1">
      <c r="A9" s="37" t="s">
        <v>35</v>
      </c>
      <c r="B9" s="12"/>
      <c r="C9" s="12"/>
      <c r="D9" s="12"/>
    </row>
    <row r="10" spans="1:4" x14ac:dyDescent="0.1">
      <c r="A10" s="38" t="s">
        <v>36</v>
      </c>
      <c r="B10" s="12">
        <v>534000</v>
      </c>
      <c r="C10" s="12"/>
      <c r="D10" s="12"/>
    </row>
    <row r="11" spans="1:4" x14ac:dyDescent="0.1">
      <c r="A11" s="38" t="s">
        <v>37</v>
      </c>
      <c r="B11" s="23">
        <v>500000</v>
      </c>
      <c r="C11" s="12"/>
      <c r="D11" s="12"/>
    </row>
    <row r="12" spans="1:4" x14ac:dyDescent="0.1">
      <c r="A12" s="38" t="s">
        <v>38</v>
      </c>
      <c r="B12" s="12">
        <f>SUM(B10:B11)</f>
        <v>1034000</v>
      </c>
      <c r="C12" s="12"/>
      <c r="D12" s="12"/>
    </row>
    <row r="13" spans="1:4" x14ac:dyDescent="0.1">
      <c r="A13" s="37" t="s">
        <v>39</v>
      </c>
      <c r="B13" s="12"/>
      <c r="C13" s="12"/>
      <c r="D13" s="12"/>
    </row>
    <row r="14" spans="1:4" x14ac:dyDescent="0.1">
      <c r="A14" s="38" t="s">
        <v>40</v>
      </c>
      <c r="B14" s="23">
        <v>0</v>
      </c>
      <c r="C14" s="12"/>
      <c r="D14" s="12"/>
    </row>
    <row r="15" spans="1:4" x14ac:dyDescent="0.1">
      <c r="A15" s="38" t="s">
        <v>41</v>
      </c>
      <c r="B15" s="12">
        <f>SUM(B14)</f>
        <v>0</v>
      </c>
      <c r="C15" s="12"/>
      <c r="D15" s="12"/>
    </row>
    <row r="16" spans="1:4" x14ac:dyDescent="0.1">
      <c r="A16" s="37" t="s">
        <v>42</v>
      </c>
      <c r="B16" s="12"/>
      <c r="C16" s="12"/>
      <c r="D16" s="12"/>
    </row>
    <row r="17" spans="1:12" x14ac:dyDescent="0.1">
      <c r="A17" s="38" t="s">
        <v>43</v>
      </c>
      <c r="B17" s="23"/>
      <c r="C17" s="12"/>
      <c r="D17" s="12"/>
    </row>
    <row r="18" spans="1:12" x14ac:dyDescent="0.1">
      <c r="A18" s="38" t="s">
        <v>44</v>
      </c>
      <c r="B18" s="12">
        <v>250000</v>
      </c>
      <c r="C18" s="12"/>
      <c r="D18" s="12"/>
    </row>
    <row r="19" spans="1:12" x14ac:dyDescent="0.1">
      <c r="A19" s="37" t="s">
        <v>45</v>
      </c>
      <c r="B19" s="12"/>
      <c r="C19" s="23">
        <f>B12+B15+B18</f>
        <v>1284000</v>
      </c>
      <c r="D19" s="12"/>
    </row>
    <row r="20" spans="1:12" ht="14.25" thickBot="1" x14ac:dyDescent="0.15">
      <c r="A20" s="29" t="s">
        <v>46</v>
      </c>
      <c r="B20" s="12"/>
      <c r="C20" s="12"/>
      <c r="D20" s="39">
        <f>C7+C19</f>
        <v>3731400</v>
      </c>
    </row>
    <row r="21" spans="1:12" ht="14.25" thickTop="1" x14ac:dyDescent="0.1">
      <c r="A21" s="29"/>
      <c r="B21" s="12"/>
      <c r="C21" s="12"/>
      <c r="D21" s="12"/>
    </row>
    <row r="22" spans="1:12" x14ac:dyDescent="0.1">
      <c r="A22" s="29" t="s">
        <v>47</v>
      </c>
      <c r="B22" s="12"/>
      <c r="C22" s="12"/>
      <c r="D22" s="12"/>
    </row>
    <row r="23" spans="1:12" x14ac:dyDescent="0.1">
      <c r="A23" s="37" t="s">
        <v>48</v>
      </c>
      <c r="B23" s="12"/>
      <c r="C23" s="12"/>
      <c r="D23" s="12"/>
    </row>
    <row r="24" spans="1:12" x14ac:dyDescent="0.1">
      <c r="A24" s="38" t="s">
        <v>49</v>
      </c>
      <c r="B24" s="12">
        <v>0</v>
      </c>
      <c r="C24" s="12"/>
      <c r="D24" s="12"/>
      <c r="L24" s="61"/>
    </row>
    <row r="25" spans="1:12" x14ac:dyDescent="0.1">
      <c r="A25" s="38" t="s">
        <v>50</v>
      </c>
      <c r="B25" s="12">
        <v>0</v>
      </c>
      <c r="C25" s="12"/>
      <c r="D25" s="12"/>
    </row>
    <row r="26" spans="1:12" x14ac:dyDescent="0.1">
      <c r="A26" s="38" t="s">
        <v>51</v>
      </c>
      <c r="B26" s="23">
        <v>150000</v>
      </c>
      <c r="C26" s="12"/>
      <c r="D26" s="12"/>
    </row>
    <row r="27" spans="1:12" x14ac:dyDescent="0.1">
      <c r="A27" s="38" t="s">
        <v>52</v>
      </c>
      <c r="B27" s="12">
        <f>SUM(B24:B26)</f>
        <v>150000</v>
      </c>
      <c r="C27" s="12"/>
      <c r="D27" s="12"/>
    </row>
    <row r="28" spans="1:12" x14ac:dyDescent="0.1">
      <c r="A28" s="37" t="s">
        <v>53</v>
      </c>
      <c r="B28" s="12"/>
      <c r="C28" s="12"/>
      <c r="D28" s="12"/>
    </row>
    <row r="29" spans="1:12" x14ac:dyDescent="0.1">
      <c r="A29" s="38" t="s">
        <v>54</v>
      </c>
      <c r="B29" s="23">
        <v>0</v>
      </c>
      <c r="C29" s="12"/>
      <c r="D29" s="12"/>
    </row>
    <row r="30" spans="1:12" x14ac:dyDescent="0.1">
      <c r="A30" s="38" t="s">
        <v>55</v>
      </c>
      <c r="B30" s="12">
        <f>SUM(B29)</f>
        <v>0</v>
      </c>
      <c r="C30" s="12"/>
      <c r="D30" s="12"/>
    </row>
    <row r="31" spans="1:12" x14ac:dyDescent="0.1">
      <c r="A31" s="29" t="s">
        <v>56</v>
      </c>
      <c r="B31" s="12"/>
      <c r="C31" s="12"/>
      <c r="D31" s="12">
        <f>B27+B30</f>
        <v>150000</v>
      </c>
    </row>
    <row r="32" spans="1:12" x14ac:dyDescent="0.1">
      <c r="A32" s="29" t="s">
        <v>57</v>
      </c>
      <c r="B32" s="12"/>
      <c r="C32" s="12"/>
      <c r="D32" s="12"/>
    </row>
    <row r="33" spans="1:17" x14ac:dyDescent="0.1">
      <c r="A33" s="37" t="s">
        <v>58</v>
      </c>
      <c r="B33" s="12"/>
      <c r="C33" s="12">
        <f>ＰＬＨ29年度!C34</f>
        <v>1000080</v>
      </c>
      <c r="D33" s="12"/>
    </row>
    <row r="34" spans="1:17" x14ac:dyDescent="0.1">
      <c r="A34" s="37" t="s">
        <v>59</v>
      </c>
      <c r="B34" s="12"/>
      <c r="C34" s="23">
        <f>平成30年度!E37</f>
        <v>3446880</v>
      </c>
      <c r="D34" s="12"/>
    </row>
    <row r="35" spans="1:17" x14ac:dyDescent="0.1">
      <c r="A35" s="37" t="s">
        <v>60</v>
      </c>
      <c r="B35" s="12"/>
      <c r="C35" s="12"/>
      <c r="D35" s="23">
        <f>SUM(C33:C34)</f>
        <v>4446960</v>
      </c>
    </row>
    <row r="36" spans="1:17" x14ac:dyDescent="0.1">
      <c r="A36" s="40" t="s">
        <v>61</v>
      </c>
      <c r="B36" s="23"/>
      <c r="C36" s="23"/>
      <c r="D36" s="23">
        <f>D31+D35</f>
        <v>4596960</v>
      </c>
    </row>
    <row r="38" spans="1:17" x14ac:dyDescent="0.1">
      <c r="P38" s="60"/>
    </row>
    <row r="39" spans="1:17" x14ac:dyDescent="0.1">
      <c r="M39" s="59"/>
      <c r="P39" s="60"/>
      <c r="Q39" s="59"/>
    </row>
  </sheetData>
  <mergeCells count="3">
    <mergeCell ref="A1:D1"/>
    <mergeCell ref="A2:D2"/>
    <mergeCell ref="B3:D3"/>
  </mergeCells>
  <phoneticPr fontId="2"/>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xr3:uid="{44B22561-5205-5C8A-B808-2C70100D228F}"/>
  </sheetViews>
  <sheetFormatPr defaultColWidth="12.953125" defaultRowHeight="13.5" x14ac:dyDescent="0.1"/>
  <sheetData/>
  <phoneticPr fontId="2"/>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事業計画書２９年度</vt:lpstr>
      <vt:lpstr>事業計画書３０年度</vt:lpstr>
      <vt:lpstr>財産目録</vt:lpstr>
      <vt:lpstr>平成29年度</vt:lpstr>
      <vt:lpstr>平成30年度</vt:lpstr>
      <vt:lpstr>ＰＬＨ29年度</vt:lpstr>
      <vt:lpstr>ＰＬＨ30年度</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yamauchi</cp:lastModifiedBy>
  <cp:lastPrinted>2017-05-30T19:35:40Z</cp:lastPrinted>
  <dcterms:created xsi:type="dcterms:W3CDTF">2014-03-29T00:07:08Z</dcterms:created>
  <dcterms:modified xsi:type="dcterms:W3CDTF">2017-05-30T21:35:43Z</dcterms:modified>
</cp:coreProperties>
</file>