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629"/>
  <workbookPr defaultThemeVersion="124226"/>
  <mc:AlternateContent xmlns:mc="http://schemas.openxmlformats.org/markup-compatibility/2006">
    <mc:Choice Requires="x15">
      <x15ac:absPath xmlns:x15ac="http://schemas.microsoft.com/office/spreadsheetml/2010/11/ac" url="C:\Users\Owner\Desktop\"/>
    </mc:Choice>
  </mc:AlternateContent>
  <xr:revisionPtr revIDLastSave="0" documentId="8_{6D9BC143-FC4B-498C-90C8-0650C9262D97}" xr6:coauthVersionLast="43" xr6:coauthVersionMax="43" xr10:uidLastSave="{00000000-0000-0000-0000-000000000000}"/>
  <bookViews>
    <workbookView xWindow="-108" yWindow="-108" windowWidth="23256" windowHeight="12576" xr2:uid="{00000000-000D-0000-FFFF-FFFF00000000}"/>
  </bookViews>
  <sheets>
    <sheet name="１・２" sheetId="4" r:id="rId1"/>
    <sheet name="Sheet1" sheetId="8" r:id="rId2"/>
    <sheet name="3" sheetId="6" r:id="rId3"/>
    <sheet name="４" sheetId="7" r:id="rId4"/>
    <sheet name="５" sheetId="3" r:id="rId5"/>
    <sheet name="６" sheetId="5" r:id="rId6"/>
  </sheets>
  <definedNames>
    <definedName name="_xlnm.Print_Area" localSheetId="3">'４'!$A$1:$I$17</definedName>
    <definedName name="_xlnm.Print_Area" localSheetId="5">'６'!$A$1:$I$19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28" i="4" l="1"/>
  <c r="H29" i="4" s="1"/>
  <c r="G28" i="4"/>
  <c r="G29" i="4" s="1"/>
  <c r="G30" i="4"/>
  <c r="G20" i="6" l="1"/>
  <c r="G21" i="6"/>
  <c r="G31" i="6"/>
  <c r="G29" i="6"/>
  <c r="G30" i="6" s="1"/>
  <c r="G28" i="6"/>
  <c r="G22" i="6"/>
  <c r="I3" i="6" l="1"/>
  <c r="D3" i="6"/>
  <c r="G12" i="6"/>
  <c r="F28" i="4"/>
  <c r="G46" i="6"/>
  <c r="H31" i="4" l="1"/>
  <c r="G31" i="4"/>
  <c r="F33" i="4"/>
  <c r="F31" i="4"/>
  <c r="E33" i="4"/>
  <c r="E31" i="4"/>
  <c r="G32" i="4" l="1"/>
  <c r="G33" i="4" s="1"/>
  <c r="H32" i="4"/>
  <c r="H33" i="4" s="1"/>
</calcChain>
</file>

<file path=xl/sharedStrings.xml><?xml version="1.0" encoding="utf-8"?>
<sst xmlns="http://schemas.openxmlformats.org/spreadsheetml/2006/main" count="274" uniqueCount="148">
  <si>
    <t>具体的作業名</t>
  </si>
  <si>
    <t>改善テーマ</t>
  </si>
  <si>
    <t>目　　標</t>
  </si>
  <si>
    <t>目標達成の方法</t>
  </si>
  <si>
    <t>担当者名</t>
  </si>
  <si>
    <t>評　価(期末記入欄)</t>
  </si>
  <si>
    <t>法人名</t>
  </si>
  <si>
    <t>法人代表者名</t>
  </si>
  <si>
    <t>所在地</t>
  </si>
  <si>
    <t>□月額　</t>
  </si>
  <si>
    <t>定員数</t>
  </si>
  <si>
    <t>工賃向上計画の推進体制</t>
  </si>
  <si>
    <t>（責任者及び運営体制図）</t>
  </si>
  <si>
    <t>提出日</t>
    <rPh sb="0" eb="2">
      <t>テイシュツ</t>
    </rPh>
    <rPh sb="2" eb="3">
      <t>ビ</t>
    </rPh>
    <phoneticPr fontId="6"/>
  </si>
  <si>
    <t>記入者名</t>
    <rPh sb="0" eb="2">
      <t>キニュウ</t>
    </rPh>
    <rPh sb="2" eb="3">
      <t>シャ</t>
    </rPh>
    <rPh sb="3" eb="4">
      <t>メイ</t>
    </rPh>
    <phoneticPr fontId="6"/>
  </si>
  <si>
    <t>単位：円、人（時間）</t>
    <rPh sb="0" eb="2">
      <t>タンイ</t>
    </rPh>
    <rPh sb="3" eb="4">
      <t>エン</t>
    </rPh>
    <rPh sb="5" eb="6">
      <t>ニン</t>
    </rPh>
    <rPh sb="7" eb="9">
      <t>ジカン</t>
    </rPh>
    <phoneticPr fontId="6"/>
  </si>
  <si>
    <t>管理者</t>
    <rPh sb="0" eb="3">
      <t>カンリシャ</t>
    </rPh>
    <phoneticPr fontId="6"/>
  </si>
  <si>
    <t>利用者数</t>
    <rPh sb="0" eb="3">
      <t>リヨウシャ</t>
    </rPh>
    <phoneticPr fontId="6"/>
  </si>
  <si>
    <t>職業指導員</t>
    <rPh sb="0" eb="2">
      <t>ショクギョウ</t>
    </rPh>
    <rPh sb="2" eb="5">
      <t>シドウイン</t>
    </rPh>
    <phoneticPr fontId="6"/>
  </si>
  <si>
    <t>生活支援員</t>
    <rPh sb="0" eb="2">
      <t>セイカツ</t>
    </rPh>
    <rPh sb="2" eb="5">
      <t>シエンイン</t>
    </rPh>
    <phoneticPr fontId="6"/>
  </si>
  <si>
    <t>目標工賃
達成指導員</t>
    <rPh sb="0" eb="2">
      <t>モクヒョウ</t>
    </rPh>
    <rPh sb="2" eb="4">
      <t>コウチン</t>
    </rPh>
    <rPh sb="5" eb="7">
      <t>タッセイ</t>
    </rPh>
    <rPh sb="7" eb="10">
      <t>シドウイン</t>
    </rPh>
    <phoneticPr fontId="6"/>
  </si>
  <si>
    <t>その他</t>
    <rPh sb="2" eb="3">
      <t>ホカ</t>
    </rPh>
    <phoneticPr fontId="6"/>
  </si>
  <si>
    <t>年額売上高(A)</t>
    <phoneticPr fontId="6"/>
  </si>
  <si>
    <t>工賃支払総額(B)</t>
    <phoneticPr fontId="6"/>
  </si>
  <si>
    <t>※延人数（C）</t>
    <phoneticPr fontId="6"/>
  </si>
  <si>
    <t>障害の内訳</t>
    <rPh sb="0" eb="2">
      <t>ショウガイ</t>
    </rPh>
    <rPh sb="3" eb="5">
      <t>ウチワケ</t>
    </rPh>
    <phoneticPr fontId="6"/>
  </si>
  <si>
    <t>工賃向上計画</t>
    <phoneticPr fontId="6"/>
  </si>
  <si>
    <t>２．工賃の現状と引き上げ目標（実績値・目標値）</t>
    <phoneticPr fontId="6"/>
  </si>
  <si>
    <t>　　取組期間</t>
    <rPh sb="2" eb="4">
      <t>トリクミ</t>
    </rPh>
    <rPh sb="4" eb="6">
      <t>キカン</t>
    </rPh>
    <phoneticPr fontId="6"/>
  </si>
  <si>
    <t>目標工賃の算出方法</t>
    <rPh sb="5" eb="7">
      <t>サンシュツ</t>
    </rPh>
    <rPh sb="7" eb="9">
      <t>ホウホウ</t>
    </rPh>
    <phoneticPr fontId="6"/>
  </si>
  <si>
    <t>※平均工賃月額
（D)＝B÷C</t>
    <phoneticPr fontId="6"/>
  </si>
  <si>
    <t>職員の状況（指導職員の職種別人数）</t>
    <rPh sb="0" eb="2">
      <t>ショクイン</t>
    </rPh>
    <rPh sb="3" eb="5">
      <t>ジョウキョウ</t>
    </rPh>
    <rPh sb="6" eb="8">
      <t>シドウ</t>
    </rPh>
    <rPh sb="8" eb="10">
      <t>ショクイン</t>
    </rPh>
    <rPh sb="11" eb="13">
      <t>ショクシュ</t>
    </rPh>
    <rPh sb="13" eb="14">
      <t>ベツ</t>
    </rPh>
    <rPh sb="14" eb="16">
      <t>ニンズウ</t>
    </rPh>
    <phoneticPr fontId="6"/>
  </si>
  <si>
    <r>
      <t>※工賃向上に</t>
    </r>
    <r>
      <rPr>
        <sz val="11"/>
        <color theme="1"/>
        <rFont val="ＭＳ Ｐゴシック"/>
        <family val="3"/>
        <charset val="128"/>
        <scheme val="minor"/>
      </rPr>
      <t>有効であった取組事例や工賃向上の障害となった要因。また、計画に記載した業務、作業内容の見直し等の目標に基づき、どのような改善が図られたかなどを記入してください。</t>
    </r>
    <rPh sb="1" eb="3">
      <t>コウチン</t>
    </rPh>
    <rPh sb="3" eb="5">
      <t>コウジョウ</t>
    </rPh>
    <rPh sb="6" eb="8">
      <t>ユウコウ</t>
    </rPh>
    <rPh sb="12" eb="14">
      <t>トリクミ</t>
    </rPh>
    <rPh sb="14" eb="16">
      <t>ジレイ</t>
    </rPh>
    <rPh sb="17" eb="19">
      <t>コウチン</t>
    </rPh>
    <rPh sb="19" eb="21">
      <t>コウジョウ</t>
    </rPh>
    <rPh sb="22" eb="24">
      <t>ショウガイ</t>
    </rPh>
    <rPh sb="28" eb="30">
      <t>ヨウイン</t>
    </rPh>
    <rPh sb="34" eb="36">
      <t>ケイカク</t>
    </rPh>
    <rPh sb="37" eb="39">
      <t>キサイ</t>
    </rPh>
    <rPh sb="41" eb="43">
      <t>ギョウム</t>
    </rPh>
    <rPh sb="44" eb="46">
      <t>サギョウ</t>
    </rPh>
    <rPh sb="46" eb="48">
      <t>ナイヨウ</t>
    </rPh>
    <rPh sb="49" eb="51">
      <t>ミナオ</t>
    </rPh>
    <rPh sb="52" eb="53">
      <t>トウ</t>
    </rPh>
    <rPh sb="54" eb="56">
      <t>モクヒョウ</t>
    </rPh>
    <rPh sb="57" eb="58">
      <t>モト</t>
    </rPh>
    <rPh sb="66" eb="68">
      <t>カイゼン</t>
    </rPh>
    <rPh sb="69" eb="70">
      <t>ハカ</t>
    </rPh>
    <rPh sb="77" eb="79">
      <t>キニュウ</t>
    </rPh>
    <phoneticPr fontId="6"/>
  </si>
  <si>
    <t>１．事業所の概要　</t>
  </si>
  <si>
    <t>事業所の特徴
（工賃向上に取り組む考え方や、活動内容、事業所の強み、将来のイメージなど）</t>
    <rPh sb="9" eb="11">
      <t>コウチン</t>
    </rPh>
    <rPh sb="11" eb="13">
      <t>コウジョウ</t>
    </rPh>
    <rPh sb="14" eb="15">
      <t>ト</t>
    </rPh>
    <rPh sb="16" eb="17">
      <t>ク</t>
    </rPh>
    <rPh sb="18" eb="19">
      <t>カンガ</t>
    </rPh>
    <rPh sb="20" eb="21">
      <t>カタ</t>
    </rPh>
    <rPh sb="23" eb="25">
      <t>カツドウ</t>
    </rPh>
    <rPh sb="25" eb="27">
      <t>ナイヨウ</t>
    </rPh>
    <rPh sb="28" eb="31">
      <t>ジギョウショ</t>
    </rPh>
    <rPh sb="32" eb="33">
      <t>ツヨ</t>
    </rPh>
    <rPh sb="35" eb="37">
      <t>ショウライ</t>
    </rPh>
    <phoneticPr fontId="6"/>
  </si>
  <si>
    <t>事業所番号</t>
    <rPh sb="0" eb="3">
      <t>ジギョウショ</t>
    </rPh>
    <rPh sb="3" eb="5">
      <t>バンゴウ</t>
    </rPh>
    <phoneticPr fontId="6"/>
  </si>
  <si>
    <t>平成32年度</t>
    <phoneticPr fontId="6"/>
  </si>
  <si>
    <t>平成31年度</t>
    <phoneticPr fontId="6"/>
  </si>
  <si>
    <t>平成30年度</t>
    <phoneticPr fontId="6"/>
  </si>
  <si>
    <t>平成29年度</t>
    <phoneticPr fontId="6"/>
  </si>
  <si>
    <t>平成28年度</t>
    <phoneticPr fontId="6"/>
  </si>
  <si>
    <t>平成27年度</t>
    <phoneticPr fontId="6"/>
  </si>
  <si>
    <t>※平均工賃時間額
（Ｆ)＝B÷Ｅ</t>
    <rPh sb="5" eb="7">
      <t>ジカン</t>
    </rPh>
    <phoneticPr fontId="6"/>
  </si>
  <si>
    <t>※延時間（Ｅ）</t>
    <rPh sb="2" eb="4">
      <t>ジカン</t>
    </rPh>
    <phoneticPr fontId="6"/>
  </si>
  <si>
    <t>３．各事業の現状と評価</t>
  </si>
  <si>
    <t>利用人員数</t>
  </si>
  <si>
    <t>支払工賃総額</t>
  </si>
  <si>
    <t>区分</t>
  </si>
  <si>
    <t>作業の内容･特徴</t>
  </si>
  <si>
    <t>現状及び評価</t>
  </si>
  <si>
    <t>事業の課題と方向性</t>
  </si>
  <si>
    <t>優先</t>
  </si>
  <si>
    <t>事業の将来性</t>
  </si>
  <si>
    <t>事業の意義</t>
  </si>
  <si>
    <t>順位</t>
  </si>
  <si>
    <t>(５段階評価)</t>
  </si>
  <si>
    <t>(作業内容)</t>
  </si>
  <si>
    <r>
      <t>年間売上金額(A)</t>
    </r>
    <r>
      <rPr>
        <sz val="8"/>
        <color theme="1"/>
        <rFont val="ＭＳ 明朝"/>
        <family val="1"/>
        <charset val="128"/>
      </rPr>
      <t xml:space="preserve"> </t>
    </r>
  </si>
  <si>
    <t>①もっと販売･受注が見込める</t>
  </si>
  <si>
    <t>④利用者の適性にマッチしている</t>
  </si>
  <si>
    <t>(課　題)</t>
  </si>
  <si>
    <t>「原価」(B)：①+②+③</t>
  </si>
  <si>
    <t>②パート人件費</t>
  </si>
  <si>
    <t>②もっと生産量を増やせる</t>
  </si>
  <si>
    <t>⑤利用者の職業能力の開発が見込める</t>
  </si>
  <si>
    <t>③外注費</t>
  </si>
  <si>
    <t>(方向性)</t>
  </si>
  <si>
    <t>(特徴)</t>
  </si>
  <si>
    <t>「粗利益額」(C)：A-B</t>
  </si>
  <si>
    <t>利用者人員(D)</t>
  </si>
  <si>
    <t>③商品力･技術力が高い</t>
  </si>
  <si>
    <t>⑥地域とのつながり・貢献性が高い</t>
  </si>
  <si>
    <t>一人あたり「粗利益額」(C/D)</t>
  </si>
  <si>
    <t>４　工賃向上に向けた取組み</t>
    <rPh sb="2" eb="4">
      <t>コウチン</t>
    </rPh>
    <rPh sb="4" eb="6">
      <t>コウジョウ</t>
    </rPh>
    <rPh sb="7" eb="8">
      <t>ム</t>
    </rPh>
    <rPh sb="10" eb="11">
      <t>ト</t>
    </rPh>
    <rPh sb="11" eb="12">
      <t>ク</t>
    </rPh>
    <phoneticPr fontId="6"/>
  </si>
  <si>
    <t>※地元企業等との協働による商品開発や販売戦略、生産性向上や販路拡大等、工賃向上に向けた今後の取組みについて計画を記載してください。</t>
    <rPh sb="1" eb="3">
      <t>ジモト</t>
    </rPh>
    <rPh sb="3" eb="5">
      <t>キギョウ</t>
    </rPh>
    <rPh sb="5" eb="6">
      <t>ナド</t>
    </rPh>
    <rPh sb="8" eb="10">
      <t>キョウドウ</t>
    </rPh>
    <rPh sb="13" eb="15">
      <t>ショウヒン</t>
    </rPh>
    <rPh sb="15" eb="17">
      <t>カイハツ</t>
    </rPh>
    <rPh sb="18" eb="20">
      <t>ハンバイ</t>
    </rPh>
    <rPh sb="20" eb="22">
      <t>センリャク</t>
    </rPh>
    <rPh sb="23" eb="26">
      <t>セイサンセイ</t>
    </rPh>
    <rPh sb="26" eb="28">
      <t>コウジョウ</t>
    </rPh>
    <rPh sb="29" eb="31">
      <t>ハンロ</t>
    </rPh>
    <rPh sb="31" eb="33">
      <t>カクダイ</t>
    </rPh>
    <rPh sb="33" eb="34">
      <t>ナド</t>
    </rPh>
    <rPh sb="35" eb="37">
      <t>コウチン</t>
    </rPh>
    <rPh sb="37" eb="39">
      <t>コウジョウ</t>
    </rPh>
    <rPh sb="40" eb="41">
      <t>ム</t>
    </rPh>
    <rPh sb="43" eb="45">
      <t>コンゴ</t>
    </rPh>
    <rPh sb="46" eb="47">
      <t>ト</t>
    </rPh>
    <rPh sb="47" eb="48">
      <t>ク</t>
    </rPh>
    <rPh sb="53" eb="55">
      <t>ケイカク</t>
    </rPh>
    <rPh sb="56" eb="58">
      <t>キサイ</t>
    </rPh>
    <phoneticPr fontId="6"/>
  </si>
  <si>
    <t>年間売上金額　</t>
    <phoneticPr fontId="6"/>
  </si>
  <si>
    <t>その他</t>
  </si>
  <si>
    <t>（備　考）</t>
  </si>
  <si>
    <t>「原価」(B)</t>
  </si>
  <si>
    <r>
      <t>※目標工賃は、月額での算出を基本としますが、</t>
    </r>
    <r>
      <rPr>
        <b/>
        <u/>
        <sz val="10.5"/>
        <color theme="1"/>
        <rFont val="ＭＳ ゴシック"/>
        <family val="3"/>
        <charset val="128"/>
      </rPr>
      <t>時間額</t>
    </r>
    <r>
      <rPr>
        <b/>
        <u/>
        <sz val="10.5"/>
        <color theme="1"/>
        <rFont val="ＭＳ 明朝"/>
        <family val="1"/>
        <charset val="128"/>
      </rPr>
      <t>で算出する場合は、「延時間」欄に延時間を記載し、「平均工賃時間額」欄に平均工賃時間額を記載してください。</t>
    </r>
    <rPh sb="7" eb="9">
      <t>ゲツガク</t>
    </rPh>
    <rPh sb="11" eb="13">
      <t>サンシュツ</t>
    </rPh>
    <rPh sb="14" eb="16">
      <t>キホン</t>
    </rPh>
    <rPh sb="36" eb="38">
      <t>ジカン</t>
    </rPh>
    <rPh sb="54" eb="57">
      <t>ジカンガク</t>
    </rPh>
    <phoneticPr fontId="6"/>
  </si>
  <si>
    <t>事業所名</t>
    <rPh sb="0" eb="3">
      <t>ジギョウショ</t>
    </rPh>
    <rPh sb="3" eb="4">
      <t>メイ</t>
    </rPh>
    <phoneticPr fontId="6"/>
  </si>
  <si>
    <t>①仕入・原材料費</t>
    <phoneticPr fontId="6"/>
  </si>
  <si>
    <t>①仕入・原材料費</t>
    <phoneticPr fontId="6"/>
  </si>
  <si>
    <t>①仕入・原材料費</t>
    <phoneticPr fontId="6"/>
  </si>
  <si>
    <t>事業の収益性(平成29年度実績)</t>
    <phoneticPr fontId="6"/>
  </si>
  <si>
    <t>５．改善計画シート</t>
    <phoneticPr fontId="6"/>
  </si>
  <si>
    <t>一般社団法人アンマー</t>
    <rPh sb="0" eb="6">
      <t>イッパンシャダンホウジン</t>
    </rPh>
    <phoneticPr fontId="6"/>
  </si>
  <si>
    <t>貝畑明典</t>
    <rPh sb="0" eb="2">
      <t>カイハタ</t>
    </rPh>
    <rPh sb="2" eb="4">
      <t>アキノリ</t>
    </rPh>
    <phoneticPr fontId="6"/>
  </si>
  <si>
    <t>就労継続支援B型シェル</t>
    <rPh sb="0" eb="6">
      <t>シュウロウケイゾクシエン</t>
    </rPh>
    <rPh sb="7" eb="8">
      <t>ガタ</t>
    </rPh>
    <phoneticPr fontId="6"/>
  </si>
  <si>
    <t>岡山県笠岡市用之江８１０－１</t>
    <rPh sb="0" eb="9">
      <t>オカヤマケンカサオカシモチノエ</t>
    </rPh>
    <phoneticPr fontId="6"/>
  </si>
  <si>
    <t>TEL：0865-61-4351　　　　　　FAX：0865-61-4351</t>
    <phoneticPr fontId="6"/>
  </si>
  <si>
    <t>E-mail：info@ammer.jp</t>
    <phoneticPr fontId="6"/>
  </si>
  <si>
    <t>■時間額　　　　　　　　　　　　※月額により算出する方法を基本とします。</t>
    <phoneticPr fontId="6"/>
  </si>
  <si>
    <t>本団体は社会経験豊富な理事会メンバーにより、利用者の特性にあった作業・仕事を作り出すことができます。平成29年度は靴下端材を使った座布団の作成やハウス栽培などの農作業に取り組んでいます。
平成30年度半ばより、ITメーカーとの業務委託契約を推し進め単価の高い仕事の取り組みも開始します。</t>
    <rPh sb="0" eb="1">
      <t>ホン</t>
    </rPh>
    <rPh sb="1" eb="3">
      <t>ダンタイ</t>
    </rPh>
    <rPh sb="4" eb="6">
      <t>シャカイ</t>
    </rPh>
    <rPh sb="6" eb="8">
      <t>ケイケン</t>
    </rPh>
    <rPh sb="8" eb="10">
      <t>ホウフ</t>
    </rPh>
    <rPh sb="11" eb="13">
      <t>リジ</t>
    </rPh>
    <rPh sb="13" eb="14">
      <t>カイ</t>
    </rPh>
    <rPh sb="22" eb="25">
      <t>リヨウシャ</t>
    </rPh>
    <rPh sb="26" eb="28">
      <t>トクセイ</t>
    </rPh>
    <rPh sb="32" eb="34">
      <t>サギョウ</t>
    </rPh>
    <rPh sb="35" eb="37">
      <t>シゴト</t>
    </rPh>
    <rPh sb="38" eb="39">
      <t>ツク</t>
    </rPh>
    <rPh sb="40" eb="41">
      <t>ダ</t>
    </rPh>
    <rPh sb="50" eb="52">
      <t>ヘイセイ</t>
    </rPh>
    <rPh sb="54" eb="56">
      <t>ネンド</t>
    </rPh>
    <rPh sb="57" eb="59">
      <t>クツシタ</t>
    </rPh>
    <rPh sb="59" eb="60">
      <t>ハシ</t>
    </rPh>
    <rPh sb="60" eb="61">
      <t>ザイ</t>
    </rPh>
    <rPh sb="62" eb="63">
      <t>ツカ</t>
    </rPh>
    <rPh sb="65" eb="68">
      <t>ザブトン</t>
    </rPh>
    <rPh sb="69" eb="71">
      <t>サクセイ</t>
    </rPh>
    <rPh sb="75" eb="77">
      <t>サイバイ</t>
    </rPh>
    <rPh sb="80" eb="83">
      <t>ノウサギョウ</t>
    </rPh>
    <rPh sb="84" eb="85">
      <t>ト</t>
    </rPh>
    <rPh sb="86" eb="87">
      <t>ク</t>
    </rPh>
    <rPh sb="94" eb="96">
      <t>ヘイセイ</t>
    </rPh>
    <rPh sb="98" eb="100">
      <t>ネンド</t>
    </rPh>
    <rPh sb="100" eb="101">
      <t>ナカ</t>
    </rPh>
    <rPh sb="113" eb="115">
      <t>ギョウム</t>
    </rPh>
    <rPh sb="115" eb="117">
      <t>イタク</t>
    </rPh>
    <rPh sb="117" eb="119">
      <t>ケイヤク</t>
    </rPh>
    <rPh sb="120" eb="121">
      <t>オ</t>
    </rPh>
    <rPh sb="122" eb="123">
      <t>スス</t>
    </rPh>
    <rPh sb="124" eb="126">
      <t>タンカ</t>
    </rPh>
    <rPh sb="127" eb="128">
      <t>タカ</t>
    </rPh>
    <rPh sb="129" eb="131">
      <t>シゴト</t>
    </rPh>
    <rPh sb="132" eb="133">
      <t>ト</t>
    </rPh>
    <rPh sb="134" eb="135">
      <t>ク</t>
    </rPh>
    <rPh sb="137" eb="139">
      <t>カイシ</t>
    </rPh>
    <phoneticPr fontId="6"/>
  </si>
  <si>
    <t>自主製品</t>
    <rPh sb="0" eb="2">
      <t>ジシュ</t>
    </rPh>
    <rPh sb="2" eb="4">
      <t>セイヒン</t>
    </rPh>
    <phoneticPr fontId="6"/>
  </si>
  <si>
    <t>手芸</t>
    <rPh sb="0" eb="2">
      <t>シュゲイ</t>
    </rPh>
    <phoneticPr fontId="6"/>
  </si>
  <si>
    <t>(作業内容)
靴下メーカー様より安価に調達した靴下の端材を使った手芸品の作成。</t>
    <rPh sb="7" eb="9">
      <t>クツシタ</t>
    </rPh>
    <rPh sb="13" eb="14">
      <t>サマ</t>
    </rPh>
    <rPh sb="16" eb="18">
      <t>アンカ</t>
    </rPh>
    <rPh sb="19" eb="21">
      <t>チョウタツ</t>
    </rPh>
    <rPh sb="23" eb="25">
      <t>クツシタ</t>
    </rPh>
    <rPh sb="26" eb="27">
      <t>ハシ</t>
    </rPh>
    <rPh sb="27" eb="28">
      <t>ザイ</t>
    </rPh>
    <rPh sb="29" eb="30">
      <t>ツカ</t>
    </rPh>
    <rPh sb="32" eb="34">
      <t>シュゲイ</t>
    </rPh>
    <rPh sb="34" eb="35">
      <t>ヒン</t>
    </rPh>
    <rPh sb="36" eb="38">
      <t>サクセイ</t>
    </rPh>
    <phoneticPr fontId="6"/>
  </si>
  <si>
    <t>(特徴)
道具を使わず簡単な作業で座布団などを作成できる。</t>
    <rPh sb="5" eb="7">
      <t>ドウグ</t>
    </rPh>
    <rPh sb="8" eb="9">
      <t>ツカ</t>
    </rPh>
    <rPh sb="11" eb="13">
      <t>カンタン</t>
    </rPh>
    <rPh sb="14" eb="16">
      <t>サギョウ</t>
    </rPh>
    <rPh sb="17" eb="20">
      <t>ザブトン</t>
    </rPh>
    <rPh sb="23" eb="25">
      <t>サクセイ</t>
    </rPh>
    <phoneticPr fontId="6"/>
  </si>
  <si>
    <t xml:space="preserve">（30－32年度）
製品品質の向上
販路開拓
</t>
    <rPh sb="6" eb="8">
      <t>ネンド</t>
    </rPh>
    <rPh sb="10" eb="12">
      <t>セイヒン</t>
    </rPh>
    <rPh sb="12" eb="14">
      <t>ヒンシツ</t>
    </rPh>
    <rPh sb="15" eb="17">
      <t>コウジョウ</t>
    </rPh>
    <rPh sb="18" eb="22">
      <t>ハンロカイタク</t>
    </rPh>
    <phoneticPr fontId="6"/>
  </si>
  <si>
    <r>
      <t xml:space="preserve">初年度
</t>
    </r>
    <r>
      <rPr>
        <sz val="12"/>
        <color theme="1"/>
        <rFont val="ＭＳ Ｐゴシック"/>
        <family val="3"/>
        <charset val="128"/>
        <scheme val="minor"/>
      </rPr>
      <t>販路開拓</t>
    </r>
    <r>
      <rPr>
        <sz val="6"/>
        <color theme="1"/>
        <rFont val="ＭＳ Ｐゴシック"/>
        <family val="2"/>
        <charset val="128"/>
        <scheme val="minor"/>
      </rPr>
      <t xml:space="preserve">
</t>
    </r>
    <rPh sb="0" eb="3">
      <t>ショネンド</t>
    </rPh>
    <rPh sb="4" eb="6">
      <t>ハンロ</t>
    </rPh>
    <rPh sb="6" eb="8">
      <t>カイタク</t>
    </rPh>
    <phoneticPr fontId="6"/>
  </si>
  <si>
    <r>
      <t xml:space="preserve">次年度
</t>
    </r>
    <r>
      <rPr>
        <sz val="12"/>
        <color theme="1"/>
        <rFont val="ＭＳ Ｐゴシック"/>
        <family val="3"/>
        <charset val="128"/>
        <scheme val="minor"/>
      </rPr>
      <t>販路開拓
品質向上</t>
    </r>
    <rPh sb="0" eb="1">
      <t>ツギ</t>
    </rPh>
    <rPh sb="1" eb="3">
      <t>ネンド</t>
    </rPh>
    <rPh sb="4" eb="6">
      <t>ハンロ</t>
    </rPh>
    <rPh sb="6" eb="8">
      <t>カイタク</t>
    </rPh>
    <rPh sb="9" eb="11">
      <t>ヒンシツ</t>
    </rPh>
    <rPh sb="11" eb="13">
      <t>コウジョウ</t>
    </rPh>
    <phoneticPr fontId="6"/>
  </si>
  <si>
    <t>手芸品</t>
    <rPh sb="0" eb="2">
      <t>シュゲイ</t>
    </rPh>
    <rPh sb="2" eb="3">
      <t>ヒン</t>
    </rPh>
    <phoneticPr fontId="6"/>
  </si>
  <si>
    <r>
      <t xml:space="preserve">最終年度
</t>
    </r>
    <r>
      <rPr>
        <sz val="12"/>
        <color theme="1"/>
        <rFont val="ＭＳ Ｐゴシック"/>
        <family val="3"/>
        <charset val="128"/>
        <scheme val="minor"/>
      </rPr>
      <t>販路開拓
品質向上</t>
    </r>
    <rPh sb="0" eb="2">
      <t>サイシュウ</t>
    </rPh>
    <rPh sb="2" eb="4">
      <t>ネンド</t>
    </rPh>
    <phoneticPr fontId="6"/>
  </si>
  <si>
    <t>路地物野菜</t>
    <rPh sb="0" eb="2">
      <t>ロジ</t>
    </rPh>
    <rPh sb="2" eb="3">
      <t>モノ</t>
    </rPh>
    <rPh sb="3" eb="5">
      <t>ヤサイ</t>
    </rPh>
    <phoneticPr fontId="6"/>
  </si>
  <si>
    <t xml:space="preserve">（30－32年度）
品質の向上
販路確保
</t>
    <rPh sb="6" eb="8">
      <t>ネンド</t>
    </rPh>
    <rPh sb="10" eb="12">
      <t>ヒンシツ</t>
    </rPh>
    <rPh sb="11" eb="12">
      <t>セイヒン</t>
    </rPh>
    <rPh sb="13" eb="15">
      <t>コウジョウ</t>
    </rPh>
    <rPh sb="16" eb="18">
      <t>ハンロ</t>
    </rPh>
    <rPh sb="18" eb="20">
      <t>カクホ</t>
    </rPh>
    <phoneticPr fontId="6"/>
  </si>
  <si>
    <r>
      <t xml:space="preserve">初年度
</t>
    </r>
    <r>
      <rPr>
        <sz val="12"/>
        <color theme="1"/>
        <rFont val="ＭＳ Ｐゴシック"/>
        <family val="3"/>
        <charset val="128"/>
        <scheme val="minor"/>
      </rPr>
      <t>品質向上</t>
    </r>
    <r>
      <rPr>
        <sz val="6"/>
        <color theme="1"/>
        <rFont val="ＭＳ Ｐゴシック"/>
        <family val="2"/>
        <charset val="128"/>
        <scheme val="minor"/>
      </rPr>
      <t xml:space="preserve">
</t>
    </r>
    <rPh sb="0" eb="3">
      <t>ショネンド</t>
    </rPh>
    <rPh sb="4" eb="6">
      <t>ヒンシツ</t>
    </rPh>
    <rPh sb="6" eb="8">
      <t>コウジョウ</t>
    </rPh>
    <phoneticPr fontId="6"/>
  </si>
  <si>
    <t>地元催事への積極的参加
売り場の開拓</t>
    <rPh sb="0" eb="2">
      <t>ジモト</t>
    </rPh>
    <rPh sb="2" eb="4">
      <t>サイジ</t>
    </rPh>
    <rPh sb="6" eb="9">
      <t>セッキョクテキ</t>
    </rPh>
    <rPh sb="9" eb="11">
      <t>サンカ</t>
    </rPh>
    <rPh sb="12" eb="13">
      <t>ウ</t>
    </rPh>
    <rPh sb="14" eb="15">
      <t>バ</t>
    </rPh>
    <rPh sb="16" eb="18">
      <t>カイタク</t>
    </rPh>
    <phoneticPr fontId="6"/>
  </si>
  <si>
    <t>地元催事への積極的参加
売り場の開拓
アート展への出展の検討</t>
    <rPh sb="0" eb="2">
      <t>ジモト</t>
    </rPh>
    <rPh sb="2" eb="4">
      <t>サイジ</t>
    </rPh>
    <rPh sb="6" eb="9">
      <t>セッキョクテキ</t>
    </rPh>
    <rPh sb="9" eb="11">
      <t>サンカ</t>
    </rPh>
    <rPh sb="12" eb="13">
      <t>ウ</t>
    </rPh>
    <rPh sb="14" eb="15">
      <t>バ</t>
    </rPh>
    <rPh sb="16" eb="18">
      <t>カイタク</t>
    </rPh>
    <rPh sb="22" eb="23">
      <t>テン</t>
    </rPh>
    <rPh sb="25" eb="27">
      <t>シュッテン</t>
    </rPh>
    <rPh sb="28" eb="30">
      <t>ケントウ</t>
    </rPh>
    <phoneticPr fontId="6"/>
  </si>
  <si>
    <t>季節ごとの作物のチャレンジ</t>
    <rPh sb="0" eb="2">
      <t>キセツ</t>
    </rPh>
    <rPh sb="5" eb="7">
      <t>サクモツ</t>
    </rPh>
    <phoneticPr fontId="6"/>
  </si>
  <si>
    <t>地元催事への積極的参加
外部より指導員を確保</t>
    <rPh sb="0" eb="2">
      <t>ジモト</t>
    </rPh>
    <rPh sb="2" eb="4">
      <t>サイジ</t>
    </rPh>
    <rPh sb="6" eb="9">
      <t>セッキョクテキ</t>
    </rPh>
    <rPh sb="9" eb="11">
      <t>サンカ</t>
    </rPh>
    <rPh sb="12" eb="14">
      <t>ガイブ</t>
    </rPh>
    <rPh sb="16" eb="19">
      <t>シドウイン</t>
    </rPh>
    <rPh sb="20" eb="22">
      <t>カクホ</t>
    </rPh>
    <phoneticPr fontId="6"/>
  </si>
  <si>
    <t xml:space="preserve">IT関連
営業事務
</t>
    <rPh sb="2" eb="4">
      <t>カンレン</t>
    </rPh>
    <rPh sb="5" eb="7">
      <t>エイギョウ</t>
    </rPh>
    <rPh sb="7" eb="9">
      <t>ジム</t>
    </rPh>
    <phoneticPr fontId="6"/>
  </si>
  <si>
    <t xml:space="preserve">（30－32年度）
IT企業との契約締結
目標工賃達成指導員の採用
</t>
    <rPh sb="6" eb="8">
      <t>ネンド</t>
    </rPh>
    <rPh sb="12" eb="14">
      <t>キギョウ</t>
    </rPh>
    <rPh sb="16" eb="18">
      <t>ケイヤク</t>
    </rPh>
    <rPh sb="18" eb="20">
      <t>テイケツ</t>
    </rPh>
    <rPh sb="31" eb="33">
      <t>サイヨウ</t>
    </rPh>
    <phoneticPr fontId="6"/>
  </si>
  <si>
    <t>貝畑</t>
    <rPh sb="0" eb="2">
      <t>カイハタ</t>
    </rPh>
    <phoneticPr fontId="6"/>
  </si>
  <si>
    <t>山内</t>
    <rPh sb="0" eb="2">
      <t>ヤマウチ</t>
    </rPh>
    <phoneticPr fontId="6"/>
  </si>
  <si>
    <r>
      <t xml:space="preserve">初年度
</t>
    </r>
    <r>
      <rPr>
        <sz val="12"/>
        <color theme="1"/>
        <rFont val="ＭＳ Ｐゴシック"/>
        <family val="3"/>
        <charset val="128"/>
        <scheme val="minor"/>
      </rPr>
      <t>業務受託先の確保</t>
    </r>
    <rPh sb="0" eb="3">
      <t>ショネンド</t>
    </rPh>
    <rPh sb="4" eb="6">
      <t>ギョウム</t>
    </rPh>
    <rPh sb="6" eb="8">
      <t>ジュタク</t>
    </rPh>
    <rPh sb="8" eb="9">
      <t>サキ</t>
    </rPh>
    <rPh sb="10" eb="12">
      <t>カクホ</t>
    </rPh>
    <phoneticPr fontId="6"/>
  </si>
  <si>
    <t>ITメーカーへの営業</t>
    <rPh sb="8" eb="10">
      <t>エイギョウ</t>
    </rPh>
    <phoneticPr fontId="6"/>
  </si>
  <si>
    <r>
      <t xml:space="preserve">次年度
</t>
    </r>
    <r>
      <rPr>
        <sz val="12"/>
        <color theme="1"/>
        <rFont val="ＭＳ Ｐゴシック"/>
        <family val="3"/>
        <charset val="128"/>
        <scheme val="minor"/>
      </rPr>
      <t>業務品質の向上</t>
    </r>
    <rPh sb="0" eb="1">
      <t>ツギ</t>
    </rPh>
    <rPh sb="1" eb="3">
      <t>ネンド</t>
    </rPh>
    <rPh sb="4" eb="6">
      <t>ギョウム</t>
    </rPh>
    <rPh sb="6" eb="8">
      <t>ヒンシツ</t>
    </rPh>
    <rPh sb="9" eb="11">
      <t>コウジョウ</t>
    </rPh>
    <phoneticPr fontId="6"/>
  </si>
  <si>
    <t>ISO27001取得予定</t>
    <rPh sb="8" eb="10">
      <t>シュトク</t>
    </rPh>
    <rPh sb="10" eb="12">
      <t>ヨテイ</t>
    </rPh>
    <phoneticPr fontId="6"/>
  </si>
  <si>
    <r>
      <t xml:space="preserve">最終年度
</t>
    </r>
    <r>
      <rPr>
        <sz val="12"/>
        <color theme="1"/>
        <rFont val="ＭＳ Ｐゴシック"/>
        <family val="3"/>
        <charset val="128"/>
        <scheme val="minor"/>
      </rPr>
      <t>自社保守システムの開発</t>
    </r>
    <rPh sb="0" eb="2">
      <t>サイシュウ</t>
    </rPh>
    <rPh sb="2" eb="4">
      <t>ネンド</t>
    </rPh>
    <rPh sb="5" eb="7">
      <t>ジシャ</t>
    </rPh>
    <rPh sb="7" eb="9">
      <t>ホシュ</t>
    </rPh>
    <rPh sb="14" eb="16">
      <t>カイハツ</t>
    </rPh>
    <phoneticPr fontId="6"/>
  </si>
  <si>
    <t>システム開発ツールの確保</t>
    <rPh sb="4" eb="6">
      <t>カイハツ</t>
    </rPh>
    <rPh sb="10" eb="12">
      <t>カクホ</t>
    </rPh>
    <phoneticPr fontId="6"/>
  </si>
  <si>
    <t>１１人</t>
    <rPh sb="2" eb="3">
      <t>ニン</t>
    </rPh>
    <phoneticPr fontId="6"/>
  </si>
  <si>
    <t>身体障害：2　　知的障害：2　　　　精神障害：7　　　　　発達障害：　　　　難病等：</t>
    <rPh sb="0" eb="2">
      <t>シンタイ</t>
    </rPh>
    <rPh sb="2" eb="4">
      <t>ショウガイ</t>
    </rPh>
    <rPh sb="8" eb="10">
      <t>チテキ</t>
    </rPh>
    <rPh sb="10" eb="12">
      <t>ショウガイ</t>
    </rPh>
    <rPh sb="18" eb="20">
      <t>セイシン</t>
    </rPh>
    <rPh sb="20" eb="22">
      <t>ショウガイ</t>
    </rPh>
    <rPh sb="29" eb="31">
      <t>ハッタツ</t>
    </rPh>
    <rPh sb="31" eb="33">
      <t>ショウガイ</t>
    </rPh>
    <rPh sb="38" eb="40">
      <t>ナンビョウ</t>
    </rPh>
    <rPh sb="40" eb="41">
      <t>トウ</t>
    </rPh>
    <phoneticPr fontId="6"/>
  </si>
  <si>
    <t>○　前回計画（平成27-３０年度）の振り返り</t>
    <rPh sb="2" eb="4">
      <t>ゼンカイ</t>
    </rPh>
    <rPh sb="4" eb="6">
      <t>ケイカク</t>
    </rPh>
    <rPh sb="7" eb="9">
      <t>ヘイセイ</t>
    </rPh>
    <rPh sb="14" eb="16">
      <t>ネンド</t>
    </rPh>
    <rPh sb="18" eb="19">
      <t>フ</t>
    </rPh>
    <rPh sb="20" eb="21">
      <t>カエ</t>
    </rPh>
    <phoneticPr fontId="6"/>
  </si>
  <si>
    <t>代表理事
貝畑明典</t>
    <rPh sb="0" eb="2">
      <t>ダイヒョウ</t>
    </rPh>
    <rPh sb="2" eb="4">
      <t>リジ</t>
    </rPh>
    <rPh sb="5" eb="7">
      <t>カイハタ</t>
    </rPh>
    <rPh sb="7" eb="8">
      <t>アキラ</t>
    </rPh>
    <rPh sb="8" eb="9">
      <t>テン</t>
    </rPh>
    <phoneticPr fontId="6"/>
  </si>
  <si>
    <t>１１人</t>
    <phoneticPr fontId="6"/>
  </si>
  <si>
    <t>事業の収益性(平成30年度実績)</t>
    <phoneticPr fontId="6"/>
  </si>
  <si>
    <t>業務委託</t>
    <rPh sb="0" eb="2">
      <t>ギョウム</t>
    </rPh>
    <rPh sb="2" eb="4">
      <t>イタク</t>
    </rPh>
    <phoneticPr fontId="6"/>
  </si>
  <si>
    <t>IT製品
販売支援</t>
    <rPh sb="2" eb="4">
      <t>セイヒン</t>
    </rPh>
    <rPh sb="5" eb="7">
      <t>ハンバイ</t>
    </rPh>
    <rPh sb="7" eb="9">
      <t>シエン</t>
    </rPh>
    <phoneticPr fontId="6"/>
  </si>
  <si>
    <t>販売量と作業ペースのバランスを図りながら付加価値の高い商品の開発が必要。</t>
    <rPh sb="0" eb="2">
      <t>ハンバイ</t>
    </rPh>
    <rPh sb="2" eb="3">
      <t>リョウ</t>
    </rPh>
    <rPh sb="4" eb="6">
      <t>サギョウ</t>
    </rPh>
    <rPh sb="15" eb="16">
      <t>ハカ</t>
    </rPh>
    <rPh sb="20" eb="22">
      <t>フカ</t>
    </rPh>
    <rPh sb="22" eb="24">
      <t>カチ</t>
    </rPh>
    <rPh sb="25" eb="26">
      <t>タカ</t>
    </rPh>
    <rPh sb="27" eb="29">
      <t>ショウヒン</t>
    </rPh>
    <rPh sb="30" eb="32">
      <t>カイハツ</t>
    </rPh>
    <rPh sb="33" eb="35">
      <t>ヒツヨウ</t>
    </rPh>
    <phoneticPr fontId="6"/>
  </si>
  <si>
    <t>販路（高梁市　種い屋）を新規開拓し店舗売り上げは向上している。直売所などの準備を検討。</t>
    <rPh sb="0" eb="2">
      <t>ハンロ</t>
    </rPh>
    <rPh sb="3" eb="6">
      <t>タカハシシ</t>
    </rPh>
    <rPh sb="7" eb="8">
      <t>タネ</t>
    </rPh>
    <rPh sb="9" eb="10">
      <t>ヤ</t>
    </rPh>
    <rPh sb="12" eb="14">
      <t>シンキ</t>
    </rPh>
    <rPh sb="14" eb="16">
      <t>カイタク</t>
    </rPh>
    <rPh sb="17" eb="19">
      <t>テンポ</t>
    </rPh>
    <rPh sb="19" eb="20">
      <t>ウ</t>
    </rPh>
    <rPh sb="21" eb="22">
      <t>ア</t>
    </rPh>
    <rPh sb="24" eb="26">
      <t>コウジョウ</t>
    </rPh>
    <rPh sb="31" eb="33">
      <t>チョクバイ</t>
    </rPh>
    <rPh sb="33" eb="34">
      <t>ショ</t>
    </rPh>
    <rPh sb="37" eb="39">
      <t>ジュンビ</t>
    </rPh>
    <rPh sb="40" eb="42">
      <t>ケントウ</t>
    </rPh>
    <phoneticPr fontId="6"/>
  </si>
  <si>
    <t>現在1社からの契約のため、契約先を増やす必要がある。</t>
    <rPh sb="0" eb="2">
      <t>ゲンザイ</t>
    </rPh>
    <rPh sb="3" eb="4">
      <t>シャ</t>
    </rPh>
    <rPh sb="7" eb="9">
      <t>ケイヤク</t>
    </rPh>
    <rPh sb="13" eb="15">
      <t>ケイヤク</t>
    </rPh>
    <rPh sb="15" eb="16">
      <t>サキ</t>
    </rPh>
    <rPh sb="17" eb="18">
      <t>フ</t>
    </rPh>
    <rPh sb="20" eb="22">
      <t>ヒツヨウ</t>
    </rPh>
    <phoneticPr fontId="6"/>
  </si>
  <si>
    <t>販路先の確保や、職業スキルとしての汎用性を向上させる。</t>
    <rPh sb="0" eb="2">
      <t>ハンロ</t>
    </rPh>
    <rPh sb="2" eb="3">
      <t>サキ</t>
    </rPh>
    <rPh sb="4" eb="6">
      <t>カクホ</t>
    </rPh>
    <rPh sb="8" eb="10">
      <t>ショクギョウ</t>
    </rPh>
    <rPh sb="17" eb="20">
      <t>ハンヨウセイ</t>
    </rPh>
    <rPh sb="21" eb="23">
      <t>コウジョウ</t>
    </rPh>
    <phoneticPr fontId="6"/>
  </si>
  <si>
    <t>平成３１年４月～令和２年３月</t>
    <rPh sb="0" eb="2">
      <t>ヘイセイ</t>
    </rPh>
    <rPh sb="4" eb="5">
      <t>ネン</t>
    </rPh>
    <rPh sb="6" eb="7">
      <t>ツキ</t>
    </rPh>
    <rPh sb="8" eb="10">
      <t>レイワ</t>
    </rPh>
    <rPh sb="11" eb="12">
      <t>ネン</t>
    </rPh>
    <rPh sb="13" eb="14">
      <t>ツキ</t>
    </rPh>
    <phoneticPr fontId="6"/>
  </si>
  <si>
    <t>地域催事に3回参加。1回あたり3万円から4万円の売り上げを確保。</t>
    <rPh sb="0" eb="2">
      <t>チイキ</t>
    </rPh>
    <rPh sb="2" eb="4">
      <t>サイジ</t>
    </rPh>
    <rPh sb="6" eb="7">
      <t>カイ</t>
    </rPh>
    <rPh sb="7" eb="9">
      <t>サンカ</t>
    </rPh>
    <rPh sb="11" eb="12">
      <t>カイ</t>
    </rPh>
    <rPh sb="16" eb="18">
      <t>マンエン</t>
    </rPh>
    <rPh sb="21" eb="22">
      <t>マン</t>
    </rPh>
    <rPh sb="22" eb="23">
      <t>エン</t>
    </rPh>
    <rPh sb="24" eb="25">
      <t>ウ</t>
    </rPh>
    <rPh sb="26" eb="27">
      <t>ア</t>
    </rPh>
    <rPh sb="29" eb="31">
      <t>カクホ</t>
    </rPh>
    <phoneticPr fontId="6"/>
  </si>
  <si>
    <t>季節を通じた露地野菜の栽培経験はつめた。</t>
    <rPh sb="0" eb="2">
      <t>キセツ</t>
    </rPh>
    <rPh sb="3" eb="4">
      <t>ツウ</t>
    </rPh>
    <rPh sb="6" eb="8">
      <t>ロジ</t>
    </rPh>
    <rPh sb="8" eb="10">
      <t>ヤサイ</t>
    </rPh>
    <rPh sb="11" eb="13">
      <t>サイバイ</t>
    </rPh>
    <rPh sb="13" eb="15">
      <t>ケイケン</t>
    </rPh>
    <phoneticPr fontId="6"/>
  </si>
  <si>
    <t>2社目の契約締結ができた。</t>
    <rPh sb="1" eb="2">
      <t>シャ</t>
    </rPh>
    <rPh sb="2" eb="3">
      <t>メ</t>
    </rPh>
    <rPh sb="4" eb="6">
      <t>ケイヤク</t>
    </rPh>
    <rPh sb="6" eb="8">
      <t>テイケツ</t>
    </rPh>
    <phoneticPr fontId="6"/>
  </si>
  <si>
    <t>特に手芸品などでは販路開拓や技術の向上による製品数の向上により大幅に売り上げが
向上できた。
また新規事業のIT業務委託も10月よりはじまり月額10万円と安定した収益体質に貢献できている。
上記の体制ができたのが10月以降のため年間収益の総額が130万円程度になった。</t>
    <rPh sb="0" eb="1">
      <t>トク</t>
    </rPh>
    <rPh sb="2" eb="4">
      <t>シュゲイ</t>
    </rPh>
    <rPh sb="4" eb="5">
      <t>ヒン</t>
    </rPh>
    <rPh sb="9" eb="11">
      <t>ハンロ</t>
    </rPh>
    <rPh sb="11" eb="13">
      <t>カイタク</t>
    </rPh>
    <rPh sb="14" eb="16">
      <t>ギジュツ</t>
    </rPh>
    <rPh sb="17" eb="19">
      <t>コウジョウ</t>
    </rPh>
    <rPh sb="22" eb="24">
      <t>セイヒン</t>
    </rPh>
    <rPh sb="24" eb="25">
      <t>スウ</t>
    </rPh>
    <rPh sb="26" eb="28">
      <t>コウジョウ</t>
    </rPh>
    <rPh sb="31" eb="33">
      <t>オオハバ</t>
    </rPh>
    <rPh sb="34" eb="35">
      <t>ウ</t>
    </rPh>
    <rPh sb="36" eb="37">
      <t>ア</t>
    </rPh>
    <rPh sb="40" eb="42">
      <t>コウジョウ</t>
    </rPh>
    <rPh sb="49" eb="51">
      <t>シンキ</t>
    </rPh>
    <rPh sb="51" eb="53">
      <t>ジギョウ</t>
    </rPh>
    <rPh sb="56" eb="58">
      <t>ギョウム</t>
    </rPh>
    <rPh sb="58" eb="60">
      <t>イタク</t>
    </rPh>
    <rPh sb="63" eb="64">
      <t>ガツ</t>
    </rPh>
    <rPh sb="70" eb="72">
      <t>ゲツガク</t>
    </rPh>
    <rPh sb="74" eb="76">
      <t>マンエン</t>
    </rPh>
    <rPh sb="77" eb="79">
      <t>アンテイ</t>
    </rPh>
    <rPh sb="81" eb="83">
      <t>シュウエキ</t>
    </rPh>
    <rPh sb="83" eb="85">
      <t>タイシツ</t>
    </rPh>
    <rPh sb="86" eb="88">
      <t>コウケン</t>
    </rPh>
    <rPh sb="95" eb="97">
      <t>ジョウキ</t>
    </rPh>
    <rPh sb="98" eb="100">
      <t>タイセイ</t>
    </rPh>
    <rPh sb="108" eb="111">
      <t>ガツイコウ</t>
    </rPh>
    <rPh sb="114" eb="116">
      <t>ネンカン</t>
    </rPh>
    <rPh sb="116" eb="118">
      <t>シュウエキ</t>
    </rPh>
    <rPh sb="119" eb="121">
      <t>ソウガク</t>
    </rPh>
    <rPh sb="125" eb="127">
      <t>マンエン</t>
    </rPh>
    <rPh sb="127" eb="129">
      <t>テイド</t>
    </rPh>
    <phoneticPr fontId="6"/>
  </si>
  <si>
    <t>平成３０年４月～平成３１年４月</t>
    <rPh sb="0" eb="2">
      <t>ヘイセイ</t>
    </rPh>
    <rPh sb="4" eb="5">
      <t>ネン</t>
    </rPh>
    <rPh sb="6" eb="7">
      <t>ツキ</t>
    </rPh>
    <rPh sb="8" eb="10">
      <t>ヘイセイ</t>
    </rPh>
    <rPh sb="12" eb="13">
      <t>ネン</t>
    </rPh>
    <rPh sb="14" eb="15">
      <t>ツキ</t>
    </rPh>
    <phoneticPr fontId="6"/>
  </si>
  <si>
    <t>➀既存作業について　
　　手芸品については直売所を準備中。製品の幅を広げる。　
②路地物野菜
　　現在は研究範囲でとどめる。
③IT関連受託
　　現在が業務委託契約1社・就労協定1社。提携先等の拡張及び、地域行政機関などに対して
　　受注できるよう共同受注窓口などの研究などを進める。
④庭管理や清掃などの業務
　　地域造園企業及びダスキン系列企業からの業務受託締結予定。
　　庭の手入れや清掃業務など定期的に受託できる環境を構築します。
　　</t>
    <rPh sb="1" eb="3">
      <t>キゾン</t>
    </rPh>
    <rPh sb="3" eb="5">
      <t>サギョウ</t>
    </rPh>
    <rPh sb="13" eb="15">
      <t>シュゲイ</t>
    </rPh>
    <rPh sb="15" eb="16">
      <t>ヒン</t>
    </rPh>
    <rPh sb="21" eb="23">
      <t>チョクバイ</t>
    </rPh>
    <rPh sb="23" eb="24">
      <t>ショ</t>
    </rPh>
    <rPh sb="25" eb="28">
      <t>ジュンビチュウ</t>
    </rPh>
    <rPh sb="29" eb="31">
      <t>セイヒン</t>
    </rPh>
    <rPh sb="32" eb="33">
      <t>ハバ</t>
    </rPh>
    <rPh sb="34" eb="35">
      <t>ヒロ</t>
    </rPh>
    <rPh sb="42" eb="44">
      <t>ロジ</t>
    </rPh>
    <rPh sb="44" eb="45">
      <t>モノ</t>
    </rPh>
    <rPh sb="45" eb="47">
      <t>ヤサイ</t>
    </rPh>
    <rPh sb="50" eb="52">
      <t>ゲンザイ</t>
    </rPh>
    <rPh sb="53" eb="55">
      <t>ケンキュウ</t>
    </rPh>
    <rPh sb="55" eb="57">
      <t>ハンイ</t>
    </rPh>
    <rPh sb="68" eb="70">
      <t>カンレン</t>
    </rPh>
    <rPh sb="70" eb="72">
      <t>ジュタク</t>
    </rPh>
    <rPh sb="75" eb="77">
      <t>ゲンザイ</t>
    </rPh>
    <rPh sb="78" eb="80">
      <t>ギョウム</t>
    </rPh>
    <rPh sb="80" eb="82">
      <t>イタク</t>
    </rPh>
    <rPh sb="82" eb="84">
      <t>ケイヤク</t>
    </rPh>
    <rPh sb="85" eb="86">
      <t>シャ</t>
    </rPh>
    <rPh sb="87" eb="89">
      <t>シュウロウ</t>
    </rPh>
    <rPh sb="89" eb="91">
      <t>キョウテイ</t>
    </rPh>
    <rPh sb="92" eb="93">
      <t>シャ</t>
    </rPh>
    <rPh sb="94" eb="96">
      <t>テイケイ</t>
    </rPh>
    <rPh sb="96" eb="97">
      <t>サキ</t>
    </rPh>
    <rPh sb="97" eb="98">
      <t>トウ</t>
    </rPh>
    <rPh sb="99" eb="101">
      <t>カクチョウ</t>
    </rPh>
    <rPh sb="101" eb="102">
      <t>オヨ</t>
    </rPh>
    <rPh sb="104" eb="106">
      <t>チイキ</t>
    </rPh>
    <rPh sb="106" eb="108">
      <t>ギョウセイ</t>
    </rPh>
    <rPh sb="108" eb="110">
      <t>キカン</t>
    </rPh>
    <rPh sb="113" eb="114">
      <t>タイ</t>
    </rPh>
    <rPh sb="119" eb="121">
      <t>ジュチュウ</t>
    </rPh>
    <rPh sb="126" eb="128">
      <t>キョウドウ</t>
    </rPh>
    <rPh sb="128" eb="130">
      <t>ジュチュウ</t>
    </rPh>
    <rPh sb="130" eb="132">
      <t>マドグチ</t>
    </rPh>
    <rPh sb="135" eb="137">
      <t>ケンキュウ</t>
    </rPh>
    <rPh sb="140" eb="141">
      <t>スス</t>
    </rPh>
    <rPh sb="156" eb="158">
      <t>ギョウム</t>
    </rPh>
    <rPh sb="161" eb="163">
      <t>チイキ</t>
    </rPh>
    <rPh sb="163" eb="165">
      <t>ゾウエン</t>
    </rPh>
    <rPh sb="165" eb="167">
      <t>キギョウ</t>
    </rPh>
    <rPh sb="167" eb="168">
      <t>オヨ</t>
    </rPh>
    <rPh sb="173" eb="175">
      <t>ケイレツ</t>
    </rPh>
    <rPh sb="175" eb="177">
      <t>キギョウ</t>
    </rPh>
    <rPh sb="180" eb="182">
      <t>ギョウム</t>
    </rPh>
    <rPh sb="182" eb="184">
      <t>ジュタク</t>
    </rPh>
    <rPh sb="184" eb="186">
      <t>テイケツ</t>
    </rPh>
    <rPh sb="186" eb="188">
      <t>ヨテイ</t>
    </rPh>
    <rPh sb="192" eb="193">
      <t>ニワ</t>
    </rPh>
    <rPh sb="194" eb="196">
      <t>テイ</t>
    </rPh>
    <rPh sb="198" eb="200">
      <t>セイソウ</t>
    </rPh>
    <rPh sb="200" eb="202">
      <t>ギョウム</t>
    </rPh>
    <rPh sb="204" eb="207">
      <t>テイキテキ</t>
    </rPh>
    <rPh sb="208" eb="210">
      <t>ジュタク</t>
    </rPh>
    <rPh sb="213" eb="215">
      <t>カンキョウ</t>
    </rPh>
    <rPh sb="216" eb="218">
      <t>コウチク</t>
    </rPh>
    <phoneticPr fontId="6"/>
  </si>
  <si>
    <t>平成30年度実績合計</t>
    <phoneticPr fontId="6"/>
  </si>
  <si>
    <t>庭管理
清掃
業等務</t>
    <rPh sb="0" eb="1">
      <t>ニワ</t>
    </rPh>
    <rPh sb="1" eb="3">
      <t>カンリ</t>
    </rPh>
    <rPh sb="4" eb="6">
      <t>セイソウ</t>
    </rPh>
    <rPh sb="7" eb="9">
      <t>ギョウナド</t>
    </rPh>
    <rPh sb="9" eb="10">
      <t>ツトム</t>
    </rPh>
    <phoneticPr fontId="6"/>
  </si>
  <si>
    <r>
      <t xml:space="preserve">初年度
</t>
    </r>
    <r>
      <rPr>
        <sz val="12"/>
        <color theme="1"/>
        <rFont val="ＭＳ Ｐゴシック"/>
        <family val="3"/>
        <charset val="128"/>
        <scheme val="minor"/>
      </rPr>
      <t>経験者を目標工賃達成指導員として採用</t>
    </r>
    <rPh sb="0" eb="3">
      <t>ショネンド</t>
    </rPh>
    <rPh sb="4" eb="7">
      <t>ケイケンシャ</t>
    </rPh>
    <rPh sb="8" eb="17">
      <t>モクヒョウコウチンタッセイシドウイン</t>
    </rPh>
    <rPh sb="20" eb="22">
      <t>サイヨウ</t>
    </rPh>
    <phoneticPr fontId="6"/>
  </si>
  <si>
    <t>ハローワーク等で募集実施</t>
    <rPh sb="6" eb="7">
      <t>トウ</t>
    </rPh>
    <rPh sb="8" eb="10">
      <t>ボシュウ</t>
    </rPh>
    <rPh sb="10" eb="12">
      <t>ジッシ</t>
    </rPh>
    <phoneticPr fontId="6"/>
  </si>
  <si>
    <r>
      <t xml:space="preserve">次年度
</t>
    </r>
    <r>
      <rPr>
        <sz val="12"/>
        <color theme="1"/>
        <rFont val="ＭＳ Ｐゴシック"/>
        <family val="3"/>
        <charset val="128"/>
        <scheme val="minor"/>
      </rPr>
      <t>提携先企業の確保</t>
    </r>
    <rPh sb="0" eb="1">
      <t>ツギ</t>
    </rPh>
    <rPh sb="1" eb="3">
      <t>ネンド</t>
    </rPh>
    <rPh sb="4" eb="6">
      <t>テイケイ</t>
    </rPh>
    <rPh sb="6" eb="7">
      <t>サキ</t>
    </rPh>
    <rPh sb="7" eb="9">
      <t>キギョウ</t>
    </rPh>
    <rPh sb="10" eb="12">
      <t>カクホ</t>
    </rPh>
    <phoneticPr fontId="6"/>
  </si>
  <si>
    <t>企業への営業</t>
    <rPh sb="0" eb="2">
      <t>キギョウ</t>
    </rPh>
    <rPh sb="4" eb="6">
      <t>エイギョウ</t>
    </rPh>
    <phoneticPr fontId="6"/>
  </si>
  <si>
    <t xml:space="preserve">（30－32年度）
関連企業との契約締結
目標工賃達成指導員の採用
</t>
    <rPh sb="6" eb="8">
      <t>ネンド</t>
    </rPh>
    <rPh sb="10" eb="12">
      <t>カンレン</t>
    </rPh>
    <rPh sb="12" eb="14">
      <t>キギョウ</t>
    </rPh>
    <rPh sb="16" eb="18">
      <t>ケイヤク</t>
    </rPh>
    <rPh sb="18" eb="20">
      <t>テイケツ</t>
    </rPh>
    <rPh sb="31" eb="33">
      <t>サイヨウ</t>
    </rPh>
    <phoneticPr fontId="6"/>
  </si>
  <si>
    <r>
      <t xml:space="preserve">最終年度
</t>
    </r>
    <r>
      <rPr>
        <sz val="12"/>
        <color theme="1"/>
        <rFont val="ＭＳ Ｐゴシック"/>
        <family val="3"/>
        <charset val="128"/>
        <scheme val="minor"/>
      </rPr>
      <t>作業マニュアルの作成</t>
    </r>
    <rPh sb="0" eb="2">
      <t>サイシュウ</t>
    </rPh>
    <rPh sb="2" eb="4">
      <t>ネンド</t>
    </rPh>
    <rPh sb="5" eb="7">
      <t>サギョウ</t>
    </rPh>
    <rPh sb="13" eb="15">
      <t>サクセイ</t>
    </rPh>
    <phoneticPr fontId="6"/>
  </si>
  <si>
    <t>合理的配慮方法を組み込んだマニュアル化</t>
    <rPh sb="0" eb="3">
      <t>ゴウリテキ</t>
    </rPh>
    <rPh sb="3" eb="5">
      <t>ハイリョ</t>
    </rPh>
    <rPh sb="5" eb="7">
      <t>ホウホウ</t>
    </rPh>
    <rPh sb="8" eb="9">
      <t>ク</t>
    </rPh>
    <rPh sb="10" eb="11">
      <t>コ</t>
    </rPh>
    <rPh sb="18" eb="19">
      <t>カ</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</si>
</sst>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ＭＳ Ｐゴシック"/>
      <family val="2"/>
      <charset val="128"/>
      <scheme val="minor"/>
    </font>
    <font>
      <sz val="11"/>
      <color theme="1"/>
      <name val="ＭＳ 明朝"/>
      <family val="2"/>
      <charset val="128"/>
    </font>
    <font>
      <sz val="11"/>
      <color theme="1"/>
      <name val="ＭＳ 明朝"/>
      <family val="2"/>
      <charset val="128"/>
    </font>
    <font>
      <sz val="10.5"/>
      <color theme="1"/>
      <name val="Century"/>
      <family val="1"/>
    </font>
    <font>
      <sz val="11"/>
      <color theme="1"/>
      <name val="ＭＳ Ｐゴシック"/>
      <family val="3"/>
      <charset val="128"/>
    </font>
    <font>
      <sz val="11"/>
      <color theme="1"/>
      <name val="ＭＳ ゴシック"/>
      <family val="3"/>
      <charset val="128"/>
    </font>
    <font>
      <sz val="6"/>
      <name val="ＭＳ Ｐゴシック"/>
      <family val="2"/>
      <charset val="128"/>
      <scheme val="minor"/>
    </font>
    <font>
      <sz val="12"/>
      <color theme="1"/>
      <name val="HGPｺﾞｼｯｸE"/>
      <family val="3"/>
      <charset val="128"/>
    </font>
    <font>
      <sz val="6"/>
      <color theme="1"/>
      <name val="ＭＳ Ｐゴシック"/>
      <family val="2"/>
      <charset val="128"/>
      <scheme val="minor"/>
    </font>
    <font>
      <sz val="6"/>
      <color theme="1"/>
      <name val="ＭＳ Ｐゴシック"/>
      <family val="3"/>
      <charset val="128"/>
      <scheme val="minor"/>
    </font>
    <font>
      <sz val="10"/>
      <color theme="1"/>
      <name val="ＭＳ Ｐゴシック"/>
      <family val="3"/>
      <charset val="128"/>
    </font>
    <font>
      <sz val="10.5"/>
      <color theme="1"/>
      <name val="ＭＳ Ｐゴシック"/>
      <family val="3"/>
      <charset val="128"/>
    </font>
    <font>
      <sz val="10.5"/>
      <color theme="1"/>
      <name val="ＭＳ 明朝"/>
      <family val="1"/>
      <charset val="128"/>
    </font>
    <font>
      <sz val="10"/>
      <color theme="1"/>
      <name val="HGPｺﾞｼｯｸE"/>
      <family val="3"/>
      <charset val="128"/>
    </font>
    <font>
      <sz val="8"/>
      <color theme="1"/>
      <name val="ＭＳ Ｐゴシック"/>
      <family val="3"/>
      <charset val="128"/>
    </font>
    <font>
      <sz val="18"/>
      <color theme="1"/>
      <name val="HGPｺﾞｼｯｸE"/>
      <family val="3"/>
      <charset val="128"/>
    </font>
    <font>
      <sz val="8"/>
      <color theme="1"/>
      <name val="ＭＳ ゴシック"/>
      <family val="3"/>
      <charset val="128"/>
    </font>
    <font>
      <sz val="10"/>
      <color theme="1"/>
      <name val="ＭＳ Ｐゴシック"/>
      <family val="3"/>
      <charset val="128"/>
      <scheme val="minor"/>
    </font>
    <font>
      <sz val="11"/>
      <color theme="1"/>
      <name val="ＭＳ Ｐゴシック"/>
      <family val="3"/>
      <charset val="128"/>
      <scheme val="minor"/>
    </font>
    <font>
      <sz val="10.5"/>
      <color theme="1"/>
      <name val="ＭＳ ゴシック"/>
      <family val="3"/>
      <charset val="128"/>
    </font>
    <font>
      <sz val="10"/>
      <color theme="1"/>
      <name val="ＭＳ ゴシック"/>
      <family val="3"/>
      <charset val="128"/>
    </font>
    <font>
      <sz val="12"/>
      <color theme="1"/>
      <name val="ＭＳ ゴシック"/>
      <family val="3"/>
      <charset val="128"/>
    </font>
    <font>
      <sz val="8"/>
      <color theme="1"/>
      <name val="ＭＳ 明朝"/>
      <family val="1"/>
      <charset val="128"/>
    </font>
    <font>
      <sz val="10"/>
      <color theme="1"/>
      <name val="ＭＳ 明朝"/>
      <family val="1"/>
      <charset val="128"/>
    </font>
    <font>
      <sz val="12"/>
      <color theme="1"/>
      <name val="ＭＳ 明朝"/>
      <family val="1"/>
      <charset val="128"/>
    </font>
    <font>
      <sz val="9"/>
      <color theme="1"/>
      <name val="ＭＳ 明朝"/>
      <family val="1"/>
      <charset val="128"/>
    </font>
    <font>
      <sz val="9"/>
      <color theme="1"/>
      <name val="ＭＳ Ｐゴシック"/>
      <family val="3"/>
      <charset val="128"/>
    </font>
    <font>
      <b/>
      <u/>
      <sz val="10.5"/>
      <color theme="1"/>
      <name val="ＭＳ 明朝"/>
      <family val="1"/>
      <charset val="128"/>
    </font>
    <font>
      <b/>
      <u/>
      <sz val="10.5"/>
      <color theme="1"/>
      <name val="ＭＳ ゴシック"/>
      <family val="3"/>
      <charset val="128"/>
    </font>
    <font>
      <b/>
      <u/>
      <sz val="11"/>
      <color theme="1"/>
      <name val="ＭＳ Ｐゴシック"/>
      <family val="2"/>
      <charset val="128"/>
      <scheme val="minor"/>
    </font>
    <font>
      <sz val="10"/>
      <color theme="1"/>
      <name val="ＭＳ Ｐゴシック"/>
      <family val="2"/>
      <charset val="128"/>
      <scheme val="minor"/>
    </font>
    <font>
      <sz val="11"/>
      <color theme="1"/>
      <name val="ＭＳ Ｐゴシック"/>
      <family val="2"/>
      <charset val="128"/>
      <scheme val="minor"/>
    </font>
    <font>
      <sz val="14"/>
      <color theme="1"/>
      <name val="ＭＳ Ｐゴシック"/>
      <family val="2"/>
      <charset val="128"/>
      <scheme val="minor"/>
    </font>
    <font>
      <sz val="14"/>
      <color theme="1"/>
      <name val="ＭＳ Ｐゴシック"/>
      <family val="3"/>
      <charset val="128"/>
      <scheme val="minor"/>
    </font>
    <font>
      <sz val="12"/>
      <color theme="1"/>
      <name val="ＭＳ Ｐゴシック"/>
      <family val="3"/>
      <charset val="128"/>
      <scheme val="minor"/>
    </font>
    <font>
      <sz val="8"/>
      <color theme="1"/>
      <name val="ＭＳ Ｐゴシック"/>
      <family val="2"/>
      <charset val="128"/>
      <scheme val="minor"/>
    </font>
  </fonts>
  <fills count="3">
    <fill>
      <patternFill patternType="none"/>
    </fill>
    <fill>
      <patternFill patternType="gray125"/>
    </fill>
    <fill>
      <patternFill patternType="solid">
        <fgColor rgb="FFC0C0C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diagonalDown="1">
      <left style="thin">
        <color indexed="64"/>
      </left>
      <right/>
      <top style="thin">
        <color indexed="64"/>
      </top>
      <bottom style="thin">
        <color indexed="64"/>
      </bottom>
      <diagonal style="thin">
        <color indexed="64"/>
      </diagonal>
    </border>
    <border diagonalDown="1">
      <left/>
      <right style="thin">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s>
  <cellStyleXfs count="3">
    <xf numFmtId="0" fontId="0" fillId="0" borderId="0">
      <alignment vertical="center"/>
    </xf>
    <xf numFmtId="0" fontId="2" fillId="0" borderId="0">
      <alignment vertical="center"/>
    </xf>
    <xf numFmtId="38" fontId="31" fillId="0" borderId="0" applyFont="0" applyFill="0" applyBorder="0" applyAlignment="0" applyProtection="0">
      <alignment vertical="center"/>
    </xf>
  </cellStyleXfs>
  <cellXfs count="222">
    <xf numFmtId="0" fontId="0" fillId="0" borderId="0" xfId="0">
      <alignment vertical="center"/>
    </xf>
    <xf numFmtId="0" fontId="7" fillId="0" borderId="0" xfId="0" applyFont="1" applyAlignment="1">
      <alignment horizontal="left"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8" fillId="0" borderId="5" xfId="0" applyFont="1" applyBorder="1" applyAlignment="1">
      <alignment horizontal="left" vertical="top"/>
    </xf>
    <xf numFmtId="0" fontId="9" fillId="0" borderId="6" xfId="0" applyFont="1" applyBorder="1" applyAlignment="1">
      <alignment horizontal="left" vertical="top"/>
    </xf>
    <xf numFmtId="0" fontId="9" fillId="0" borderId="7" xfId="0" applyFont="1" applyBorder="1" applyAlignment="1">
      <alignment horizontal="left" vertical="top"/>
    </xf>
    <xf numFmtId="0" fontId="10" fillId="0" borderId="1" xfId="0" applyFont="1" applyBorder="1" applyAlignment="1">
      <alignment horizontal="center" vertical="center" wrapText="1"/>
    </xf>
    <xf numFmtId="0" fontId="3" fillId="0" borderId="0" xfId="0" applyFont="1" applyAlignment="1">
      <alignment horizontal="justify" vertical="center" wrapText="1"/>
    </xf>
    <xf numFmtId="0" fontId="3" fillId="0" borderId="0" xfId="0" applyFont="1" applyBorder="1" applyAlignment="1">
      <alignment horizontal="justify" vertical="center" wrapText="1"/>
    </xf>
    <xf numFmtId="0" fontId="13" fillId="0" borderId="0" xfId="0" applyFont="1" applyAlignment="1">
      <alignment horizontal="justify" vertical="center"/>
    </xf>
    <xf numFmtId="0" fontId="7" fillId="0" borderId="0" xfId="0" applyFont="1">
      <alignment vertical="center"/>
    </xf>
    <xf numFmtId="0" fontId="11" fillId="0" borderId="19" xfId="0" applyFont="1" applyBorder="1" applyAlignment="1">
      <alignment horizontal="centerContinuous" vertical="center"/>
    </xf>
    <xf numFmtId="0" fontId="10" fillId="0" borderId="0" xfId="0" applyFont="1" applyBorder="1" applyAlignment="1">
      <alignment horizontal="left" vertical="top"/>
    </xf>
    <xf numFmtId="0" fontId="11" fillId="0" borderId="0" xfId="0" applyFont="1" applyBorder="1" applyAlignment="1">
      <alignment horizontal="center" vertical="center" wrapText="1"/>
    </xf>
    <xf numFmtId="0" fontId="11" fillId="0" borderId="0" xfId="0" applyFont="1" applyBorder="1" applyAlignment="1">
      <alignment horizontal="justify" vertical="center" wrapText="1"/>
    </xf>
    <xf numFmtId="0" fontId="15" fillId="0" borderId="0" xfId="0" applyFont="1" applyAlignment="1">
      <alignment horizontal="centerContinuous" vertical="center"/>
    </xf>
    <xf numFmtId="0" fontId="16" fillId="0" borderId="0" xfId="0" applyFont="1" applyAlignment="1">
      <alignment horizontal="right" vertical="center"/>
    </xf>
    <xf numFmtId="0" fontId="10" fillId="0" borderId="10" xfId="0" applyFont="1" applyBorder="1" applyAlignment="1">
      <alignment horizontal="right" vertical="top" wrapText="1"/>
    </xf>
    <xf numFmtId="0" fontId="10" fillId="0" borderId="12" xfId="0" applyFont="1" applyBorder="1" applyAlignment="1">
      <alignment horizontal="left" vertical="center" wrapText="1" indent="1"/>
    </xf>
    <xf numFmtId="0" fontId="3" fillId="0" borderId="0" xfId="0" applyFont="1" applyBorder="1" applyAlignment="1">
      <alignment horizontal="left" vertical="center" wrapText="1"/>
    </xf>
    <xf numFmtId="0" fontId="3" fillId="0" borderId="0" xfId="0" applyFont="1" applyAlignment="1">
      <alignment horizontal="left" vertical="center" wrapText="1"/>
    </xf>
    <xf numFmtId="0" fontId="10" fillId="0" borderId="18" xfId="0" applyFont="1" applyBorder="1" applyAlignment="1">
      <alignment horizontal="left" vertical="center" wrapText="1"/>
    </xf>
    <xf numFmtId="0" fontId="10" fillId="0" borderId="19" xfId="0" applyFont="1" applyBorder="1" applyAlignment="1">
      <alignment horizontal="centerContinuous" vertical="center" wrapText="1"/>
    </xf>
    <xf numFmtId="0" fontId="10" fillId="0" borderId="1" xfId="0" applyFont="1" applyBorder="1" applyAlignment="1">
      <alignment horizontal="left" vertical="center" wrapText="1"/>
    </xf>
    <xf numFmtId="0" fontId="3" fillId="0" borderId="0" xfId="0" applyFont="1" applyBorder="1" applyAlignment="1">
      <alignment horizontal="center" vertical="center" wrapText="1"/>
    </xf>
    <xf numFmtId="0" fontId="3" fillId="0" borderId="0" xfId="0" applyFont="1" applyAlignment="1">
      <alignment horizontal="center" vertical="center" wrapText="1"/>
    </xf>
    <xf numFmtId="0" fontId="14" fillId="0" borderId="1" xfId="0" applyFont="1" applyBorder="1" applyAlignment="1">
      <alignment horizontal="left" vertical="center" wrapText="1"/>
    </xf>
    <xf numFmtId="0" fontId="10" fillId="0" borderId="19" xfId="0" applyFont="1" applyBorder="1" applyAlignment="1">
      <alignment horizontal="center" vertical="center" wrapText="1"/>
    </xf>
    <xf numFmtId="0" fontId="10" fillId="0" borderId="18" xfId="0" applyFont="1" applyBorder="1" applyAlignment="1">
      <alignment horizontal="centerContinuous" vertical="center" wrapText="1"/>
    </xf>
    <xf numFmtId="0" fontId="10" fillId="0" borderId="19" xfId="0" applyFont="1" applyBorder="1" applyAlignment="1">
      <alignment horizontal="left" vertical="center"/>
    </xf>
    <xf numFmtId="0" fontId="10" fillId="0" borderId="25" xfId="0" applyFont="1" applyBorder="1" applyAlignment="1">
      <alignment horizontal="center" vertical="center" wrapText="1"/>
    </xf>
    <xf numFmtId="0" fontId="11" fillId="0" borderId="19" xfId="0" applyFont="1" applyBorder="1" applyAlignment="1">
      <alignment horizontal="centerContinuous" vertical="center" wrapText="1"/>
    </xf>
    <xf numFmtId="0" fontId="7" fillId="0" borderId="0" xfId="1" applyFont="1">
      <alignment vertical="center"/>
    </xf>
    <xf numFmtId="0" fontId="19" fillId="0" borderId="1" xfId="1" applyFont="1" applyBorder="1" applyAlignment="1">
      <alignment horizontal="right" vertical="center" wrapText="1"/>
    </xf>
    <xf numFmtId="0" fontId="19" fillId="0" borderId="4" xfId="1" applyFont="1" applyBorder="1" applyAlignment="1">
      <alignment horizontal="center" vertical="center" wrapText="1"/>
    </xf>
    <xf numFmtId="0" fontId="19" fillId="0" borderId="2" xfId="1" applyFont="1" applyBorder="1" applyAlignment="1">
      <alignment horizontal="center" vertical="center" wrapText="1"/>
    </xf>
    <xf numFmtId="0" fontId="23" fillId="0" borderId="1" xfId="1" applyFont="1" applyBorder="1" applyAlignment="1">
      <alignment horizontal="right" vertical="center" wrapText="1"/>
    </xf>
    <xf numFmtId="0" fontId="19" fillId="0" borderId="4" xfId="1" applyFont="1" applyBorder="1" applyAlignment="1">
      <alignment horizontal="left" vertical="center" wrapText="1"/>
    </xf>
    <xf numFmtId="0" fontId="19" fillId="0" borderId="2" xfId="1" applyFont="1" applyBorder="1" applyAlignment="1">
      <alignment horizontal="left" vertical="center" wrapText="1"/>
    </xf>
    <xf numFmtId="0" fontId="16" fillId="0" borderId="31" xfId="1" applyFont="1" applyBorder="1" applyAlignment="1">
      <alignment horizontal="justify" vertical="center" wrapText="1"/>
    </xf>
    <xf numFmtId="0" fontId="25" fillId="0" borderId="31" xfId="1" applyFont="1" applyBorder="1" applyAlignment="1">
      <alignment horizontal="right" vertical="center" wrapText="1"/>
    </xf>
    <xf numFmtId="0" fontId="21" fillId="0" borderId="25" xfId="1" applyFont="1" applyBorder="1" applyAlignment="1">
      <alignment horizontal="left" vertical="center" wrapText="1"/>
    </xf>
    <xf numFmtId="0" fontId="20" fillId="0" borderId="25" xfId="1" applyFont="1" applyBorder="1" applyAlignment="1">
      <alignment horizontal="left" vertical="top" wrapText="1"/>
    </xf>
    <xf numFmtId="0" fontId="16" fillId="0" borderId="25" xfId="1" applyFont="1" applyBorder="1" applyAlignment="1">
      <alignment horizontal="justify" vertical="center" wrapText="1"/>
    </xf>
    <xf numFmtId="0" fontId="23" fillId="0" borderId="25" xfId="1" applyFont="1" applyBorder="1" applyAlignment="1">
      <alignment horizontal="right" vertical="center" wrapText="1"/>
    </xf>
    <xf numFmtId="0" fontId="24" fillId="0" borderId="25" xfId="1" applyFont="1" applyBorder="1" applyAlignment="1">
      <alignment horizontal="center" vertical="center" wrapText="1"/>
    </xf>
    <xf numFmtId="0" fontId="12" fillId="0" borderId="25" xfId="1" applyFont="1" applyBorder="1" applyAlignment="1">
      <alignment horizontal="center" vertical="center" wrapText="1"/>
    </xf>
    <xf numFmtId="0" fontId="24" fillId="0" borderId="25" xfId="1" applyFont="1" applyBorder="1" applyAlignment="1">
      <alignment horizontal="left" vertical="center" wrapText="1"/>
    </xf>
    <xf numFmtId="0" fontId="12" fillId="0" borderId="1" xfId="0" applyFont="1" applyBorder="1" applyAlignment="1">
      <alignment vertical="top" wrapText="1"/>
    </xf>
    <xf numFmtId="0" fontId="19" fillId="0" borderId="19" xfId="0" applyFont="1" applyBorder="1" applyAlignment="1">
      <alignment horizontal="centerContinuous" vertical="center"/>
    </xf>
    <xf numFmtId="0" fontId="0" fillId="0" borderId="2" xfId="0" applyFont="1" applyBorder="1">
      <alignment vertical="center"/>
    </xf>
    <xf numFmtId="0" fontId="10" fillId="0" borderId="12" xfId="0" applyFont="1" applyBorder="1" applyAlignment="1">
      <alignment horizontal="center" vertical="center" wrapText="1"/>
    </xf>
    <xf numFmtId="0" fontId="16" fillId="0" borderId="30" xfId="1" applyFont="1" applyBorder="1" applyAlignment="1">
      <alignment horizontal="justify" vertical="center" wrapText="1"/>
    </xf>
    <xf numFmtId="0" fontId="25" fillId="0" borderId="30" xfId="1" applyFont="1" applyBorder="1" applyAlignment="1">
      <alignment horizontal="right" vertical="center" wrapText="1"/>
    </xf>
    <xf numFmtId="0" fontId="19" fillId="0" borderId="1" xfId="1" applyFont="1" applyBorder="1" applyAlignment="1">
      <alignment horizontal="center" vertical="center" wrapText="1"/>
    </xf>
    <xf numFmtId="0" fontId="19" fillId="0" borderId="18" xfId="1" applyFont="1" applyBorder="1" applyAlignment="1">
      <alignment horizontal="center" vertical="center" wrapText="1"/>
    </xf>
    <xf numFmtId="0" fontId="0" fillId="0" borderId="0" xfId="0" applyFont="1">
      <alignment vertical="center"/>
    </xf>
    <xf numFmtId="0" fontId="0" fillId="0" borderId="0" xfId="0" applyFont="1" applyAlignment="1">
      <alignment horizontal="centerContinuous" vertical="center"/>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horizontal="left" vertical="center"/>
    </xf>
    <xf numFmtId="0" fontId="0" fillId="0" borderId="25" xfId="0" applyFont="1" applyBorder="1" applyAlignment="1">
      <alignment horizontal="centerContinuous" vertical="center"/>
    </xf>
    <xf numFmtId="0" fontId="0" fillId="0" borderId="25" xfId="0" applyFont="1" applyBorder="1" applyAlignment="1">
      <alignment horizontal="center" vertical="center"/>
    </xf>
    <xf numFmtId="0" fontId="0" fillId="0" borderId="0" xfId="0" applyFont="1" applyBorder="1" applyAlignment="1">
      <alignment vertical="center"/>
    </xf>
    <xf numFmtId="0" fontId="0" fillId="0" borderId="0" xfId="0" applyFont="1" applyAlignment="1">
      <alignment horizontal="right" vertical="center"/>
    </xf>
    <xf numFmtId="0" fontId="0" fillId="0" borderId="18" xfId="0" applyFont="1" applyBorder="1" applyAlignment="1">
      <alignment horizontal="centerContinuous" vertical="center"/>
    </xf>
    <xf numFmtId="0" fontId="0" fillId="0" borderId="1" xfId="0" applyFont="1" applyBorder="1">
      <alignment vertical="center"/>
    </xf>
    <xf numFmtId="0" fontId="0" fillId="0" borderId="19" xfId="0" applyFont="1" applyBorder="1">
      <alignment vertical="center"/>
    </xf>
    <xf numFmtId="0" fontId="0" fillId="0" borderId="14" xfId="0" applyFont="1" applyBorder="1">
      <alignment vertical="center"/>
    </xf>
    <xf numFmtId="0" fontId="0" fillId="0" borderId="15" xfId="0" applyFont="1" applyBorder="1">
      <alignment vertical="center"/>
    </xf>
    <xf numFmtId="0" fontId="26" fillId="0" borderId="1" xfId="0" applyFont="1" applyBorder="1" applyAlignment="1">
      <alignment horizontal="center" vertical="center" wrapText="1"/>
    </xf>
    <xf numFmtId="0" fontId="26" fillId="0" borderId="19" xfId="0" applyFont="1" applyBorder="1" applyAlignment="1">
      <alignment horizontal="center" vertical="center" wrapText="1"/>
    </xf>
    <xf numFmtId="0" fontId="26" fillId="0" borderId="22" xfId="0" applyFont="1" applyBorder="1" applyAlignment="1">
      <alignment horizontal="center" vertical="center" wrapText="1"/>
    </xf>
    <xf numFmtId="0" fontId="1" fillId="0" borderId="0" xfId="1" applyFont="1">
      <alignment vertical="center"/>
    </xf>
    <xf numFmtId="0" fontId="1" fillId="0" borderId="3" xfId="1" applyFont="1" applyBorder="1" applyAlignment="1">
      <alignment vertical="center" wrapText="1"/>
    </xf>
    <xf numFmtId="0" fontId="0" fillId="0" borderId="0" xfId="0" applyFont="1" applyBorder="1" applyAlignment="1">
      <alignment horizontal="left" vertical="center"/>
    </xf>
    <xf numFmtId="0" fontId="0" fillId="0" borderId="0" xfId="0" applyFont="1" applyBorder="1">
      <alignment vertical="center"/>
    </xf>
    <xf numFmtId="0" fontId="0" fillId="0" borderId="11" xfId="0" applyFont="1" applyBorder="1">
      <alignment vertical="center"/>
    </xf>
    <xf numFmtId="0" fontId="0" fillId="0" borderId="12" xfId="0" applyFont="1" applyBorder="1">
      <alignment vertical="center"/>
    </xf>
    <xf numFmtId="0" fontId="0" fillId="0" borderId="13" xfId="0" applyFont="1" applyBorder="1">
      <alignment vertical="center"/>
    </xf>
    <xf numFmtId="0" fontId="18" fillId="0" borderId="0" xfId="0" applyFont="1" applyBorder="1" applyAlignment="1">
      <alignment horizontal="left" vertical="center"/>
    </xf>
    <xf numFmtId="0" fontId="0" fillId="0" borderId="4" xfId="0" applyFont="1" applyBorder="1">
      <alignment vertical="center"/>
    </xf>
    <xf numFmtId="0" fontId="0" fillId="0" borderId="3" xfId="0" applyFont="1" applyBorder="1">
      <alignment vertical="center"/>
    </xf>
    <xf numFmtId="0" fontId="10" fillId="0" borderId="12" xfId="0" applyFont="1" applyBorder="1" applyAlignment="1">
      <alignment horizontal="center" vertical="center" wrapText="1"/>
    </xf>
    <xf numFmtId="0" fontId="30" fillId="0" borderId="7" xfId="0" applyFont="1" applyBorder="1" applyAlignment="1">
      <alignment horizontal="center" vertical="center"/>
    </xf>
    <xf numFmtId="38" fontId="0" fillId="0" borderId="23" xfId="2" applyFont="1" applyBorder="1">
      <alignment vertical="center"/>
    </xf>
    <xf numFmtId="38" fontId="0" fillId="0" borderId="24" xfId="2" applyFont="1" applyBorder="1">
      <alignment vertical="center"/>
    </xf>
    <xf numFmtId="38" fontId="0" fillId="0" borderId="19" xfId="2" applyFont="1" applyBorder="1">
      <alignment vertical="center"/>
    </xf>
    <xf numFmtId="38" fontId="23" fillId="0" borderId="1" xfId="2" applyFont="1" applyBorder="1" applyAlignment="1">
      <alignment horizontal="right" vertical="center" wrapText="1"/>
    </xf>
    <xf numFmtId="38" fontId="23" fillId="0" borderId="1" xfId="1" applyNumberFormat="1" applyFont="1" applyBorder="1" applyAlignment="1">
      <alignment horizontal="right" vertical="center" wrapText="1"/>
    </xf>
    <xf numFmtId="0" fontId="8" fillId="0" borderId="5" xfId="0" applyFont="1" applyBorder="1" applyAlignment="1">
      <alignment horizontal="left" vertical="top" wrapText="1"/>
    </xf>
    <xf numFmtId="0" fontId="9" fillId="0" borderId="6" xfId="0" applyFont="1" applyBorder="1" applyAlignment="1">
      <alignment horizontal="left" vertical="top" wrapText="1"/>
    </xf>
    <xf numFmtId="0" fontId="9" fillId="0" borderId="7" xfId="0" applyFont="1" applyBorder="1" applyAlignment="1">
      <alignment horizontal="left" vertical="top" wrapText="1"/>
    </xf>
    <xf numFmtId="0" fontId="34" fillId="0" borderId="5" xfId="0" applyFont="1" applyBorder="1" applyAlignment="1">
      <alignment horizontal="left" vertical="top" wrapText="1"/>
    </xf>
    <xf numFmtId="0" fontId="34" fillId="0" borderId="6" xfId="0" applyFont="1" applyBorder="1" applyAlignment="1">
      <alignment horizontal="left" vertical="top" wrapText="1"/>
    </xf>
    <xf numFmtId="0" fontId="34" fillId="0" borderId="7" xfId="0" applyFont="1" applyBorder="1" applyAlignment="1">
      <alignment horizontal="left" vertical="top" wrapText="1"/>
    </xf>
    <xf numFmtId="0" fontId="0" fillId="0" borderId="2" xfId="0" applyFont="1" applyBorder="1" applyAlignment="1">
      <alignment vertical="top"/>
    </xf>
    <xf numFmtId="0" fontId="0" fillId="0" borderId="6" xfId="0" applyFont="1" applyBorder="1" applyAlignment="1">
      <alignment vertical="top"/>
    </xf>
    <xf numFmtId="0" fontId="0" fillId="0" borderId="3" xfId="0" applyFont="1" applyBorder="1" applyAlignment="1">
      <alignment horizontal="left" vertical="top"/>
    </xf>
    <xf numFmtId="14" fontId="0" fillId="0" borderId="0" xfId="0" applyNumberFormat="1" applyFont="1" applyBorder="1" applyAlignment="1">
      <alignment horizontal="left" vertical="center"/>
    </xf>
    <xf numFmtId="14" fontId="0" fillId="0" borderId="0" xfId="0" applyNumberFormat="1" applyFont="1">
      <alignment vertical="center"/>
    </xf>
    <xf numFmtId="14" fontId="1" fillId="0" borderId="0" xfId="1" applyNumberFormat="1" applyFont="1">
      <alignment vertical="center"/>
    </xf>
    <xf numFmtId="0" fontId="26" fillId="0" borderId="25" xfId="0" applyFont="1" applyBorder="1" applyAlignment="1">
      <alignment horizontal="center" vertical="center" wrapText="1"/>
    </xf>
    <xf numFmtId="38" fontId="0" fillId="0" borderId="25" xfId="2" applyFont="1" applyBorder="1">
      <alignment vertical="center"/>
    </xf>
    <xf numFmtId="38" fontId="19" fillId="0" borderId="1" xfId="1" applyNumberFormat="1" applyFont="1" applyBorder="1" applyAlignment="1">
      <alignment horizontal="right" vertical="center" wrapText="1"/>
    </xf>
    <xf numFmtId="14" fontId="35" fillId="0" borderId="0" xfId="0" applyNumberFormat="1" applyFont="1" applyAlignment="1">
      <alignment horizontal="centerContinuous" vertical="center"/>
    </xf>
    <xf numFmtId="0" fontId="0" fillId="0" borderId="3" xfId="0" applyFont="1" applyBorder="1" applyAlignment="1">
      <alignment horizontal="left" vertical="top" wrapText="1"/>
    </xf>
    <xf numFmtId="0" fontId="10" fillId="0" borderId="8" xfId="0" applyFont="1" applyBorder="1" applyAlignment="1">
      <alignment horizontal="justify" wrapText="1"/>
    </xf>
    <xf numFmtId="0" fontId="17" fillId="0" borderId="10" xfId="0" applyFont="1" applyBorder="1" applyAlignment="1"/>
    <xf numFmtId="0" fontId="10" fillId="0" borderId="17" xfId="0" applyFont="1" applyBorder="1" applyAlignment="1">
      <alignment horizontal="justify" vertical="top" wrapText="1"/>
    </xf>
    <xf numFmtId="0" fontId="0" fillId="0" borderId="15" xfId="0" applyFont="1" applyBorder="1" applyAlignment="1">
      <alignment vertical="top"/>
    </xf>
    <xf numFmtId="0" fontId="27" fillId="0" borderId="9" xfId="0" applyFont="1" applyBorder="1" applyAlignment="1">
      <alignment horizontal="justify" vertical="top" wrapText="1"/>
    </xf>
    <xf numFmtId="0" fontId="29" fillId="0" borderId="9" xfId="0" applyFont="1" applyBorder="1" applyAlignment="1">
      <alignment vertical="top" wrapText="1"/>
    </xf>
    <xf numFmtId="0" fontId="29" fillId="0" borderId="0" xfId="0" applyFont="1" applyBorder="1" applyAlignment="1">
      <alignment vertical="top" wrapText="1"/>
    </xf>
    <xf numFmtId="0" fontId="10" fillId="0" borderId="16" xfId="0" applyFont="1" applyBorder="1" applyAlignment="1">
      <alignment horizontal="left" vertical="top" wrapText="1"/>
    </xf>
    <xf numFmtId="0" fontId="10" fillId="0" borderId="9" xfId="0" applyFont="1" applyBorder="1" applyAlignment="1">
      <alignment horizontal="left" vertical="top" wrapText="1"/>
    </xf>
    <xf numFmtId="0" fontId="10" fillId="0" borderId="10" xfId="0" applyFont="1" applyBorder="1" applyAlignment="1">
      <alignment horizontal="left" vertical="top" wrapText="1"/>
    </xf>
    <xf numFmtId="0" fontId="10" fillId="0" borderId="12" xfId="0" applyFont="1" applyBorder="1" applyAlignment="1">
      <alignment horizontal="left" vertical="top" wrapText="1"/>
    </xf>
    <xf numFmtId="0" fontId="10" fillId="0" borderId="0" xfId="0" applyFont="1" applyBorder="1" applyAlignment="1">
      <alignment horizontal="left" vertical="top" wrapText="1"/>
    </xf>
    <xf numFmtId="0" fontId="10" fillId="0" borderId="11" xfId="0" applyFont="1" applyBorder="1" applyAlignment="1">
      <alignment horizontal="left" vertical="top" wrapText="1"/>
    </xf>
    <xf numFmtId="0" fontId="10" fillId="0" borderId="13" xfId="0" applyFont="1" applyBorder="1" applyAlignment="1">
      <alignment horizontal="left" vertical="top" wrapText="1"/>
    </xf>
    <xf numFmtId="0" fontId="10" fillId="0" borderId="14" xfId="0" applyFont="1" applyBorder="1" applyAlignment="1">
      <alignment horizontal="left" vertical="top" wrapText="1"/>
    </xf>
    <xf numFmtId="0" fontId="10" fillId="0" borderId="15" xfId="0" applyFont="1" applyBorder="1" applyAlignment="1">
      <alignment horizontal="left" vertical="top" wrapText="1"/>
    </xf>
    <xf numFmtId="0" fontId="10" fillId="0" borderId="16"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16" xfId="0" applyFont="1" applyBorder="1" applyAlignment="1">
      <alignment horizontal="justify" vertical="center" wrapText="1"/>
    </xf>
    <xf numFmtId="0" fontId="10" fillId="0" borderId="9" xfId="0" applyFont="1" applyBorder="1" applyAlignment="1">
      <alignment horizontal="justify" vertical="center" wrapText="1"/>
    </xf>
    <xf numFmtId="0" fontId="10" fillId="0" borderId="10" xfId="0" applyFont="1" applyBorder="1" applyAlignment="1">
      <alignment horizontal="justify" vertical="center" wrapText="1"/>
    </xf>
    <xf numFmtId="0" fontId="10" fillId="0" borderId="13" xfId="0" applyFont="1" applyBorder="1" applyAlignment="1">
      <alignment horizontal="justify" vertical="center" wrapText="1"/>
    </xf>
    <xf numFmtId="0" fontId="10" fillId="0" borderId="14" xfId="0" applyFont="1" applyBorder="1" applyAlignment="1">
      <alignment horizontal="justify" vertical="center" wrapText="1"/>
    </xf>
    <xf numFmtId="0" fontId="10" fillId="0" borderId="15" xfId="0" applyFont="1" applyBorder="1" applyAlignment="1">
      <alignment horizontal="justify" vertical="center" wrapText="1"/>
    </xf>
    <xf numFmtId="0" fontId="10" fillId="0" borderId="10" xfId="0" applyFont="1" applyBorder="1" applyAlignment="1">
      <alignment horizontal="center" vertical="center" wrapText="1"/>
    </xf>
    <xf numFmtId="0" fontId="10" fillId="0" borderId="0" xfId="0" applyFont="1" applyBorder="1" applyAlignment="1">
      <alignment horizontal="center" vertical="center" wrapText="1"/>
    </xf>
    <xf numFmtId="0" fontId="10" fillId="0" borderId="11" xfId="0" applyFont="1" applyBorder="1" applyAlignment="1">
      <alignment horizontal="center" vertical="center" wrapText="1"/>
    </xf>
    <xf numFmtId="0" fontId="0" fillId="0" borderId="16" xfId="0" applyFont="1" applyBorder="1" applyAlignment="1">
      <alignment horizontal="center" vertical="center"/>
    </xf>
    <xf numFmtId="0" fontId="0" fillId="0" borderId="9" xfId="0" applyFont="1" applyBorder="1" applyAlignment="1">
      <alignment horizontal="center" vertical="center"/>
    </xf>
    <xf numFmtId="0" fontId="0" fillId="0" borderId="10" xfId="0" applyFont="1" applyBorder="1" applyAlignment="1">
      <alignment horizontal="center" vertical="center"/>
    </xf>
    <xf numFmtId="0" fontId="0" fillId="0" borderId="13" xfId="0" applyFont="1" applyBorder="1" applyAlignment="1">
      <alignment horizontal="center" vertical="center"/>
    </xf>
    <xf numFmtId="0" fontId="0" fillId="0" borderId="14" xfId="0" applyFont="1" applyBorder="1" applyAlignment="1">
      <alignment horizontal="center" vertical="center"/>
    </xf>
    <xf numFmtId="0" fontId="0" fillId="0" borderId="15" xfId="0" applyFont="1" applyBorder="1" applyAlignment="1">
      <alignment horizontal="center" vertical="center"/>
    </xf>
    <xf numFmtId="0" fontId="10" fillId="0" borderId="12" xfId="0" applyFont="1" applyBorder="1" applyAlignment="1">
      <alignment horizontal="left" vertical="center" wrapText="1"/>
    </xf>
    <xf numFmtId="0" fontId="10" fillId="0" borderId="0" xfId="0" applyFont="1" applyBorder="1" applyAlignment="1">
      <alignment horizontal="left" vertical="center" wrapText="1"/>
    </xf>
    <xf numFmtId="0" fontId="10" fillId="0" borderId="11" xfId="0" applyFont="1" applyBorder="1" applyAlignment="1">
      <alignment horizontal="left" vertical="center" wrapText="1"/>
    </xf>
    <xf numFmtId="0" fontId="15" fillId="0" borderId="0" xfId="0" applyFont="1" applyAlignment="1">
      <alignment horizontal="center" vertical="center"/>
    </xf>
    <xf numFmtId="0" fontId="10" fillId="0" borderId="12" xfId="0" applyFont="1" applyBorder="1" applyAlignment="1">
      <alignment horizontal="center" vertical="center" wrapText="1"/>
    </xf>
    <xf numFmtId="0" fontId="10" fillId="0" borderId="15" xfId="0" applyFont="1" applyBorder="1" applyAlignment="1">
      <alignment horizontal="center" vertical="center" wrapText="1"/>
    </xf>
    <xf numFmtId="0" fontId="0" fillId="0" borderId="20" xfId="0" applyFont="1" applyBorder="1" applyAlignment="1">
      <alignment vertical="center"/>
    </xf>
    <xf numFmtId="0" fontId="0" fillId="0" borderId="21" xfId="0" applyFont="1" applyBorder="1" applyAlignment="1">
      <alignment vertical="center"/>
    </xf>
    <xf numFmtId="0" fontId="0" fillId="0" borderId="25" xfId="0" applyFont="1" applyBorder="1" applyAlignment="1">
      <alignment horizontal="left" vertical="center"/>
    </xf>
    <xf numFmtId="0" fontId="0" fillId="0" borderId="18" xfId="0" applyFont="1" applyBorder="1" applyAlignment="1">
      <alignment horizontal="left" vertical="center"/>
    </xf>
    <xf numFmtId="0" fontId="10" fillId="0" borderId="19" xfId="0" applyFont="1" applyBorder="1" applyAlignment="1">
      <alignment horizontal="center" vertical="center" wrapText="1"/>
    </xf>
    <xf numFmtId="0" fontId="10" fillId="0" borderId="25"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28" xfId="0" applyFont="1" applyBorder="1" applyAlignment="1">
      <alignment horizontal="center" vertical="center" wrapText="1"/>
    </xf>
    <xf numFmtId="0" fontId="19" fillId="0" borderId="19"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10" xfId="1" applyFont="1" applyBorder="1" applyAlignment="1">
      <alignment horizontal="center" vertical="center" wrapText="1"/>
    </xf>
    <xf numFmtId="0" fontId="19" fillId="0" borderId="12" xfId="1" applyFont="1" applyBorder="1" applyAlignment="1">
      <alignment horizontal="center" vertical="center" wrapText="1"/>
    </xf>
    <xf numFmtId="0" fontId="19" fillId="0" borderId="11" xfId="1" applyFont="1" applyBorder="1" applyAlignment="1">
      <alignment horizontal="center" vertical="center" wrapText="1"/>
    </xf>
    <xf numFmtId="0" fontId="19" fillId="0" borderId="13" xfId="1" applyFont="1" applyBorder="1" applyAlignment="1">
      <alignment horizontal="center" vertical="center" wrapText="1"/>
    </xf>
    <xf numFmtId="0" fontId="19" fillId="0" borderId="15" xfId="1" applyFont="1" applyBorder="1" applyAlignment="1">
      <alignment horizontal="center" vertical="center" wrapText="1"/>
    </xf>
    <xf numFmtId="0" fontId="20" fillId="0" borderId="16" xfId="1" applyFont="1" applyBorder="1" applyAlignment="1">
      <alignment horizontal="left" vertical="top" wrapText="1"/>
    </xf>
    <xf numFmtId="0" fontId="20" fillId="0" borderId="10" xfId="1" applyFont="1" applyBorder="1" applyAlignment="1">
      <alignment horizontal="left" vertical="top" wrapText="1"/>
    </xf>
    <xf numFmtId="0" fontId="20" fillId="0" borderId="12" xfId="1" applyFont="1" applyBorder="1" applyAlignment="1">
      <alignment horizontal="left" vertical="top" wrapText="1"/>
    </xf>
    <xf numFmtId="0" fontId="20" fillId="0" borderId="11" xfId="1" applyFont="1" applyBorder="1" applyAlignment="1">
      <alignment horizontal="left" vertical="top" wrapText="1"/>
    </xf>
    <xf numFmtId="0" fontId="20" fillId="0" borderId="13" xfId="1" applyFont="1" applyBorder="1" applyAlignment="1">
      <alignment horizontal="left" vertical="top" wrapText="1"/>
    </xf>
    <xf numFmtId="0" fontId="20" fillId="0" borderId="15" xfId="1" applyFont="1" applyBorder="1" applyAlignment="1">
      <alignment horizontal="left" vertical="top" wrapText="1"/>
    </xf>
    <xf numFmtId="0" fontId="21" fillId="0" borderId="1" xfId="1" applyFont="1" applyBorder="1" applyAlignment="1">
      <alignment horizontal="left" vertical="center" wrapText="1"/>
    </xf>
    <xf numFmtId="0" fontId="19" fillId="0" borderId="1" xfId="1" applyFont="1" applyBorder="1" applyAlignment="1">
      <alignment horizontal="center" vertical="center" wrapText="1"/>
    </xf>
    <xf numFmtId="0" fontId="24" fillId="0" borderId="1" xfId="1" applyFont="1" applyBorder="1" applyAlignment="1">
      <alignment horizontal="left" vertical="center" wrapText="1"/>
    </xf>
    <xf numFmtId="0" fontId="16" fillId="0" borderId="4" xfId="1" applyFont="1" applyBorder="1" applyAlignment="1">
      <alignment horizontal="justify" vertical="center" wrapText="1"/>
    </xf>
    <xf numFmtId="0" fontId="16" fillId="0" borderId="1" xfId="1" applyFont="1" applyBorder="1" applyAlignment="1">
      <alignment horizontal="justify" vertical="center" wrapText="1"/>
    </xf>
    <xf numFmtId="0" fontId="12" fillId="0" borderId="3" xfId="1" applyFont="1" applyBorder="1" applyAlignment="1">
      <alignment horizontal="center" vertical="center" wrapText="1"/>
    </xf>
    <xf numFmtId="0" fontId="12" fillId="0" borderId="1" xfId="1" applyFont="1" applyBorder="1" applyAlignment="1">
      <alignment horizontal="center" vertical="center" wrapText="1"/>
    </xf>
    <xf numFmtId="0" fontId="12" fillId="0" borderId="4" xfId="1" applyFont="1" applyBorder="1" applyAlignment="1">
      <alignment horizontal="center" vertical="center" wrapText="1"/>
    </xf>
    <xf numFmtId="0" fontId="16" fillId="0" borderId="3" xfId="1" applyFont="1" applyBorder="1" applyAlignment="1">
      <alignment horizontal="justify" vertical="center" wrapText="1"/>
    </xf>
    <xf numFmtId="0" fontId="16" fillId="0" borderId="29" xfId="1" applyFont="1" applyBorder="1" applyAlignment="1">
      <alignment horizontal="justify" vertical="center" wrapText="1"/>
    </xf>
    <xf numFmtId="0" fontId="16" fillId="0" borderId="30" xfId="1" applyFont="1" applyBorder="1" applyAlignment="1">
      <alignment horizontal="justify" vertical="center" wrapText="1"/>
    </xf>
    <xf numFmtId="0" fontId="25" fillId="0" borderId="29" xfId="1" applyFont="1" applyBorder="1" applyAlignment="1">
      <alignment horizontal="right" vertical="center" wrapText="1"/>
    </xf>
    <xf numFmtId="0" fontId="25" fillId="0" borderId="30" xfId="1" applyFont="1" applyBorder="1" applyAlignment="1">
      <alignment horizontal="right" vertical="center" wrapText="1"/>
    </xf>
    <xf numFmtId="0" fontId="24" fillId="0" borderId="1" xfId="1" applyFont="1" applyBorder="1" applyAlignment="1">
      <alignment horizontal="center" vertical="center" wrapText="1"/>
    </xf>
    <xf numFmtId="0" fontId="12" fillId="0" borderId="3" xfId="1" applyFont="1" applyBorder="1" applyAlignment="1">
      <alignment horizontal="left" vertical="top" wrapText="1"/>
    </xf>
    <xf numFmtId="0" fontId="12" fillId="0" borderId="1" xfId="1" applyFont="1" applyBorder="1" applyAlignment="1">
      <alignment horizontal="left" vertical="top" wrapText="1"/>
    </xf>
    <xf numFmtId="0" fontId="12" fillId="0" borderId="4" xfId="1" applyFont="1" applyBorder="1" applyAlignment="1">
      <alignment horizontal="left" vertical="top" wrapText="1"/>
    </xf>
    <xf numFmtId="0" fontId="20" fillId="0" borderId="1" xfId="1" applyFont="1" applyBorder="1" applyAlignment="1">
      <alignment horizontal="center" vertical="center" wrapText="1"/>
    </xf>
    <xf numFmtId="0" fontId="21" fillId="0" borderId="4" xfId="1" applyFont="1" applyBorder="1" applyAlignment="1">
      <alignment horizontal="left" vertical="center" wrapText="1"/>
    </xf>
    <xf numFmtId="0" fontId="24" fillId="0" borderId="4" xfId="1" applyFont="1" applyBorder="1" applyAlignment="1">
      <alignment horizontal="center" vertical="center" wrapText="1"/>
    </xf>
    <xf numFmtId="0" fontId="24" fillId="0" borderId="4" xfId="1" applyFont="1" applyBorder="1" applyAlignment="1">
      <alignment horizontal="left" vertical="center" wrapText="1"/>
    </xf>
    <xf numFmtId="0" fontId="12" fillId="0" borderId="16" xfId="0" applyFont="1" applyBorder="1" applyAlignment="1">
      <alignment horizontal="left" vertical="top" wrapText="1"/>
    </xf>
    <xf numFmtId="0" fontId="12" fillId="0" borderId="9" xfId="0" applyFont="1" applyBorder="1" applyAlignment="1">
      <alignment horizontal="left" vertical="top" wrapText="1"/>
    </xf>
    <xf numFmtId="0" fontId="12" fillId="0" borderId="10" xfId="0" applyFont="1" applyBorder="1" applyAlignment="1">
      <alignment horizontal="left" vertical="top" wrapText="1"/>
    </xf>
    <xf numFmtId="0" fontId="12" fillId="0" borderId="12" xfId="0" applyFont="1" applyBorder="1" applyAlignment="1">
      <alignment horizontal="left" vertical="top" wrapText="1"/>
    </xf>
    <xf numFmtId="0" fontId="12" fillId="0" borderId="0" xfId="0" applyFont="1" applyBorder="1" applyAlignment="1">
      <alignment horizontal="left" vertical="top" wrapText="1"/>
    </xf>
    <xf numFmtId="0" fontId="12" fillId="0" borderId="11" xfId="0" applyFont="1" applyBorder="1" applyAlignment="1">
      <alignment horizontal="left" vertical="top" wrapText="1"/>
    </xf>
    <xf numFmtId="0" fontId="12" fillId="0" borderId="13" xfId="0" applyFont="1" applyBorder="1" applyAlignment="1">
      <alignment horizontal="left" vertical="top" wrapText="1"/>
    </xf>
    <xf numFmtId="0" fontId="12" fillId="0" borderId="14" xfId="0" applyFont="1" applyBorder="1" applyAlignment="1">
      <alignment horizontal="left" vertical="top" wrapText="1"/>
    </xf>
    <xf numFmtId="0" fontId="12" fillId="0" borderId="15" xfId="0" applyFont="1" applyBorder="1" applyAlignment="1">
      <alignment horizontal="left" vertical="top"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21" fillId="0" borderId="1" xfId="0" applyFont="1" applyBorder="1" applyAlignment="1">
      <alignment horizontal="left" vertical="center" wrapText="1"/>
    </xf>
    <xf numFmtId="0" fontId="0" fillId="0" borderId="16" xfId="0" applyFont="1" applyBorder="1" applyAlignment="1">
      <alignment vertical="center" wrapText="1"/>
    </xf>
    <xf numFmtId="0" fontId="18" fillId="0" borderId="9" xfId="0" applyFont="1" applyBorder="1" applyAlignment="1">
      <alignment vertical="center" wrapText="1"/>
    </xf>
    <xf numFmtId="0" fontId="18" fillId="0" borderId="10" xfId="0" applyFont="1" applyBorder="1" applyAlignment="1">
      <alignment vertical="center" wrapText="1"/>
    </xf>
    <xf numFmtId="0" fontId="0" fillId="0" borderId="12" xfId="0" applyFont="1" applyBorder="1" applyAlignment="1">
      <alignment horizontal="left" vertical="top" wrapText="1"/>
    </xf>
    <xf numFmtId="0" fontId="0" fillId="0" borderId="0" xfId="0" applyFont="1" applyBorder="1" applyAlignment="1">
      <alignment horizontal="left" vertical="top" wrapText="1"/>
    </xf>
    <xf numFmtId="0" fontId="0" fillId="0" borderId="11" xfId="0" applyFont="1" applyBorder="1" applyAlignment="1">
      <alignment horizontal="left" vertical="top" wrapText="1"/>
    </xf>
    <xf numFmtId="0" fontId="0" fillId="0" borderId="4" xfId="0" applyFont="1" applyBorder="1" applyAlignment="1">
      <alignment horizontal="center" vertical="center" wrapText="1"/>
    </xf>
    <xf numFmtId="0" fontId="0" fillId="0" borderId="2" xfId="0" applyFont="1" applyBorder="1" applyAlignment="1">
      <alignment horizontal="center" vertical="center"/>
    </xf>
    <xf numFmtId="0" fontId="0" fillId="0" borderId="3" xfId="0" applyFont="1" applyBorder="1" applyAlignment="1">
      <alignment horizontal="center" vertical="center"/>
    </xf>
    <xf numFmtId="0" fontId="32" fillId="0" borderId="4" xfId="0" applyFont="1" applyBorder="1" applyAlignment="1">
      <alignment horizontal="left" vertical="top" wrapText="1"/>
    </xf>
    <xf numFmtId="0" fontId="33" fillId="0" borderId="2" xfId="0" applyFont="1" applyBorder="1" applyAlignment="1">
      <alignment horizontal="left" vertical="top"/>
    </xf>
    <xf numFmtId="0" fontId="33" fillId="0" borderId="3" xfId="0" applyFont="1" applyBorder="1" applyAlignment="1">
      <alignment horizontal="left" vertical="top"/>
    </xf>
    <xf numFmtId="0" fontId="0" fillId="0" borderId="4" xfId="0" applyFont="1" applyBorder="1" applyAlignment="1">
      <alignment horizontal="center" vertical="center"/>
    </xf>
  </cellXfs>
  <cellStyles count="3">
    <cellStyle name="桁区切り" xfId="2" builtinId="6"/>
    <cellStyle name="標準" xfId="0" builtinId="0"/>
    <cellStyle name="標準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561975</xdr:colOff>
      <xdr:row>34</xdr:row>
      <xdr:rowOff>447675</xdr:rowOff>
    </xdr:from>
    <xdr:to>
      <xdr:col>5</xdr:col>
      <xdr:colOff>285750</xdr:colOff>
      <xdr:row>34</xdr:row>
      <xdr:rowOff>1076325</xdr:rowOff>
    </xdr:to>
    <xdr:sp macro="" textlink="">
      <xdr:nvSpPr>
        <xdr:cNvPr id="2" name="正方形/長方形 1">
          <a:extLst>
            <a:ext uri="{FF2B5EF4-FFF2-40B4-BE49-F238E27FC236}">
              <a16:creationId xmlns:a16="http://schemas.microsoft.com/office/drawing/2014/main" id="{2F4781DB-8C71-420A-873F-B4BA17CD3E31}"/>
            </a:ext>
          </a:extLst>
        </xdr:cNvPr>
        <xdr:cNvSpPr/>
      </xdr:nvSpPr>
      <xdr:spPr>
        <a:xfrm>
          <a:off x="2990850" y="15249525"/>
          <a:ext cx="1343025"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100"/>
            <a:t>　　管理者</a:t>
          </a:r>
          <a:endParaRPr kumimoji="1" lang="en-US" altLang="ja-JP" sz="1100"/>
        </a:p>
        <a:p>
          <a:pPr algn="l"/>
          <a:r>
            <a:rPr kumimoji="1" lang="en-US" altLang="ja-JP" sz="1100"/>
            <a:t>【</a:t>
          </a:r>
          <a:r>
            <a:rPr kumimoji="1" lang="ja-JP" altLang="en-US" sz="1100"/>
            <a:t>販路開拓</a:t>
          </a:r>
          <a:r>
            <a:rPr kumimoji="1" lang="en-US" altLang="ja-JP" sz="1100"/>
            <a:t>】</a:t>
          </a:r>
          <a:endParaRPr kumimoji="1" lang="ja-JP" altLang="en-US" sz="1100"/>
        </a:p>
      </xdr:txBody>
    </xdr:sp>
    <xdr:clientData/>
  </xdr:twoCellAnchor>
  <xdr:twoCellAnchor>
    <xdr:from>
      <xdr:col>2</xdr:col>
      <xdr:colOff>457200</xdr:colOff>
      <xdr:row>35</xdr:row>
      <xdr:rowOff>380999</xdr:rowOff>
    </xdr:from>
    <xdr:to>
      <xdr:col>4</xdr:col>
      <xdr:colOff>180975</xdr:colOff>
      <xdr:row>35</xdr:row>
      <xdr:rowOff>1228724</xdr:rowOff>
    </xdr:to>
    <xdr:sp macro="" textlink="">
      <xdr:nvSpPr>
        <xdr:cNvPr id="3" name="正方形/長方形 2">
          <a:extLst>
            <a:ext uri="{FF2B5EF4-FFF2-40B4-BE49-F238E27FC236}">
              <a16:creationId xmlns:a16="http://schemas.microsoft.com/office/drawing/2014/main" id="{4A56A930-3624-42DD-B8F2-F228A6EA3B60}"/>
            </a:ext>
          </a:extLst>
        </xdr:cNvPr>
        <xdr:cNvSpPr/>
      </xdr:nvSpPr>
      <xdr:spPr>
        <a:xfrm>
          <a:off x="2076450" y="17402174"/>
          <a:ext cx="1343025" cy="8477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100"/>
            <a:t>職業指導員</a:t>
          </a:r>
          <a:endParaRPr kumimoji="1" lang="en-US" altLang="ja-JP" sz="1100"/>
        </a:p>
        <a:p>
          <a:pPr algn="l"/>
          <a:r>
            <a:rPr kumimoji="1" lang="en-US" altLang="ja-JP" sz="1100"/>
            <a:t>【</a:t>
          </a:r>
          <a:r>
            <a:rPr kumimoji="1" lang="ja-JP" altLang="en-US" sz="1100"/>
            <a:t>既存事業</a:t>
          </a:r>
          <a:endParaRPr kumimoji="1" lang="en-US" altLang="ja-JP" sz="1100"/>
        </a:p>
        <a:p>
          <a:pPr algn="l"/>
          <a:r>
            <a:rPr kumimoji="1" lang="ja-JP" altLang="en-US" sz="1100"/>
            <a:t>　品質向上</a:t>
          </a:r>
          <a:r>
            <a:rPr kumimoji="1" lang="en-US" altLang="ja-JP" sz="1100"/>
            <a:t>】</a:t>
          </a:r>
          <a:endParaRPr kumimoji="1" lang="ja-JP" altLang="en-US" sz="1100"/>
        </a:p>
      </xdr:txBody>
    </xdr:sp>
    <xdr:clientData/>
  </xdr:twoCellAnchor>
  <xdr:twoCellAnchor>
    <xdr:from>
      <xdr:col>6</xdr:col>
      <xdr:colOff>9525</xdr:colOff>
      <xdr:row>34</xdr:row>
      <xdr:rowOff>952500</xdr:rowOff>
    </xdr:from>
    <xdr:to>
      <xdr:col>7</xdr:col>
      <xdr:colOff>542925</xdr:colOff>
      <xdr:row>34</xdr:row>
      <xdr:rowOff>2057400</xdr:rowOff>
    </xdr:to>
    <xdr:sp macro="" textlink="">
      <xdr:nvSpPr>
        <xdr:cNvPr id="4" name="正方形/長方形 3">
          <a:extLst>
            <a:ext uri="{FF2B5EF4-FFF2-40B4-BE49-F238E27FC236}">
              <a16:creationId xmlns:a16="http://schemas.microsoft.com/office/drawing/2014/main" id="{DA900137-B31F-4F6F-B8A6-E91BE52C9E23}"/>
            </a:ext>
          </a:extLst>
        </xdr:cNvPr>
        <xdr:cNvSpPr/>
      </xdr:nvSpPr>
      <xdr:spPr>
        <a:xfrm>
          <a:off x="4867275" y="15754350"/>
          <a:ext cx="1343025" cy="11049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ctr"/>
          <a:r>
            <a:rPr kumimoji="1" lang="ja-JP" altLang="en-US" sz="1100"/>
            <a:t>サービス</a:t>
          </a:r>
          <a:endParaRPr kumimoji="1" lang="en-US" altLang="ja-JP" sz="1100"/>
        </a:p>
        <a:p>
          <a:pPr algn="ctr"/>
          <a:r>
            <a:rPr kumimoji="1" lang="ja-JP" altLang="en-US" sz="1100"/>
            <a:t>管理責任者</a:t>
          </a:r>
          <a:br>
            <a:rPr kumimoji="1" lang="en-US" altLang="ja-JP" sz="1100"/>
          </a:br>
          <a:r>
            <a:rPr kumimoji="1" lang="en-US" altLang="ja-JP" sz="1100"/>
            <a:t>【</a:t>
          </a:r>
          <a:r>
            <a:rPr kumimoji="1" lang="ja-JP" altLang="en-US" sz="1100"/>
            <a:t>個別支援計画との整合性の確認</a:t>
          </a:r>
          <a:r>
            <a:rPr kumimoji="1" lang="en-US" altLang="ja-JP" sz="1100"/>
            <a:t>】</a:t>
          </a:r>
          <a:endParaRPr kumimoji="1" lang="ja-JP" altLang="en-US" sz="1100"/>
        </a:p>
      </xdr:txBody>
    </xdr:sp>
    <xdr:clientData/>
  </xdr:twoCellAnchor>
  <xdr:twoCellAnchor>
    <xdr:from>
      <xdr:col>4</xdr:col>
      <xdr:colOff>676275</xdr:colOff>
      <xdr:row>35</xdr:row>
      <xdr:rowOff>380999</xdr:rowOff>
    </xdr:from>
    <xdr:to>
      <xdr:col>6</xdr:col>
      <xdr:colOff>400050</xdr:colOff>
      <xdr:row>35</xdr:row>
      <xdr:rowOff>1200150</xdr:rowOff>
    </xdr:to>
    <xdr:sp macro="" textlink="">
      <xdr:nvSpPr>
        <xdr:cNvPr id="5" name="正方形/長方形 4">
          <a:extLst>
            <a:ext uri="{FF2B5EF4-FFF2-40B4-BE49-F238E27FC236}">
              <a16:creationId xmlns:a16="http://schemas.microsoft.com/office/drawing/2014/main" id="{4A1C9767-5213-4C8A-B2C4-90B6B9328E1E}"/>
            </a:ext>
          </a:extLst>
        </xdr:cNvPr>
        <xdr:cNvSpPr/>
      </xdr:nvSpPr>
      <xdr:spPr>
        <a:xfrm>
          <a:off x="3914775" y="17402174"/>
          <a:ext cx="1343025" cy="81915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100"/>
            <a:t>目標工賃指導員</a:t>
          </a:r>
          <a:endParaRPr kumimoji="1" lang="en-US" altLang="ja-JP" sz="1100"/>
        </a:p>
        <a:p>
          <a:pPr algn="l"/>
          <a:r>
            <a:rPr kumimoji="1" lang="en-US" altLang="ja-JP" sz="1100"/>
            <a:t>【</a:t>
          </a:r>
          <a:r>
            <a:rPr kumimoji="1" lang="ja-JP" altLang="en-US" sz="1100"/>
            <a:t>新規事業開拓</a:t>
          </a:r>
          <a:r>
            <a:rPr kumimoji="1" lang="en-US" altLang="ja-JP" sz="1100"/>
            <a:t>】</a:t>
          </a:r>
        </a:p>
        <a:p>
          <a:pPr algn="l"/>
          <a:endParaRPr kumimoji="1" lang="ja-JP" altLang="en-US" sz="1100"/>
        </a:p>
      </xdr:txBody>
    </xdr:sp>
    <xdr:clientData/>
  </xdr:twoCellAnchor>
  <xdr:twoCellAnchor>
    <xdr:from>
      <xdr:col>3</xdr:col>
      <xdr:colOff>319089</xdr:colOff>
      <xdr:row>34</xdr:row>
      <xdr:rowOff>1076324</xdr:rowOff>
    </xdr:from>
    <xdr:to>
      <xdr:col>4</xdr:col>
      <xdr:colOff>423864</xdr:colOff>
      <xdr:row>35</xdr:row>
      <xdr:rowOff>380998</xdr:rowOff>
    </xdr:to>
    <xdr:cxnSp macro="">
      <xdr:nvCxnSpPr>
        <xdr:cNvPr id="7" name="コネクタ: カギ線 6">
          <a:extLst>
            <a:ext uri="{FF2B5EF4-FFF2-40B4-BE49-F238E27FC236}">
              <a16:creationId xmlns:a16="http://schemas.microsoft.com/office/drawing/2014/main" id="{2651AD84-7FEF-4F08-B89C-5FD0B5078D93}"/>
            </a:ext>
          </a:extLst>
        </xdr:cNvPr>
        <xdr:cNvCxnSpPr>
          <a:stCxn id="2" idx="2"/>
          <a:endCxn id="3" idx="0"/>
        </xdr:cNvCxnSpPr>
      </xdr:nvCxnSpPr>
      <xdr:spPr>
        <a:xfrm rot="5400000">
          <a:off x="2443164" y="16182974"/>
          <a:ext cx="1523999" cy="914400"/>
        </a:xfrm>
        <a:prstGeom prst="bentConnector3">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423863</xdr:colOff>
      <xdr:row>34</xdr:row>
      <xdr:rowOff>1076324</xdr:rowOff>
    </xdr:from>
    <xdr:to>
      <xdr:col>5</xdr:col>
      <xdr:colOff>538163</xdr:colOff>
      <xdr:row>35</xdr:row>
      <xdr:rowOff>380998</xdr:rowOff>
    </xdr:to>
    <xdr:cxnSp macro="">
      <xdr:nvCxnSpPr>
        <xdr:cNvPr id="10" name="コネクタ: カギ線 9">
          <a:extLst>
            <a:ext uri="{FF2B5EF4-FFF2-40B4-BE49-F238E27FC236}">
              <a16:creationId xmlns:a16="http://schemas.microsoft.com/office/drawing/2014/main" id="{8501B6D2-7055-4B34-AAC4-C20001162675}"/>
            </a:ext>
          </a:extLst>
        </xdr:cNvPr>
        <xdr:cNvCxnSpPr>
          <a:stCxn id="2" idx="2"/>
          <a:endCxn id="5" idx="0"/>
        </xdr:cNvCxnSpPr>
      </xdr:nvCxnSpPr>
      <xdr:spPr>
        <a:xfrm rot="16200000" flipH="1">
          <a:off x="3362326" y="16178211"/>
          <a:ext cx="1523999" cy="923925"/>
        </a:xfrm>
        <a:prstGeom prst="bentConnector3">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423864</xdr:colOff>
      <xdr:row>34</xdr:row>
      <xdr:rowOff>1076324</xdr:rowOff>
    </xdr:from>
    <xdr:to>
      <xdr:col>6</xdr:col>
      <xdr:colOff>9526</xdr:colOff>
      <xdr:row>34</xdr:row>
      <xdr:rowOff>1504949</xdr:rowOff>
    </xdr:to>
    <xdr:cxnSp macro="">
      <xdr:nvCxnSpPr>
        <xdr:cNvPr id="17" name="コネクタ: カギ線 16">
          <a:extLst>
            <a:ext uri="{FF2B5EF4-FFF2-40B4-BE49-F238E27FC236}">
              <a16:creationId xmlns:a16="http://schemas.microsoft.com/office/drawing/2014/main" id="{23AC4F98-CDCC-4855-B0D0-3C2EE005ED09}"/>
            </a:ext>
          </a:extLst>
        </xdr:cNvPr>
        <xdr:cNvCxnSpPr>
          <a:stCxn id="2" idx="2"/>
          <a:endCxn id="4" idx="1"/>
        </xdr:cNvCxnSpPr>
      </xdr:nvCxnSpPr>
      <xdr:spPr>
        <a:xfrm rot="16200000" flipH="1">
          <a:off x="4050507" y="15490031"/>
          <a:ext cx="428625" cy="1204912"/>
        </a:xfrm>
        <a:prstGeom prst="bentConnector2">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476808</xdr:colOff>
      <xdr:row>4</xdr:row>
      <xdr:rowOff>15688</xdr:rowOff>
    </xdr:from>
    <xdr:to>
      <xdr:col>10</xdr:col>
      <xdr:colOff>466724</xdr:colOff>
      <xdr:row>6</xdr:row>
      <xdr:rowOff>124946</xdr:rowOff>
    </xdr:to>
    <xdr:sp macro="" textlink="">
      <xdr:nvSpPr>
        <xdr:cNvPr id="2" name="Text Box 3">
          <a:extLst>
            <a:ext uri="{FF2B5EF4-FFF2-40B4-BE49-F238E27FC236}">
              <a16:creationId xmlns:a16="http://schemas.microsoft.com/office/drawing/2014/main" id="{00000000-0008-0000-0100-000002000000}"/>
            </a:ext>
          </a:extLst>
        </xdr:cNvPr>
        <xdr:cNvSpPr txBox="1">
          <a:spLocks noChangeArrowheads="1"/>
        </xdr:cNvSpPr>
      </xdr:nvSpPr>
      <xdr:spPr bwMode="auto">
        <a:xfrm>
          <a:off x="6829983" y="1130113"/>
          <a:ext cx="6609791" cy="452158"/>
        </a:xfrm>
        <a:prstGeom prst="rect">
          <a:avLst/>
        </a:prstGeom>
        <a:solidFill>
          <a:srgbClr val="FFFFFF"/>
        </a:solidFill>
        <a:ln w="9525">
          <a:solidFill>
            <a:srgbClr val="000000"/>
          </a:solidFill>
          <a:miter lim="800000"/>
          <a:headEnd/>
          <a:tailEnd/>
        </a:ln>
      </xdr:spPr>
      <xdr:txBody>
        <a:bodyPr vertOverflow="clip" wrap="square" lIns="74295" tIns="8890" rIns="74295" bIns="8890" anchor="ctr" upright="1"/>
        <a:lstStyle/>
        <a:p>
          <a:pPr algn="ctr" rtl="0">
            <a:defRPr sz="1000"/>
          </a:pPr>
          <a:r>
            <a:rPr lang="ja-JP" altLang="en-US" sz="900" b="0" i="0" u="none" strike="noStrike" baseline="0">
              <a:solidFill>
                <a:srgbClr val="000000"/>
              </a:solidFill>
              <a:latin typeface="ＭＳ Ｐゴシック"/>
              <a:ea typeface="ＭＳ Ｐゴシック"/>
            </a:rPr>
            <a:t>５：とてもあてはまる　　　４：ややあてはまる　　　３：どちらともいえない　　　２：あまりあてはまらない　　１：全くあてはまらない</a:t>
          </a:r>
        </a:p>
      </xdr:txBody>
    </xdr:sp>
    <xdr:clientData/>
  </xdr:twoCellAnchor>
  <xdr:twoCellAnchor>
    <xdr:from>
      <xdr:col>9</xdr:col>
      <xdr:colOff>294713</xdr:colOff>
      <xdr:row>6</xdr:row>
      <xdr:rowOff>112060</xdr:rowOff>
    </xdr:from>
    <xdr:to>
      <xdr:col>9</xdr:col>
      <xdr:colOff>719692</xdr:colOff>
      <xdr:row>9</xdr:row>
      <xdr:rowOff>67235</xdr:rowOff>
    </xdr:to>
    <xdr:sp macro="" textlink="">
      <xdr:nvSpPr>
        <xdr:cNvPr id="3" name="Line 2">
          <a:extLst>
            <a:ext uri="{FF2B5EF4-FFF2-40B4-BE49-F238E27FC236}">
              <a16:creationId xmlns:a16="http://schemas.microsoft.com/office/drawing/2014/main" id="{00000000-0008-0000-0100-000003000000}"/>
            </a:ext>
          </a:extLst>
        </xdr:cNvPr>
        <xdr:cNvSpPr>
          <a:spLocks noChangeShapeType="1"/>
        </xdr:cNvSpPr>
      </xdr:nvSpPr>
      <xdr:spPr bwMode="auto">
        <a:xfrm>
          <a:off x="13439213" y="1569385"/>
          <a:ext cx="424979" cy="5743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792257</xdr:colOff>
      <xdr:row>6</xdr:row>
      <xdr:rowOff>134471</xdr:rowOff>
    </xdr:from>
    <xdr:to>
      <xdr:col>8</xdr:col>
      <xdr:colOff>792257</xdr:colOff>
      <xdr:row>9</xdr:row>
      <xdr:rowOff>89647</xdr:rowOff>
    </xdr:to>
    <xdr:sp macro="" textlink="">
      <xdr:nvSpPr>
        <xdr:cNvPr id="4" name="Line 1">
          <a:extLst>
            <a:ext uri="{FF2B5EF4-FFF2-40B4-BE49-F238E27FC236}">
              <a16:creationId xmlns:a16="http://schemas.microsoft.com/office/drawing/2014/main" id="{00000000-0008-0000-0100-000004000000}"/>
            </a:ext>
          </a:extLst>
        </xdr:cNvPr>
        <xdr:cNvSpPr>
          <a:spLocks noChangeShapeType="1"/>
        </xdr:cNvSpPr>
      </xdr:nvSpPr>
      <xdr:spPr bwMode="auto">
        <a:xfrm>
          <a:off x="12498482" y="1591796"/>
          <a:ext cx="0" cy="574301"/>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6"/>
  <sheetViews>
    <sheetView tabSelected="1" view="pageBreakPreview" zoomScale="70" zoomScaleNormal="70" zoomScaleSheetLayoutView="70" workbookViewId="0">
      <selection activeCell="F40" sqref="F40"/>
    </sheetView>
  </sheetViews>
  <sheetFormatPr defaultColWidth="9" defaultRowHeight="13.2" x14ac:dyDescent="0.2"/>
  <cols>
    <col min="1" max="8" width="10.6640625" style="58" customWidth="1"/>
    <col min="9" max="9" width="9" style="58"/>
    <col min="10" max="10" width="14.109375" style="58" customWidth="1"/>
    <col min="11" max="16384" width="9" style="58"/>
  </cols>
  <sheetData>
    <row r="1" spans="1:17" ht="21" x14ac:dyDescent="0.2">
      <c r="A1" s="145" t="s">
        <v>26</v>
      </c>
      <c r="B1" s="145"/>
      <c r="C1" s="145"/>
      <c r="D1" s="145"/>
      <c r="E1" s="145"/>
      <c r="F1" s="145"/>
      <c r="G1" s="145"/>
      <c r="H1" s="145"/>
    </row>
    <row r="2" spans="1:17" ht="20.100000000000001" customHeight="1" x14ac:dyDescent="0.2">
      <c r="A2" s="17"/>
      <c r="B2" s="59"/>
      <c r="C2" s="59"/>
      <c r="D2" s="59"/>
      <c r="E2" s="59"/>
      <c r="F2" s="59"/>
      <c r="G2" s="18" t="s">
        <v>13</v>
      </c>
      <c r="H2" s="107">
        <v>43631</v>
      </c>
    </row>
    <row r="3" spans="1:17" ht="20.100000000000001" customHeight="1" x14ac:dyDescent="0.2">
      <c r="G3" s="18" t="s">
        <v>14</v>
      </c>
      <c r="H3" s="58" t="s">
        <v>113</v>
      </c>
      <c r="K3" s="11"/>
    </row>
    <row r="4" spans="1:17" ht="21.9" customHeight="1" x14ac:dyDescent="0.2">
      <c r="A4" s="12" t="s">
        <v>33</v>
      </c>
      <c r="K4" s="11"/>
    </row>
    <row r="5" spans="1:17" ht="30" customHeight="1" x14ac:dyDescent="0.2">
      <c r="A5" s="29" t="s">
        <v>6</v>
      </c>
      <c r="B5" s="152" t="s">
        <v>86</v>
      </c>
      <c r="C5" s="153"/>
      <c r="D5" s="154"/>
      <c r="E5" s="24" t="s">
        <v>7</v>
      </c>
      <c r="F5" s="30"/>
      <c r="G5" s="152" t="s">
        <v>123</v>
      </c>
      <c r="H5" s="154"/>
      <c r="I5" s="10"/>
      <c r="J5" s="15"/>
      <c r="K5" s="9"/>
      <c r="L5" s="60"/>
      <c r="M5" s="60"/>
      <c r="N5" s="60"/>
      <c r="O5" s="60"/>
      <c r="P5" s="60"/>
      <c r="Q5" s="60"/>
    </row>
    <row r="6" spans="1:17" ht="25.5" customHeight="1" x14ac:dyDescent="0.2">
      <c r="A6" s="53" t="s">
        <v>80</v>
      </c>
      <c r="B6" s="155" t="s">
        <v>88</v>
      </c>
      <c r="C6" s="156"/>
      <c r="D6" s="157"/>
      <c r="E6" s="125" t="s">
        <v>16</v>
      </c>
      <c r="F6" s="133"/>
      <c r="G6" s="125" t="s">
        <v>87</v>
      </c>
      <c r="H6" s="133"/>
      <c r="I6" s="10"/>
      <c r="J6" s="15"/>
      <c r="K6" s="9"/>
      <c r="L6" s="60"/>
      <c r="M6" s="60"/>
      <c r="N6" s="60"/>
      <c r="O6" s="60"/>
      <c r="P6" s="60"/>
      <c r="Q6" s="60"/>
    </row>
    <row r="7" spans="1:17" s="61" customFormat="1" ht="25.5" customHeight="1" x14ac:dyDescent="0.2">
      <c r="A7" s="86" t="s">
        <v>35</v>
      </c>
      <c r="B7" s="158">
        <v>3310500396</v>
      </c>
      <c r="C7" s="159"/>
      <c r="D7" s="160"/>
      <c r="E7" s="126"/>
      <c r="F7" s="147"/>
      <c r="G7" s="126"/>
      <c r="H7" s="147"/>
      <c r="I7" s="26"/>
      <c r="J7" s="15"/>
      <c r="K7" s="27"/>
    </row>
    <row r="8" spans="1:17" ht="30" customHeight="1" x14ac:dyDescent="0.2">
      <c r="A8" s="146" t="s">
        <v>8</v>
      </c>
      <c r="B8" s="142" t="s">
        <v>89</v>
      </c>
      <c r="C8" s="143"/>
      <c r="D8" s="143"/>
      <c r="E8" s="143"/>
      <c r="F8" s="143"/>
      <c r="G8" s="143"/>
      <c r="H8" s="144"/>
      <c r="I8" s="10"/>
      <c r="J8" s="16"/>
      <c r="K8" s="9"/>
      <c r="L8" s="60"/>
      <c r="M8" s="60"/>
      <c r="N8" s="60"/>
      <c r="O8" s="60"/>
      <c r="P8" s="60"/>
      <c r="Q8" s="60"/>
    </row>
    <row r="9" spans="1:17" ht="30" customHeight="1" x14ac:dyDescent="0.2">
      <c r="A9" s="146"/>
      <c r="B9" s="142"/>
      <c r="C9" s="143"/>
      <c r="D9" s="143"/>
      <c r="E9" s="143"/>
      <c r="F9" s="143"/>
      <c r="G9" s="143"/>
      <c r="H9" s="144"/>
      <c r="I9" s="10"/>
      <c r="J9" s="10"/>
      <c r="K9" s="9"/>
      <c r="L9" s="60"/>
      <c r="M9" s="60"/>
      <c r="N9" s="60"/>
      <c r="O9" s="60"/>
      <c r="P9" s="60"/>
      <c r="Q9" s="60"/>
    </row>
    <row r="10" spans="1:17" ht="30" customHeight="1" x14ac:dyDescent="0.2">
      <c r="A10" s="146"/>
      <c r="B10" s="142" t="s">
        <v>90</v>
      </c>
      <c r="C10" s="143"/>
      <c r="D10" s="143"/>
      <c r="E10" s="143"/>
      <c r="F10" s="143"/>
      <c r="G10" s="143"/>
      <c r="H10" s="144"/>
      <c r="I10" s="10"/>
      <c r="J10" s="10"/>
      <c r="K10" s="9"/>
      <c r="L10" s="60"/>
      <c r="M10" s="60"/>
      <c r="N10" s="60"/>
      <c r="O10" s="60"/>
      <c r="P10" s="60"/>
      <c r="Q10" s="60"/>
    </row>
    <row r="11" spans="1:17" ht="30" customHeight="1" x14ac:dyDescent="0.2">
      <c r="A11" s="146"/>
      <c r="B11" s="142" t="s">
        <v>91</v>
      </c>
      <c r="C11" s="143"/>
      <c r="D11" s="143"/>
      <c r="E11" s="143"/>
      <c r="F11" s="143"/>
      <c r="G11" s="143"/>
      <c r="H11" s="144"/>
      <c r="I11" s="10"/>
      <c r="J11" s="9"/>
      <c r="K11" s="9"/>
      <c r="L11" s="60"/>
      <c r="M11" s="60"/>
      <c r="N11" s="60"/>
      <c r="O11" s="60"/>
      <c r="P11" s="60"/>
      <c r="Q11" s="60"/>
    </row>
    <row r="12" spans="1:17" ht="30" customHeight="1" x14ac:dyDescent="0.2">
      <c r="A12" s="125" t="s">
        <v>29</v>
      </c>
      <c r="B12" s="127" t="s">
        <v>9</v>
      </c>
      <c r="C12" s="128"/>
      <c r="D12" s="128"/>
      <c r="E12" s="128"/>
      <c r="F12" s="128"/>
      <c r="G12" s="128"/>
      <c r="H12" s="129"/>
      <c r="I12" s="10"/>
      <c r="J12" s="9"/>
      <c r="K12" s="9"/>
      <c r="L12" s="60"/>
      <c r="M12" s="60"/>
      <c r="N12" s="60"/>
      <c r="O12" s="60"/>
      <c r="P12" s="60"/>
      <c r="Q12" s="60"/>
    </row>
    <row r="13" spans="1:17" ht="30" customHeight="1" x14ac:dyDescent="0.2">
      <c r="A13" s="126"/>
      <c r="B13" s="130" t="s">
        <v>92</v>
      </c>
      <c r="C13" s="131"/>
      <c r="D13" s="131"/>
      <c r="E13" s="131"/>
      <c r="F13" s="131"/>
      <c r="G13" s="131"/>
      <c r="H13" s="132"/>
      <c r="I13" s="10"/>
      <c r="J13" s="9"/>
      <c r="K13" s="9"/>
      <c r="L13" s="60"/>
      <c r="M13" s="60"/>
      <c r="N13" s="60"/>
      <c r="O13" s="60"/>
      <c r="P13" s="60"/>
      <c r="Q13" s="60"/>
    </row>
    <row r="14" spans="1:17" ht="30" customHeight="1" x14ac:dyDescent="0.2">
      <c r="A14" s="20" t="s">
        <v>10</v>
      </c>
      <c r="B14" s="85">
        <v>14</v>
      </c>
      <c r="C14" s="19"/>
      <c r="D14" s="125" t="s">
        <v>17</v>
      </c>
      <c r="E14" s="133"/>
      <c r="F14" s="134" t="s">
        <v>120</v>
      </c>
      <c r="G14" s="134"/>
      <c r="H14" s="135"/>
      <c r="I14" s="10"/>
      <c r="J14" s="9"/>
      <c r="K14" s="9"/>
      <c r="L14" s="60"/>
      <c r="M14" s="60"/>
      <c r="N14" s="60"/>
      <c r="O14" s="60"/>
      <c r="P14" s="60"/>
      <c r="Q14" s="60"/>
    </row>
    <row r="15" spans="1:17" s="62" customFormat="1" ht="30" customHeight="1" x14ac:dyDescent="0.2">
      <c r="A15" s="25" t="s">
        <v>25</v>
      </c>
      <c r="B15" s="150" t="s">
        <v>121</v>
      </c>
      <c r="C15" s="150"/>
      <c r="D15" s="150"/>
      <c r="E15" s="150"/>
      <c r="F15" s="150"/>
      <c r="G15" s="150"/>
      <c r="H15" s="151"/>
      <c r="I15" s="21"/>
      <c r="J15" s="22"/>
      <c r="K15" s="22"/>
    </row>
    <row r="16" spans="1:17" s="62" customFormat="1" ht="30" customHeight="1" x14ac:dyDescent="0.2">
      <c r="A16" s="31" t="s">
        <v>31</v>
      </c>
      <c r="B16" s="63"/>
      <c r="C16" s="32"/>
      <c r="D16" s="64"/>
      <c r="E16" s="32"/>
      <c r="F16" s="64"/>
      <c r="G16" s="32"/>
      <c r="H16" s="23"/>
      <c r="I16" s="21"/>
      <c r="J16" s="22"/>
      <c r="K16" s="22"/>
    </row>
    <row r="17" spans="1:11" s="62" customFormat="1" ht="30" customHeight="1" x14ac:dyDescent="0.2">
      <c r="A17" s="25" t="s">
        <v>18</v>
      </c>
      <c r="B17" s="25">
        <v>1</v>
      </c>
      <c r="C17" s="25" t="s">
        <v>19</v>
      </c>
      <c r="D17" s="25">
        <v>1</v>
      </c>
      <c r="E17" s="28" t="s">
        <v>20</v>
      </c>
      <c r="F17" s="28">
        <v>1</v>
      </c>
      <c r="G17" s="25" t="s">
        <v>21</v>
      </c>
      <c r="H17" s="25"/>
      <c r="I17" s="21"/>
      <c r="J17" s="22"/>
      <c r="K17" s="22"/>
    </row>
    <row r="18" spans="1:11" ht="54" customHeight="1" x14ac:dyDescent="0.2">
      <c r="A18" s="125" t="s">
        <v>34</v>
      </c>
      <c r="B18" s="133"/>
      <c r="C18" s="116" t="s">
        <v>93</v>
      </c>
      <c r="D18" s="117"/>
      <c r="E18" s="117"/>
      <c r="F18" s="117"/>
      <c r="G18" s="117"/>
      <c r="H18" s="118"/>
      <c r="I18" s="14"/>
      <c r="J18" s="65"/>
      <c r="K18" s="14"/>
    </row>
    <row r="19" spans="1:11" ht="54" customHeight="1" x14ac:dyDescent="0.2">
      <c r="A19" s="146"/>
      <c r="B19" s="135"/>
      <c r="C19" s="119"/>
      <c r="D19" s="120"/>
      <c r="E19" s="120"/>
      <c r="F19" s="120"/>
      <c r="G19" s="120"/>
      <c r="H19" s="121"/>
      <c r="I19" s="14"/>
      <c r="J19" s="65"/>
      <c r="K19" s="14"/>
    </row>
    <row r="20" spans="1:11" ht="54" customHeight="1" x14ac:dyDescent="0.2">
      <c r="A20" s="146"/>
      <c r="B20" s="135"/>
      <c r="C20" s="119"/>
      <c r="D20" s="120"/>
      <c r="E20" s="120"/>
      <c r="F20" s="120"/>
      <c r="G20" s="120"/>
      <c r="H20" s="121"/>
      <c r="I20" s="14"/>
      <c r="J20" s="65"/>
      <c r="K20" s="14"/>
    </row>
    <row r="21" spans="1:11" ht="54" customHeight="1" x14ac:dyDescent="0.2">
      <c r="A21" s="146"/>
      <c r="B21" s="135"/>
      <c r="C21" s="119"/>
      <c r="D21" s="120"/>
      <c r="E21" s="120"/>
      <c r="F21" s="120"/>
      <c r="G21" s="120"/>
      <c r="H21" s="121"/>
      <c r="I21" s="14"/>
      <c r="J21" s="65"/>
      <c r="K21" s="14"/>
    </row>
    <row r="22" spans="1:11" ht="54" customHeight="1" x14ac:dyDescent="0.2">
      <c r="A22" s="126"/>
      <c r="B22" s="147"/>
      <c r="C22" s="122"/>
      <c r="D22" s="123"/>
      <c r="E22" s="123"/>
      <c r="F22" s="123"/>
      <c r="G22" s="123"/>
      <c r="H22" s="124"/>
      <c r="I22" s="14"/>
      <c r="J22" s="65"/>
      <c r="K22" s="14"/>
    </row>
    <row r="24" spans="1:11" ht="14.4" x14ac:dyDescent="0.2">
      <c r="A24" s="12" t="s">
        <v>27</v>
      </c>
    </row>
    <row r="25" spans="1:11" ht="14.4" x14ac:dyDescent="0.2">
      <c r="A25" s="12"/>
    </row>
    <row r="26" spans="1:11" ht="13.8" thickBot="1" x14ac:dyDescent="0.25">
      <c r="H26" s="66" t="s">
        <v>15</v>
      </c>
    </row>
    <row r="27" spans="1:11" ht="60" customHeight="1" x14ac:dyDescent="0.2">
      <c r="A27" s="148"/>
      <c r="B27" s="149"/>
      <c r="C27" s="72" t="s">
        <v>41</v>
      </c>
      <c r="D27" s="73" t="s">
        <v>40</v>
      </c>
      <c r="E27" s="73" t="s">
        <v>39</v>
      </c>
      <c r="F27" s="74" t="s">
        <v>38</v>
      </c>
      <c r="G27" s="104" t="s">
        <v>37</v>
      </c>
      <c r="H27" s="74" t="s">
        <v>36</v>
      </c>
    </row>
    <row r="28" spans="1:11" ht="45" customHeight="1" x14ac:dyDescent="0.2">
      <c r="A28" s="13" t="s">
        <v>22</v>
      </c>
      <c r="B28" s="67"/>
      <c r="C28" s="68"/>
      <c r="D28" s="69"/>
      <c r="E28" s="89">
        <v>93179</v>
      </c>
      <c r="F28" s="87">
        <f>'3'!G46+'3'!G12</f>
        <v>1057609</v>
      </c>
      <c r="G28" s="105">
        <f>1700000+30000*9</f>
        <v>1970000</v>
      </c>
      <c r="H28" s="87">
        <f>1900000+40000*9</f>
        <v>2260000</v>
      </c>
    </row>
    <row r="29" spans="1:11" ht="45" customHeight="1" x14ac:dyDescent="0.2">
      <c r="A29" s="13" t="s">
        <v>23</v>
      </c>
      <c r="B29" s="67"/>
      <c r="C29" s="68"/>
      <c r="D29" s="69"/>
      <c r="E29" s="89">
        <v>427754</v>
      </c>
      <c r="F29" s="87">
        <v>1329094</v>
      </c>
      <c r="G29" s="105">
        <f>G28</f>
        <v>1970000</v>
      </c>
      <c r="H29" s="87">
        <f>H28</f>
        <v>2260000</v>
      </c>
    </row>
    <row r="30" spans="1:11" ht="45" customHeight="1" x14ac:dyDescent="0.2">
      <c r="A30" s="51" t="s">
        <v>24</v>
      </c>
      <c r="B30" s="67"/>
      <c r="C30" s="68"/>
      <c r="D30" s="69"/>
      <c r="E30" s="89">
        <v>34</v>
      </c>
      <c r="F30" s="87">
        <v>83</v>
      </c>
      <c r="G30" s="105">
        <f>10*13.5</f>
        <v>135</v>
      </c>
      <c r="H30" s="87">
        <v>140</v>
      </c>
    </row>
    <row r="31" spans="1:11" ht="45" customHeight="1" x14ac:dyDescent="0.2">
      <c r="A31" s="33" t="s">
        <v>30</v>
      </c>
      <c r="B31" s="67"/>
      <c r="C31" s="68"/>
      <c r="D31" s="69"/>
      <c r="E31" s="89">
        <f>E29/E30</f>
        <v>12581</v>
      </c>
      <c r="F31" s="87">
        <f t="shared" ref="F31:H31" si="0">F29/F30</f>
        <v>16013.180722891566</v>
      </c>
      <c r="G31" s="105">
        <f t="shared" si="0"/>
        <v>14592.592592592593</v>
      </c>
      <c r="H31" s="87">
        <f t="shared" si="0"/>
        <v>16142.857142857143</v>
      </c>
    </row>
    <row r="32" spans="1:11" ht="45" customHeight="1" x14ac:dyDescent="0.2">
      <c r="A32" s="51" t="s">
        <v>43</v>
      </c>
      <c r="B32" s="67"/>
      <c r="C32" s="68"/>
      <c r="D32" s="69"/>
      <c r="E32" s="89">
        <v>2023</v>
      </c>
      <c r="F32" s="87">
        <v>5955</v>
      </c>
      <c r="G32" s="105">
        <f>G30*55</f>
        <v>7425</v>
      </c>
      <c r="H32" s="87">
        <f>H30*55</f>
        <v>7700</v>
      </c>
    </row>
    <row r="33" spans="1:8" ht="45" customHeight="1" thickBot="1" x14ac:dyDescent="0.25">
      <c r="A33" s="33" t="s">
        <v>42</v>
      </c>
      <c r="B33" s="67"/>
      <c r="C33" s="68"/>
      <c r="D33" s="69"/>
      <c r="E33" s="89">
        <f>E29/E32</f>
        <v>211.44537815126051</v>
      </c>
      <c r="F33" s="88">
        <f t="shared" ref="F33:H33" si="1">F29/F32</f>
        <v>223.18958858102434</v>
      </c>
      <c r="G33" s="105">
        <f t="shared" si="1"/>
        <v>265.3198653198653</v>
      </c>
      <c r="H33" s="88">
        <f t="shared" si="1"/>
        <v>293.50649350649348</v>
      </c>
    </row>
    <row r="34" spans="1:8" ht="46.5" customHeight="1" x14ac:dyDescent="0.2">
      <c r="A34" s="113" t="s">
        <v>79</v>
      </c>
      <c r="B34" s="114"/>
      <c r="C34" s="114"/>
      <c r="D34" s="114"/>
      <c r="E34" s="115"/>
      <c r="F34" s="115"/>
      <c r="G34" s="114"/>
      <c r="H34" s="115"/>
    </row>
    <row r="35" spans="1:8" ht="174.75" customHeight="1" x14ac:dyDescent="0.15">
      <c r="A35" s="109" t="s">
        <v>11</v>
      </c>
      <c r="B35" s="110"/>
      <c r="C35" s="136"/>
      <c r="D35" s="137"/>
      <c r="E35" s="137"/>
      <c r="F35" s="137"/>
      <c r="G35" s="137"/>
      <c r="H35" s="138"/>
    </row>
    <row r="36" spans="1:8" ht="174.75" customHeight="1" x14ac:dyDescent="0.2">
      <c r="A36" s="111" t="s">
        <v>12</v>
      </c>
      <c r="B36" s="112"/>
      <c r="C36" s="139"/>
      <c r="D36" s="140"/>
      <c r="E36" s="140"/>
      <c r="F36" s="140"/>
      <c r="G36" s="140"/>
      <c r="H36" s="141"/>
    </row>
  </sheetData>
  <mergeCells count="25">
    <mergeCell ref="B10:H10"/>
    <mergeCell ref="B11:H11"/>
    <mergeCell ref="A1:H1"/>
    <mergeCell ref="A18:B22"/>
    <mergeCell ref="A27:B27"/>
    <mergeCell ref="A8:A11"/>
    <mergeCell ref="B8:H8"/>
    <mergeCell ref="B9:H9"/>
    <mergeCell ref="B15:H15"/>
    <mergeCell ref="E6:F7"/>
    <mergeCell ref="G6:H7"/>
    <mergeCell ref="B5:D5"/>
    <mergeCell ref="B6:D6"/>
    <mergeCell ref="B7:D7"/>
    <mergeCell ref="G5:H5"/>
    <mergeCell ref="A35:B35"/>
    <mergeCell ref="A36:B36"/>
    <mergeCell ref="A34:H34"/>
    <mergeCell ref="C18:H22"/>
    <mergeCell ref="A12:A13"/>
    <mergeCell ref="B12:H12"/>
    <mergeCell ref="B13:H13"/>
    <mergeCell ref="D14:E14"/>
    <mergeCell ref="F14:H14"/>
    <mergeCell ref="C35:H36"/>
  </mergeCells>
  <phoneticPr fontId="6"/>
  <pageMargins left="0.7" right="0.7" top="0.75" bottom="0.75" header="0.3" footer="0.3"/>
  <pageSetup paperSize="9" orientation="portrait" r:id="rId1"/>
  <rowBreaks count="1" manualBreakCount="1">
    <brk id="2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A7617-F297-4CCB-91C0-5794844AAE8C}">
  <dimension ref="A1"/>
  <sheetViews>
    <sheetView workbookViewId="0"/>
  </sheetViews>
  <sheetFormatPr defaultRowHeight="13.2" x14ac:dyDescent="0.2"/>
  <sheetData/>
  <phoneticPr fontId="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M81"/>
  <sheetViews>
    <sheetView view="pageBreakPreview" zoomScaleNormal="55" zoomScaleSheetLayoutView="100" workbookViewId="0">
      <selection activeCell="C38" sqref="C38:D41"/>
    </sheetView>
  </sheetViews>
  <sheetFormatPr defaultColWidth="9" defaultRowHeight="13.2" x14ac:dyDescent="0.2"/>
  <cols>
    <col min="1" max="1" width="11" style="75" customWidth="1"/>
    <col min="2" max="3" width="18.44140625" style="75" customWidth="1"/>
    <col min="4" max="4" width="24.77734375" style="75" customWidth="1"/>
    <col min="5" max="5" width="3.44140625" style="75" customWidth="1"/>
    <col min="6" max="6" width="19.21875" style="75" customWidth="1"/>
    <col min="7" max="7" width="23" style="75" customWidth="1"/>
    <col min="8" max="8" width="14.33203125" style="75" customWidth="1"/>
    <col min="9" max="9" width="18.88671875" style="75" customWidth="1"/>
    <col min="10" max="10" width="14.33203125" style="75" customWidth="1"/>
    <col min="11" max="11" width="14.88671875" style="75" customWidth="1"/>
    <col min="12" max="12" width="39.44140625" style="75" customWidth="1"/>
    <col min="13" max="13" width="16.21875" style="75" customWidth="1"/>
    <col min="14" max="16384" width="9" style="75"/>
  </cols>
  <sheetData>
    <row r="2" spans="1:13" ht="33" customHeight="1" x14ac:dyDescent="0.2">
      <c r="A2" s="34" t="s">
        <v>44</v>
      </c>
      <c r="H2" s="103"/>
    </row>
    <row r="3" spans="1:13" ht="27.75" customHeight="1" x14ac:dyDescent="0.2">
      <c r="A3" s="161" t="s">
        <v>139</v>
      </c>
      <c r="B3" s="162"/>
      <c r="C3" s="57" t="s">
        <v>75</v>
      </c>
      <c r="D3" s="106">
        <f>'１・２'!F28</f>
        <v>1057609</v>
      </c>
      <c r="E3" s="161" t="s">
        <v>45</v>
      </c>
      <c r="F3" s="162"/>
      <c r="G3" s="35" t="s">
        <v>124</v>
      </c>
      <c r="H3" s="56" t="s">
        <v>46</v>
      </c>
      <c r="I3" s="106">
        <f>'１・２'!F29</f>
        <v>1329094</v>
      </c>
    </row>
    <row r="9" spans="1:13" ht="21.75" customHeight="1" x14ac:dyDescent="0.2">
      <c r="A9" s="176" t="s">
        <v>47</v>
      </c>
      <c r="B9" s="176" t="s">
        <v>0</v>
      </c>
      <c r="C9" s="163" t="s">
        <v>48</v>
      </c>
      <c r="D9" s="164"/>
      <c r="E9" s="176" t="s">
        <v>49</v>
      </c>
      <c r="F9" s="176"/>
      <c r="G9" s="176"/>
      <c r="H9" s="176"/>
      <c r="I9" s="176"/>
      <c r="J9" s="176"/>
      <c r="K9" s="176"/>
      <c r="L9" s="176" t="s">
        <v>50</v>
      </c>
      <c r="M9" s="36" t="s">
        <v>51</v>
      </c>
    </row>
    <row r="10" spans="1:13" ht="21.75" customHeight="1" x14ac:dyDescent="0.2">
      <c r="A10" s="176"/>
      <c r="B10" s="176"/>
      <c r="C10" s="165"/>
      <c r="D10" s="166"/>
      <c r="E10" s="176" t="s">
        <v>125</v>
      </c>
      <c r="F10" s="176"/>
      <c r="G10" s="176"/>
      <c r="H10" s="176" t="s">
        <v>52</v>
      </c>
      <c r="I10" s="176"/>
      <c r="J10" s="176" t="s">
        <v>53</v>
      </c>
      <c r="K10" s="176"/>
      <c r="L10" s="176"/>
      <c r="M10" s="37" t="s">
        <v>54</v>
      </c>
    </row>
    <row r="11" spans="1:13" ht="21.75" customHeight="1" x14ac:dyDescent="0.2">
      <c r="A11" s="176"/>
      <c r="B11" s="176"/>
      <c r="C11" s="167"/>
      <c r="D11" s="168"/>
      <c r="E11" s="176"/>
      <c r="F11" s="176"/>
      <c r="G11" s="176"/>
      <c r="H11" s="192" t="s">
        <v>55</v>
      </c>
      <c r="I11" s="192"/>
      <c r="J11" s="192" t="s">
        <v>55</v>
      </c>
      <c r="K11" s="192"/>
      <c r="L11" s="176"/>
      <c r="M11" s="76"/>
    </row>
    <row r="12" spans="1:13" ht="21.75" customHeight="1" x14ac:dyDescent="0.2">
      <c r="A12" s="175" t="s">
        <v>94</v>
      </c>
      <c r="B12" s="175" t="s">
        <v>95</v>
      </c>
      <c r="C12" s="169" t="s">
        <v>96</v>
      </c>
      <c r="D12" s="170"/>
      <c r="E12" s="179" t="s">
        <v>57</v>
      </c>
      <c r="F12" s="179"/>
      <c r="G12" s="90">
        <f>301586+49023+59000</f>
        <v>409609</v>
      </c>
      <c r="H12" s="179" t="s">
        <v>58</v>
      </c>
      <c r="I12" s="188">
        <v>5</v>
      </c>
      <c r="J12" s="179" t="s">
        <v>59</v>
      </c>
      <c r="K12" s="188">
        <v>5</v>
      </c>
      <c r="L12" s="39" t="s">
        <v>60</v>
      </c>
      <c r="M12" s="177">
        <v>1</v>
      </c>
    </row>
    <row r="13" spans="1:13" ht="21.75" customHeight="1" x14ac:dyDescent="0.2">
      <c r="A13" s="175"/>
      <c r="B13" s="175"/>
      <c r="C13" s="171"/>
      <c r="D13" s="172"/>
      <c r="E13" s="178" t="s">
        <v>61</v>
      </c>
      <c r="F13" s="179"/>
      <c r="G13" s="38">
        <v>0</v>
      </c>
      <c r="H13" s="179"/>
      <c r="I13" s="188"/>
      <c r="J13" s="179"/>
      <c r="K13" s="188"/>
      <c r="L13" s="189" t="s">
        <v>128</v>
      </c>
      <c r="M13" s="177"/>
    </row>
    <row r="14" spans="1:13" ht="21.75" customHeight="1" x14ac:dyDescent="0.2">
      <c r="A14" s="175"/>
      <c r="B14" s="175"/>
      <c r="C14" s="171"/>
      <c r="D14" s="172"/>
      <c r="E14" s="183"/>
      <c r="F14" s="184" t="s">
        <v>120</v>
      </c>
      <c r="G14" s="186"/>
      <c r="H14" s="179"/>
      <c r="I14" s="188"/>
      <c r="J14" s="179"/>
      <c r="K14" s="188"/>
      <c r="L14" s="190"/>
      <c r="M14" s="177"/>
    </row>
    <row r="15" spans="1:13" ht="21.75" customHeight="1" x14ac:dyDescent="0.2">
      <c r="A15" s="175"/>
      <c r="B15" s="175"/>
      <c r="C15" s="171"/>
      <c r="D15" s="172"/>
      <c r="E15" s="179"/>
      <c r="F15" s="185"/>
      <c r="G15" s="187"/>
      <c r="H15" s="179"/>
      <c r="I15" s="188"/>
      <c r="J15" s="179"/>
      <c r="K15" s="188"/>
      <c r="L15" s="190"/>
      <c r="M15" s="177"/>
    </row>
    <row r="16" spans="1:13" ht="21.75" customHeight="1" x14ac:dyDescent="0.2">
      <c r="A16" s="175"/>
      <c r="B16" s="175"/>
      <c r="C16" s="171"/>
      <c r="D16" s="172"/>
      <c r="E16" s="179"/>
      <c r="F16" s="54" t="s">
        <v>62</v>
      </c>
      <c r="G16" s="55"/>
      <c r="H16" s="179" t="s">
        <v>63</v>
      </c>
      <c r="I16" s="188">
        <v>5</v>
      </c>
      <c r="J16" s="179" t="s">
        <v>64</v>
      </c>
      <c r="K16" s="188">
        <v>4</v>
      </c>
      <c r="L16" s="191"/>
      <c r="M16" s="177"/>
    </row>
    <row r="17" spans="1:13" ht="21.75" customHeight="1" x14ac:dyDescent="0.2">
      <c r="A17" s="175"/>
      <c r="B17" s="175"/>
      <c r="C17" s="173"/>
      <c r="D17" s="174"/>
      <c r="E17" s="179"/>
      <c r="F17" s="41" t="s">
        <v>65</v>
      </c>
      <c r="G17" s="42"/>
      <c r="H17" s="179"/>
      <c r="I17" s="188"/>
      <c r="J17" s="179"/>
      <c r="K17" s="188"/>
      <c r="L17" s="40" t="s">
        <v>66</v>
      </c>
      <c r="M17" s="177"/>
    </row>
    <row r="18" spans="1:13" ht="21.75" customHeight="1" x14ac:dyDescent="0.2">
      <c r="A18" s="175"/>
      <c r="B18" s="175"/>
      <c r="C18" s="169" t="s">
        <v>97</v>
      </c>
      <c r="D18" s="170"/>
      <c r="E18" s="179" t="s">
        <v>68</v>
      </c>
      <c r="F18" s="179"/>
      <c r="G18" s="90">
        <v>409609</v>
      </c>
      <c r="H18" s="179"/>
      <c r="I18" s="188"/>
      <c r="J18" s="179"/>
      <c r="K18" s="188"/>
      <c r="L18" s="189" t="s">
        <v>129</v>
      </c>
      <c r="M18" s="177"/>
    </row>
    <row r="19" spans="1:13" ht="21.75" customHeight="1" x14ac:dyDescent="0.2">
      <c r="A19" s="175"/>
      <c r="B19" s="175"/>
      <c r="C19" s="171"/>
      <c r="D19" s="172"/>
      <c r="E19" s="179" t="s">
        <v>69</v>
      </c>
      <c r="F19" s="179"/>
      <c r="G19" s="38">
        <v>9</v>
      </c>
      <c r="H19" s="179" t="s">
        <v>70</v>
      </c>
      <c r="I19" s="188">
        <v>3</v>
      </c>
      <c r="J19" s="179" t="s">
        <v>71</v>
      </c>
      <c r="K19" s="188">
        <v>4</v>
      </c>
      <c r="L19" s="190"/>
      <c r="M19" s="177"/>
    </row>
    <row r="20" spans="1:13" ht="21.75" customHeight="1" x14ac:dyDescent="0.2">
      <c r="A20" s="175"/>
      <c r="B20" s="175"/>
      <c r="C20" s="171"/>
      <c r="D20" s="172"/>
      <c r="E20" s="179" t="s">
        <v>72</v>
      </c>
      <c r="F20" s="179"/>
      <c r="G20" s="90">
        <f>G18/34</f>
        <v>12047.323529411764</v>
      </c>
      <c r="H20" s="179"/>
      <c r="I20" s="188"/>
      <c r="J20" s="179"/>
      <c r="K20" s="188"/>
      <c r="L20" s="190"/>
      <c r="M20" s="177"/>
    </row>
    <row r="21" spans="1:13" ht="21.75" customHeight="1" x14ac:dyDescent="0.2">
      <c r="A21" s="175"/>
      <c r="B21" s="175"/>
      <c r="C21" s="173"/>
      <c r="D21" s="174"/>
      <c r="E21" s="179" t="s">
        <v>46</v>
      </c>
      <c r="F21" s="179"/>
      <c r="G21" s="91">
        <f>I3</f>
        <v>1329094</v>
      </c>
      <c r="H21" s="179"/>
      <c r="I21" s="188"/>
      <c r="J21" s="179"/>
      <c r="K21" s="188"/>
      <c r="L21" s="190"/>
      <c r="M21" s="177"/>
    </row>
    <row r="22" spans="1:13" ht="21.75" customHeight="1" x14ac:dyDescent="0.2">
      <c r="A22" s="175" t="s">
        <v>126</v>
      </c>
      <c r="B22" s="175" t="s">
        <v>127</v>
      </c>
      <c r="C22" s="169" t="s">
        <v>56</v>
      </c>
      <c r="D22" s="170"/>
      <c r="E22" s="179" t="s">
        <v>57</v>
      </c>
      <c r="F22" s="179"/>
      <c r="G22" s="90">
        <f>108000*6</f>
        <v>648000</v>
      </c>
      <c r="H22" s="179" t="s">
        <v>58</v>
      </c>
      <c r="I22" s="188">
        <v>5</v>
      </c>
      <c r="J22" s="179" t="s">
        <v>59</v>
      </c>
      <c r="K22" s="188">
        <v>4</v>
      </c>
      <c r="L22" s="39" t="s">
        <v>60</v>
      </c>
      <c r="M22" s="177"/>
    </row>
    <row r="23" spans="1:13" ht="21.75" customHeight="1" x14ac:dyDescent="0.2">
      <c r="A23" s="175"/>
      <c r="B23" s="175"/>
      <c r="C23" s="171"/>
      <c r="D23" s="172"/>
      <c r="E23" s="178" t="s">
        <v>61</v>
      </c>
      <c r="F23" s="179"/>
      <c r="G23" s="38">
        <v>0</v>
      </c>
      <c r="H23" s="179"/>
      <c r="I23" s="188"/>
      <c r="J23" s="179"/>
      <c r="K23" s="188"/>
      <c r="L23" s="189" t="s">
        <v>130</v>
      </c>
      <c r="M23" s="177"/>
    </row>
    <row r="24" spans="1:13" ht="21.75" customHeight="1" x14ac:dyDescent="0.2">
      <c r="A24" s="175"/>
      <c r="B24" s="175"/>
      <c r="C24" s="171"/>
      <c r="D24" s="172"/>
      <c r="E24" s="183"/>
      <c r="F24" s="184" t="s">
        <v>82</v>
      </c>
      <c r="G24" s="186"/>
      <c r="H24" s="179"/>
      <c r="I24" s="188"/>
      <c r="J24" s="179"/>
      <c r="K24" s="188"/>
      <c r="L24" s="190"/>
      <c r="M24" s="177"/>
    </row>
    <row r="25" spans="1:13" ht="21.75" customHeight="1" x14ac:dyDescent="0.2">
      <c r="A25" s="175"/>
      <c r="B25" s="175"/>
      <c r="C25" s="171"/>
      <c r="D25" s="172"/>
      <c r="E25" s="179"/>
      <c r="F25" s="185"/>
      <c r="G25" s="187"/>
      <c r="H25" s="179"/>
      <c r="I25" s="188"/>
      <c r="J25" s="179"/>
      <c r="K25" s="188"/>
      <c r="L25" s="190"/>
      <c r="M25" s="177"/>
    </row>
    <row r="26" spans="1:13" ht="21.75" customHeight="1" x14ac:dyDescent="0.2">
      <c r="A26" s="175"/>
      <c r="B26" s="175"/>
      <c r="C26" s="171"/>
      <c r="D26" s="172"/>
      <c r="E26" s="179"/>
      <c r="F26" s="54" t="s">
        <v>62</v>
      </c>
      <c r="G26" s="55"/>
      <c r="H26" s="179" t="s">
        <v>63</v>
      </c>
      <c r="I26" s="188">
        <v>5</v>
      </c>
      <c r="J26" s="179" t="s">
        <v>64</v>
      </c>
      <c r="K26" s="188">
        <v>5</v>
      </c>
      <c r="L26" s="191"/>
      <c r="M26" s="177"/>
    </row>
    <row r="27" spans="1:13" ht="21.75" customHeight="1" x14ac:dyDescent="0.2">
      <c r="A27" s="175"/>
      <c r="B27" s="175"/>
      <c r="C27" s="173"/>
      <c r="D27" s="174"/>
      <c r="E27" s="179"/>
      <c r="F27" s="41" t="s">
        <v>65</v>
      </c>
      <c r="G27" s="42"/>
      <c r="H27" s="179"/>
      <c r="I27" s="188"/>
      <c r="J27" s="179"/>
      <c r="K27" s="188"/>
      <c r="L27" s="40" t="s">
        <v>66</v>
      </c>
      <c r="M27" s="177"/>
    </row>
    <row r="28" spans="1:13" ht="21.75" customHeight="1" x14ac:dyDescent="0.2">
      <c r="A28" s="175"/>
      <c r="B28" s="175"/>
      <c r="C28" s="169" t="s">
        <v>67</v>
      </c>
      <c r="D28" s="170"/>
      <c r="E28" s="179" t="s">
        <v>68</v>
      </c>
      <c r="F28" s="179"/>
      <c r="G28" s="91">
        <f>G22-G23</f>
        <v>648000</v>
      </c>
      <c r="H28" s="179"/>
      <c r="I28" s="188"/>
      <c r="J28" s="179"/>
      <c r="K28" s="188"/>
      <c r="L28" s="189" t="s">
        <v>131</v>
      </c>
      <c r="M28" s="177"/>
    </row>
    <row r="29" spans="1:13" ht="21.75" customHeight="1" x14ac:dyDescent="0.2">
      <c r="A29" s="175"/>
      <c r="B29" s="175"/>
      <c r="C29" s="171"/>
      <c r="D29" s="172"/>
      <c r="E29" s="179" t="s">
        <v>69</v>
      </c>
      <c r="F29" s="179"/>
      <c r="G29" s="38">
        <f>11</f>
        <v>11</v>
      </c>
      <c r="H29" s="179" t="s">
        <v>70</v>
      </c>
      <c r="I29" s="188">
        <v>5</v>
      </c>
      <c r="J29" s="179" t="s">
        <v>71</v>
      </c>
      <c r="K29" s="188">
        <v>4</v>
      </c>
      <c r="L29" s="190"/>
      <c r="M29" s="177"/>
    </row>
    <row r="30" spans="1:13" ht="21.75" customHeight="1" x14ac:dyDescent="0.2">
      <c r="A30" s="175"/>
      <c r="B30" s="175"/>
      <c r="C30" s="171"/>
      <c r="D30" s="172"/>
      <c r="E30" s="179" t="s">
        <v>72</v>
      </c>
      <c r="F30" s="179"/>
      <c r="G30" s="90">
        <f>G28/G29</f>
        <v>58909.090909090912</v>
      </c>
      <c r="H30" s="179"/>
      <c r="I30" s="188"/>
      <c r="J30" s="179"/>
      <c r="K30" s="188"/>
      <c r="L30" s="190"/>
      <c r="M30" s="177"/>
    </row>
    <row r="31" spans="1:13" ht="21.75" customHeight="1" x14ac:dyDescent="0.2">
      <c r="A31" s="175"/>
      <c r="B31" s="175"/>
      <c r="C31" s="173"/>
      <c r="D31" s="174"/>
      <c r="E31" s="179" t="s">
        <v>46</v>
      </c>
      <c r="F31" s="179"/>
      <c r="G31" s="91">
        <f>G21</f>
        <v>1329094</v>
      </c>
      <c r="H31" s="179"/>
      <c r="I31" s="188"/>
      <c r="J31" s="179"/>
      <c r="K31" s="188"/>
      <c r="L31" s="190"/>
      <c r="M31" s="177"/>
    </row>
    <row r="32" spans="1:13" ht="21.75" customHeight="1" x14ac:dyDescent="0.2">
      <c r="A32" s="175"/>
      <c r="B32" s="175"/>
      <c r="C32" s="169" t="s">
        <v>56</v>
      </c>
      <c r="D32" s="170"/>
      <c r="E32" s="179" t="s">
        <v>57</v>
      </c>
      <c r="F32" s="179"/>
      <c r="G32" s="38"/>
      <c r="H32" s="179" t="s">
        <v>58</v>
      </c>
      <c r="I32" s="188"/>
      <c r="J32" s="179" t="s">
        <v>59</v>
      </c>
      <c r="K32" s="188"/>
      <c r="L32" s="39" t="s">
        <v>60</v>
      </c>
      <c r="M32" s="177"/>
    </row>
    <row r="33" spans="1:13" ht="21.75" customHeight="1" x14ac:dyDescent="0.2">
      <c r="A33" s="175"/>
      <c r="B33" s="175"/>
      <c r="C33" s="171"/>
      <c r="D33" s="172"/>
      <c r="E33" s="178" t="s">
        <v>61</v>
      </c>
      <c r="F33" s="179"/>
      <c r="G33" s="38"/>
      <c r="H33" s="179"/>
      <c r="I33" s="188"/>
      <c r="J33" s="179"/>
      <c r="K33" s="188"/>
      <c r="L33" s="180"/>
      <c r="M33" s="177"/>
    </row>
    <row r="34" spans="1:13" ht="21.75" customHeight="1" x14ac:dyDescent="0.2">
      <c r="A34" s="175"/>
      <c r="B34" s="175"/>
      <c r="C34" s="171"/>
      <c r="D34" s="172"/>
      <c r="E34" s="183"/>
      <c r="F34" s="184" t="s">
        <v>83</v>
      </c>
      <c r="G34" s="186"/>
      <c r="H34" s="179"/>
      <c r="I34" s="188"/>
      <c r="J34" s="179"/>
      <c r="K34" s="188"/>
      <c r="L34" s="181"/>
      <c r="M34" s="177"/>
    </row>
    <row r="35" spans="1:13" ht="21.75" customHeight="1" x14ac:dyDescent="0.2">
      <c r="A35" s="175"/>
      <c r="B35" s="175"/>
      <c r="C35" s="171"/>
      <c r="D35" s="172"/>
      <c r="E35" s="179"/>
      <c r="F35" s="185"/>
      <c r="G35" s="187"/>
      <c r="H35" s="179"/>
      <c r="I35" s="188"/>
      <c r="J35" s="179"/>
      <c r="K35" s="188"/>
      <c r="L35" s="181"/>
      <c r="M35" s="177"/>
    </row>
    <row r="36" spans="1:13" ht="21.75" customHeight="1" x14ac:dyDescent="0.2">
      <c r="A36" s="175"/>
      <c r="B36" s="175"/>
      <c r="C36" s="171"/>
      <c r="D36" s="172"/>
      <c r="E36" s="179"/>
      <c r="F36" s="54" t="s">
        <v>62</v>
      </c>
      <c r="G36" s="55"/>
      <c r="H36" s="179" t="s">
        <v>63</v>
      </c>
      <c r="I36" s="188"/>
      <c r="J36" s="179" t="s">
        <v>64</v>
      </c>
      <c r="K36" s="188"/>
      <c r="L36" s="182"/>
      <c r="M36" s="177"/>
    </row>
    <row r="37" spans="1:13" ht="21.75" customHeight="1" x14ac:dyDescent="0.2">
      <c r="A37" s="175"/>
      <c r="B37" s="175"/>
      <c r="C37" s="173"/>
      <c r="D37" s="174"/>
      <c r="E37" s="179"/>
      <c r="F37" s="41" t="s">
        <v>65</v>
      </c>
      <c r="G37" s="42"/>
      <c r="H37" s="179"/>
      <c r="I37" s="188"/>
      <c r="J37" s="179"/>
      <c r="K37" s="188"/>
      <c r="L37" s="40" t="s">
        <v>66</v>
      </c>
      <c r="M37" s="177"/>
    </row>
    <row r="38" spans="1:13" ht="21.75" customHeight="1" x14ac:dyDescent="0.2">
      <c r="A38" s="175"/>
      <c r="B38" s="175"/>
      <c r="C38" s="169" t="s">
        <v>67</v>
      </c>
      <c r="D38" s="170"/>
      <c r="E38" s="179" t="s">
        <v>68</v>
      </c>
      <c r="F38" s="179"/>
      <c r="G38" s="38"/>
      <c r="H38" s="179"/>
      <c r="I38" s="188"/>
      <c r="J38" s="179"/>
      <c r="K38" s="188"/>
      <c r="L38" s="180"/>
      <c r="M38" s="177"/>
    </row>
    <row r="39" spans="1:13" ht="21.75" customHeight="1" x14ac:dyDescent="0.2">
      <c r="A39" s="175"/>
      <c r="B39" s="175"/>
      <c r="C39" s="171"/>
      <c r="D39" s="172"/>
      <c r="E39" s="179" t="s">
        <v>69</v>
      </c>
      <c r="F39" s="179"/>
      <c r="G39" s="38"/>
      <c r="H39" s="179" t="s">
        <v>70</v>
      </c>
      <c r="I39" s="188"/>
      <c r="J39" s="179" t="s">
        <v>71</v>
      </c>
      <c r="K39" s="188"/>
      <c r="L39" s="181"/>
      <c r="M39" s="177"/>
    </row>
    <row r="40" spans="1:13" ht="21.75" customHeight="1" x14ac:dyDescent="0.2">
      <c r="A40" s="175"/>
      <c r="B40" s="175"/>
      <c r="C40" s="171"/>
      <c r="D40" s="172"/>
      <c r="E40" s="179" t="s">
        <v>72</v>
      </c>
      <c r="F40" s="179"/>
      <c r="G40" s="38"/>
      <c r="H40" s="179"/>
      <c r="I40" s="188"/>
      <c r="J40" s="179"/>
      <c r="K40" s="188"/>
      <c r="L40" s="181"/>
      <c r="M40" s="177"/>
    </row>
    <row r="41" spans="1:13" ht="21.75" customHeight="1" x14ac:dyDescent="0.2">
      <c r="A41" s="175"/>
      <c r="B41" s="175"/>
      <c r="C41" s="173"/>
      <c r="D41" s="174"/>
      <c r="E41" s="179" t="s">
        <v>46</v>
      </c>
      <c r="F41" s="179"/>
      <c r="G41" s="38"/>
      <c r="H41" s="179"/>
      <c r="I41" s="188"/>
      <c r="J41" s="179"/>
      <c r="K41" s="188"/>
      <c r="L41" s="181"/>
      <c r="M41" s="177"/>
    </row>
    <row r="42" spans="1:13" ht="10.5" customHeight="1" x14ac:dyDescent="0.2">
      <c r="A42" s="43"/>
      <c r="B42" s="43"/>
      <c r="C42" s="44"/>
      <c r="D42" s="44"/>
      <c r="E42" s="45"/>
      <c r="F42" s="45"/>
      <c r="G42" s="46"/>
      <c r="H42" s="45"/>
      <c r="I42" s="47"/>
      <c r="J42" s="45"/>
      <c r="K42" s="47"/>
      <c r="L42" s="48"/>
      <c r="M42" s="49"/>
    </row>
    <row r="43" spans="1:13" ht="21.75" customHeight="1" x14ac:dyDescent="0.2">
      <c r="A43" s="176" t="s">
        <v>47</v>
      </c>
      <c r="B43" s="176" t="s">
        <v>0</v>
      </c>
      <c r="C43" s="163" t="s">
        <v>48</v>
      </c>
      <c r="D43" s="164"/>
      <c r="E43" s="176" t="s">
        <v>49</v>
      </c>
      <c r="F43" s="176"/>
      <c r="G43" s="176"/>
      <c r="H43" s="176"/>
      <c r="I43" s="176"/>
      <c r="J43" s="176"/>
      <c r="K43" s="176"/>
      <c r="L43" s="176" t="s">
        <v>50</v>
      </c>
      <c r="M43" s="36" t="s">
        <v>51</v>
      </c>
    </row>
    <row r="44" spans="1:13" ht="21.75" customHeight="1" x14ac:dyDescent="0.2">
      <c r="A44" s="176"/>
      <c r="B44" s="176"/>
      <c r="C44" s="165"/>
      <c r="D44" s="166"/>
      <c r="E44" s="176" t="s">
        <v>84</v>
      </c>
      <c r="F44" s="176"/>
      <c r="G44" s="176"/>
      <c r="H44" s="176" t="s">
        <v>52</v>
      </c>
      <c r="I44" s="176"/>
      <c r="J44" s="176" t="s">
        <v>53</v>
      </c>
      <c r="K44" s="176"/>
      <c r="L44" s="176"/>
      <c r="M44" s="37" t="s">
        <v>54</v>
      </c>
    </row>
    <row r="45" spans="1:13" ht="21.75" customHeight="1" x14ac:dyDescent="0.2">
      <c r="A45" s="176"/>
      <c r="B45" s="176"/>
      <c r="C45" s="167"/>
      <c r="D45" s="168"/>
      <c r="E45" s="176"/>
      <c r="F45" s="176"/>
      <c r="G45" s="176"/>
      <c r="H45" s="192" t="s">
        <v>55</v>
      </c>
      <c r="I45" s="192"/>
      <c r="J45" s="192" t="s">
        <v>55</v>
      </c>
      <c r="K45" s="192"/>
      <c r="L45" s="176"/>
      <c r="M45" s="76"/>
    </row>
    <row r="46" spans="1:13" ht="21.75" customHeight="1" x14ac:dyDescent="0.2">
      <c r="A46" s="175"/>
      <c r="B46" s="175"/>
      <c r="C46" s="169" t="s">
        <v>56</v>
      </c>
      <c r="D46" s="170"/>
      <c r="E46" s="179" t="s">
        <v>57</v>
      </c>
      <c r="F46" s="179"/>
      <c r="G46" s="38">
        <f>108000*6</f>
        <v>648000</v>
      </c>
      <c r="H46" s="179" t="s">
        <v>58</v>
      </c>
      <c r="I46" s="188"/>
      <c r="J46" s="179" t="s">
        <v>59</v>
      </c>
      <c r="K46" s="188"/>
      <c r="L46" s="39" t="s">
        <v>60</v>
      </c>
      <c r="M46" s="177"/>
    </row>
    <row r="47" spans="1:13" ht="21.75" customHeight="1" x14ac:dyDescent="0.2">
      <c r="A47" s="175"/>
      <c r="B47" s="175"/>
      <c r="C47" s="171"/>
      <c r="D47" s="172"/>
      <c r="E47" s="178" t="s">
        <v>61</v>
      </c>
      <c r="F47" s="179"/>
      <c r="G47" s="38"/>
      <c r="H47" s="179"/>
      <c r="I47" s="188"/>
      <c r="J47" s="179"/>
      <c r="K47" s="188"/>
      <c r="L47" s="180"/>
      <c r="M47" s="177"/>
    </row>
    <row r="48" spans="1:13" ht="21.75" customHeight="1" x14ac:dyDescent="0.2">
      <c r="A48" s="175"/>
      <c r="B48" s="175"/>
      <c r="C48" s="171"/>
      <c r="D48" s="172"/>
      <c r="E48" s="183"/>
      <c r="F48" s="184" t="s">
        <v>81</v>
      </c>
      <c r="G48" s="186"/>
      <c r="H48" s="179"/>
      <c r="I48" s="188"/>
      <c r="J48" s="179"/>
      <c r="K48" s="188"/>
      <c r="L48" s="181"/>
      <c r="M48" s="177"/>
    </row>
    <row r="49" spans="1:13" ht="21.75" customHeight="1" x14ac:dyDescent="0.2">
      <c r="A49" s="175"/>
      <c r="B49" s="175"/>
      <c r="C49" s="171"/>
      <c r="D49" s="172"/>
      <c r="E49" s="179"/>
      <c r="F49" s="185"/>
      <c r="G49" s="187"/>
      <c r="H49" s="179"/>
      <c r="I49" s="188"/>
      <c r="J49" s="179"/>
      <c r="K49" s="188"/>
      <c r="L49" s="181"/>
      <c r="M49" s="177"/>
    </row>
    <row r="50" spans="1:13" ht="21.75" customHeight="1" x14ac:dyDescent="0.2">
      <c r="A50" s="175"/>
      <c r="B50" s="175"/>
      <c r="C50" s="171"/>
      <c r="D50" s="172"/>
      <c r="E50" s="179"/>
      <c r="F50" s="54" t="s">
        <v>62</v>
      </c>
      <c r="G50" s="55"/>
      <c r="H50" s="179" t="s">
        <v>63</v>
      </c>
      <c r="I50" s="188"/>
      <c r="J50" s="179" t="s">
        <v>64</v>
      </c>
      <c r="K50" s="188"/>
      <c r="L50" s="182"/>
      <c r="M50" s="177"/>
    </row>
    <row r="51" spans="1:13" ht="21.75" customHeight="1" x14ac:dyDescent="0.2">
      <c r="A51" s="175"/>
      <c r="B51" s="175"/>
      <c r="C51" s="173"/>
      <c r="D51" s="174"/>
      <c r="E51" s="179"/>
      <c r="F51" s="41" t="s">
        <v>65</v>
      </c>
      <c r="G51" s="42"/>
      <c r="H51" s="179"/>
      <c r="I51" s="188"/>
      <c r="J51" s="179"/>
      <c r="K51" s="188"/>
      <c r="L51" s="40" t="s">
        <v>66</v>
      </c>
      <c r="M51" s="177"/>
    </row>
    <row r="52" spans="1:13" ht="21.75" customHeight="1" x14ac:dyDescent="0.2">
      <c r="A52" s="175"/>
      <c r="B52" s="175"/>
      <c r="C52" s="169" t="s">
        <v>67</v>
      </c>
      <c r="D52" s="170"/>
      <c r="E52" s="179" t="s">
        <v>68</v>
      </c>
      <c r="F52" s="179"/>
      <c r="G52" s="38"/>
      <c r="H52" s="179"/>
      <c r="I52" s="188"/>
      <c r="J52" s="179"/>
      <c r="K52" s="188"/>
      <c r="L52" s="180"/>
      <c r="M52" s="177"/>
    </row>
    <row r="53" spans="1:13" ht="21.75" customHeight="1" x14ac:dyDescent="0.2">
      <c r="A53" s="175"/>
      <c r="B53" s="175"/>
      <c r="C53" s="171"/>
      <c r="D53" s="172"/>
      <c r="E53" s="179" t="s">
        <v>69</v>
      </c>
      <c r="F53" s="179"/>
      <c r="G53" s="38"/>
      <c r="H53" s="179" t="s">
        <v>70</v>
      </c>
      <c r="I53" s="188"/>
      <c r="J53" s="179" t="s">
        <v>71</v>
      </c>
      <c r="K53" s="188"/>
      <c r="L53" s="181"/>
      <c r="M53" s="177"/>
    </row>
    <row r="54" spans="1:13" ht="21.75" customHeight="1" x14ac:dyDescent="0.2">
      <c r="A54" s="175"/>
      <c r="B54" s="175"/>
      <c r="C54" s="171"/>
      <c r="D54" s="172"/>
      <c r="E54" s="179" t="s">
        <v>72</v>
      </c>
      <c r="F54" s="179"/>
      <c r="G54" s="38"/>
      <c r="H54" s="179"/>
      <c r="I54" s="188"/>
      <c r="J54" s="179"/>
      <c r="K54" s="188"/>
      <c r="L54" s="181"/>
      <c r="M54" s="177"/>
    </row>
    <row r="55" spans="1:13" ht="21.75" customHeight="1" x14ac:dyDescent="0.2">
      <c r="A55" s="175"/>
      <c r="B55" s="175"/>
      <c r="C55" s="173"/>
      <c r="D55" s="174"/>
      <c r="E55" s="179" t="s">
        <v>46</v>
      </c>
      <c r="F55" s="179"/>
      <c r="G55" s="38"/>
      <c r="H55" s="179"/>
      <c r="I55" s="188"/>
      <c r="J55" s="179"/>
      <c r="K55" s="188"/>
      <c r="L55" s="181"/>
      <c r="M55" s="177"/>
    </row>
    <row r="56" spans="1:13" ht="21.75" customHeight="1" x14ac:dyDescent="0.2">
      <c r="A56" s="175"/>
      <c r="B56" s="175"/>
      <c r="C56" s="169" t="s">
        <v>56</v>
      </c>
      <c r="D56" s="170"/>
      <c r="E56" s="179" t="s">
        <v>57</v>
      </c>
      <c r="F56" s="179"/>
      <c r="G56" s="38"/>
      <c r="H56" s="179" t="s">
        <v>58</v>
      </c>
      <c r="I56" s="188"/>
      <c r="J56" s="179" t="s">
        <v>59</v>
      </c>
      <c r="K56" s="188"/>
      <c r="L56" s="39" t="s">
        <v>60</v>
      </c>
      <c r="M56" s="177"/>
    </row>
    <row r="57" spans="1:13" ht="21.75" customHeight="1" x14ac:dyDescent="0.2">
      <c r="A57" s="175"/>
      <c r="B57" s="175"/>
      <c r="C57" s="171"/>
      <c r="D57" s="172"/>
      <c r="E57" s="178" t="s">
        <v>61</v>
      </c>
      <c r="F57" s="179"/>
      <c r="G57" s="38"/>
      <c r="H57" s="179"/>
      <c r="I57" s="188"/>
      <c r="J57" s="179"/>
      <c r="K57" s="188"/>
      <c r="L57" s="180"/>
      <c r="M57" s="177"/>
    </row>
    <row r="58" spans="1:13" ht="21.75" customHeight="1" x14ac:dyDescent="0.2">
      <c r="A58" s="175"/>
      <c r="B58" s="175"/>
      <c r="C58" s="171"/>
      <c r="D58" s="172"/>
      <c r="E58" s="183"/>
      <c r="F58" s="184" t="s">
        <v>82</v>
      </c>
      <c r="G58" s="186"/>
      <c r="H58" s="179"/>
      <c r="I58" s="188"/>
      <c r="J58" s="179"/>
      <c r="K58" s="188"/>
      <c r="L58" s="181"/>
      <c r="M58" s="177"/>
    </row>
    <row r="59" spans="1:13" ht="21.75" customHeight="1" x14ac:dyDescent="0.2">
      <c r="A59" s="175"/>
      <c r="B59" s="175"/>
      <c r="C59" s="171"/>
      <c r="D59" s="172"/>
      <c r="E59" s="179"/>
      <c r="F59" s="185"/>
      <c r="G59" s="187"/>
      <c r="H59" s="179"/>
      <c r="I59" s="188"/>
      <c r="J59" s="179"/>
      <c r="K59" s="188"/>
      <c r="L59" s="181"/>
      <c r="M59" s="177"/>
    </row>
    <row r="60" spans="1:13" ht="21.75" customHeight="1" x14ac:dyDescent="0.2">
      <c r="A60" s="175"/>
      <c r="B60" s="175"/>
      <c r="C60" s="171"/>
      <c r="D60" s="172"/>
      <c r="E60" s="179"/>
      <c r="F60" s="54" t="s">
        <v>62</v>
      </c>
      <c r="G60" s="55"/>
      <c r="H60" s="179" t="s">
        <v>63</v>
      </c>
      <c r="I60" s="188"/>
      <c r="J60" s="179" t="s">
        <v>64</v>
      </c>
      <c r="K60" s="188"/>
      <c r="L60" s="182"/>
      <c r="M60" s="177"/>
    </row>
    <row r="61" spans="1:13" ht="21.75" customHeight="1" x14ac:dyDescent="0.2">
      <c r="A61" s="175"/>
      <c r="B61" s="175"/>
      <c r="C61" s="173"/>
      <c r="D61" s="174"/>
      <c r="E61" s="179"/>
      <c r="F61" s="41" t="s">
        <v>65</v>
      </c>
      <c r="G61" s="42"/>
      <c r="H61" s="179"/>
      <c r="I61" s="188"/>
      <c r="J61" s="179"/>
      <c r="K61" s="188"/>
      <c r="L61" s="40" t="s">
        <v>66</v>
      </c>
      <c r="M61" s="177"/>
    </row>
    <row r="62" spans="1:13" ht="21.75" customHeight="1" x14ac:dyDescent="0.2">
      <c r="A62" s="175"/>
      <c r="B62" s="175"/>
      <c r="C62" s="169" t="s">
        <v>67</v>
      </c>
      <c r="D62" s="170"/>
      <c r="E62" s="179" t="s">
        <v>68</v>
      </c>
      <c r="F62" s="179"/>
      <c r="G62" s="38"/>
      <c r="H62" s="179"/>
      <c r="I62" s="188"/>
      <c r="J62" s="179"/>
      <c r="K62" s="188"/>
      <c r="L62" s="180"/>
      <c r="M62" s="177"/>
    </row>
    <row r="63" spans="1:13" ht="21.75" customHeight="1" x14ac:dyDescent="0.2">
      <c r="A63" s="175"/>
      <c r="B63" s="175"/>
      <c r="C63" s="171"/>
      <c r="D63" s="172"/>
      <c r="E63" s="179" t="s">
        <v>69</v>
      </c>
      <c r="F63" s="179"/>
      <c r="G63" s="38"/>
      <c r="H63" s="179" t="s">
        <v>70</v>
      </c>
      <c r="I63" s="188"/>
      <c r="J63" s="179" t="s">
        <v>71</v>
      </c>
      <c r="K63" s="188"/>
      <c r="L63" s="181"/>
      <c r="M63" s="177"/>
    </row>
    <row r="64" spans="1:13" ht="21.75" customHeight="1" x14ac:dyDescent="0.2">
      <c r="A64" s="175"/>
      <c r="B64" s="175"/>
      <c r="C64" s="171"/>
      <c r="D64" s="172"/>
      <c r="E64" s="179" t="s">
        <v>72</v>
      </c>
      <c r="F64" s="179"/>
      <c r="G64" s="38"/>
      <c r="H64" s="179"/>
      <c r="I64" s="188"/>
      <c r="J64" s="179"/>
      <c r="K64" s="188"/>
      <c r="L64" s="181"/>
      <c r="M64" s="177"/>
    </row>
    <row r="65" spans="1:13" ht="21.75" customHeight="1" x14ac:dyDescent="0.2">
      <c r="A65" s="175"/>
      <c r="B65" s="175"/>
      <c r="C65" s="173"/>
      <c r="D65" s="174"/>
      <c r="E65" s="179" t="s">
        <v>46</v>
      </c>
      <c r="F65" s="179"/>
      <c r="G65" s="38"/>
      <c r="H65" s="179"/>
      <c r="I65" s="188"/>
      <c r="J65" s="179"/>
      <c r="K65" s="188"/>
      <c r="L65" s="181"/>
      <c r="M65" s="177"/>
    </row>
    <row r="66" spans="1:13" ht="21.75" customHeight="1" x14ac:dyDescent="0.2">
      <c r="A66" s="175"/>
      <c r="B66" s="175"/>
      <c r="C66" s="169" t="s">
        <v>56</v>
      </c>
      <c r="D66" s="170"/>
      <c r="E66" s="179" t="s">
        <v>57</v>
      </c>
      <c r="F66" s="179"/>
      <c r="G66" s="38"/>
      <c r="H66" s="179" t="s">
        <v>58</v>
      </c>
      <c r="I66" s="188"/>
      <c r="J66" s="179" t="s">
        <v>59</v>
      </c>
      <c r="K66" s="188"/>
      <c r="L66" s="39" t="s">
        <v>60</v>
      </c>
      <c r="M66" s="177"/>
    </row>
    <row r="67" spans="1:13" ht="21.75" customHeight="1" x14ac:dyDescent="0.2">
      <c r="A67" s="175"/>
      <c r="B67" s="175"/>
      <c r="C67" s="171"/>
      <c r="D67" s="172"/>
      <c r="E67" s="178" t="s">
        <v>61</v>
      </c>
      <c r="F67" s="179"/>
      <c r="G67" s="38"/>
      <c r="H67" s="179"/>
      <c r="I67" s="188"/>
      <c r="J67" s="179"/>
      <c r="K67" s="188"/>
      <c r="L67" s="180"/>
      <c r="M67" s="177"/>
    </row>
    <row r="68" spans="1:13" ht="21.75" customHeight="1" x14ac:dyDescent="0.2">
      <c r="A68" s="175"/>
      <c r="B68" s="175"/>
      <c r="C68" s="171"/>
      <c r="D68" s="172"/>
      <c r="E68" s="183"/>
      <c r="F68" s="184" t="s">
        <v>82</v>
      </c>
      <c r="G68" s="186"/>
      <c r="H68" s="179"/>
      <c r="I68" s="188"/>
      <c r="J68" s="179"/>
      <c r="K68" s="188"/>
      <c r="L68" s="181"/>
      <c r="M68" s="177"/>
    </row>
    <row r="69" spans="1:13" ht="21.75" customHeight="1" x14ac:dyDescent="0.2">
      <c r="A69" s="175"/>
      <c r="B69" s="175"/>
      <c r="C69" s="171"/>
      <c r="D69" s="172"/>
      <c r="E69" s="179"/>
      <c r="F69" s="185"/>
      <c r="G69" s="187"/>
      <c r="H69" s="179"/>
      <c r="I69" s="188"/>
      <c r="J69" s="179"/>
      <c r="K69" s="188"/>
      <c r="L69" s="181"/>
      <c r="M69" s="177"/>
    </row>
    <row r="70" spans="1:13" ht="21.75" customHeight="1" x14ac:dyDescent="0.2">
      <c r="A70" s="175"/>
      <c r="B70" s="175"/>
      <c r="C70" s="171"/>
      <c r="D70" s="172"/>
      <c r="E70" s="179"/>
      <c r="F70" s="54" t="s">
        <v>62</v>
      </c>
      <c r="G70" s="55"/>
      <c r="H70" s="179" t="s">
        <v>63</v>
      </c>
      <c r="I70" s="188"/>
      <c r="J70" s="179" t="s">
        <v>64</v>
      </c>
      <c r="K70" s="188"/>
      <c r="L70" s="182"/>
      <c r="M70" s="177"/>
    </row>
    <row r="71" spans="1:13" ht="21.75" customHeight="1" x14ac:dyDescent="0.2">
      <c r="A71" s="175"/>
      <c r="B71" s="175"/>
      <c r="C71" s="173"/>
      <c r="D71" s="174"/>
      <c r="E71" s="179"/>
      <c r="F71" s="41" t="s">
        <v>65</v>
      </c>
      <c r="G71" s="42"/>
      <c r="H71" s="179"/>
      <c r="I71" s="188"/>
      <c r="J71" s="179"/>
      <c r="K71" s="188"/>
      <c r="L71" s="40" t="s">
        <v>66</v>
      </c>
      <c r="M71" s="177"/>
    </row>
    <row r="72" spans="1:13" ht="21.75" customHeight="1" x14ac:dyDescent="0.2">
      <c r="A72" s="175"/>
      <c r="B72" s="175"/>
      <c r="C72" s="169" t="s">
        <v>67</v>
      </c>
      <c r="D72" s="170"/>
      <c r="E72" s="179" t="s">
        <v>68</v>
      </c>
      <c r="F72" s="179"/>
      <c r="G72" s="38"/>
      <c r="H72" s="179"/>
      <c r="I72" s="188"/>
      <c r="J72" s="179"/>
      <c r="K72" s="188"/>
      <c r="L72" s="180"/>
      <c r="M72" s="177"/>
    </row>
    <row r="73" spans="1:13" ht="21.75" customHeight="1" x14ac:dyDescent="0.2">
      <c r="A73" s="175"/>
      <c r="B73" s="175"/>
      <c r="C73" s="171"/>
      <c r="D73" s="172"/>
      <c r="E73" s="179" t="s">
        <v>69</v>
      </c>
      <c r="F73" s="179"/>
      <c r="G73" s="38"/>
      <c r="H73" s="179" t="s">
        <v>70</v>
      </c>
      <c r="I73" s="188"/>
      <c r="J73" s="179" t="s">
        <v>71</v>
      </c>
      <c r="K73" s="188"/>
      <c r="L73" s="181"/>
      <c r="M73" s="177"/>
    </row>
    <row r="74" spans="1:13" ht="21.75" customHeight="1" x14ac:dyDescent="0.2">
      <c r="A74" s="175"/>
      <c r="B74" s="175"/>
      <c r="C74" s="171"/>
      <c r="D74" s="172"/>
      <c r="E74" s="179" t="s">
        <v>72</v>
      </c>
      <c r="F74" s="179"/>
      <c r="G74" s="38"/>
      <c r="H74" s="179"/>
      <c r="I74" s="188"/>
      <c r="J74" s="179"/>
      <c r="K74" s="188"/>
      <c r="L74" s="181"/>
      <c r="M74" s="177"/>
    </row>
    <row r="75" spans="1:13" ht="21.75" customHeight="1" x14ac:dyDescent="0.2">
      <c r="A75" s="193"/>
      <c r="B75" s="193"/>
      <c r="C75" s="171"/>
      <c r="D75" s="172"/>
      <c r="E75" s="178" t="s">
        <v>46</v>
      </c>
      <c r="F75" s="178"/>
      <c r="G75" s="38"/>
      <c r="H75" s="178"/>
      <c r="I75" s="194"/>
      <c r="J75" s="178"/>
      <c r="K75" s="194"/>
      <c r="L75" s="182"/>
      <c r="M75" s="195"/>
    </row>
    <row r="76" spans="1:13" ht="21.75" customHeight="1" x14ac:dyDescent="0.2">
      <c r="A76" s="207" t="s">
        <v>76</v>
      </c>
      <c r="B76" s="208"/>
      <c r="C76" s="206"/>
      <c r="D76" s="206"/>
      <c r="E76" s="205" t="s">
        <v>57</v>
      </c>
      <c r="F76" s="205"/>
      <c r="H76" s="196" t="s">
        <v>77</v>
      </c>
      <c r="I76" s="197"/>
      <c r="J76" s="197"/>
      <c r="K76" s="197"/>
      <c r="L76" s="197"/>
      <c r="M76" s="198"/>
    </row>
    <row r="77" spans="1:13" ht="21.75" customHeight="1" x14ac:dyDescent="0.2">
      <c r="A77" s="207"/>
      <c r="B77" s="208"/>
      <c r="C77" s="206"/>
      <c r="D77" s="206"/>
      <c r="E77" s="205" t="s">
        <v>78</v>
      </c>
      <c r="F77" s="205"/>
      <c r="G77" s="50"/>
      <c r="H77" s="199"/>
      <c r="I77" s="200"/>
      <c r="J77" s="200"/>
      <c r="K77" s="200"/>
      <c r="L77" s="200"/>
      <c r="M77" s="201"/>
    </row>
    <row r="78" spans="1:13" ht="21.75" customHeight="1" x14ac:dyDescent="0.2">
      <c r="A78" s="207"/>
      <c r="B78" s="208"/>
      <c r="C78" s="206"/>
      <c r="D78" s="206"/>
      <c r="E78" s="205" t="s">
        <v>68</v>
      </c>
      <c r="F78" s="205"/>
      <c r="G78" s="50"/>
      <c r="H78" s="199"/>
      <c r="I78" s="200"/>
      <c r="J78" s="200"/>
      <c r="K78" s="200"/>
      <c r="L78" s="200"/>
      <c r="M78" s="201"/>
    </row>
    <row r="79" spans="1:13" ht="21.75" customHeight="1" x14ac:dyDescent="0.2">
      <c r="A79" s="207"/>
      <c r="B79" s="208"/>
      <c r="C79" s="206"/>
      <c r="D79" s="206"/>
      <c r="E79" s="205" t="s">
        <v>69</v>
      </c>
      <c r="F79" s="205"/>
      <c r="G79" s="50"/>
      <c r="H79" s="199"/>
      <c r="I79" s="200"/>
      <c r="J79" s="200"/>
      <c r="K79" s="200"/>
      <c r="L79" s="200"/>
      <c r="M79" s="201"/>
    </row>
    <row r="80" spans="1:13" ht="21.75" customHeight="1" x14ac:dyDescent="0.2">
      <c r="A80" s="207"/>
      <c r="B80" s="208"/>
      <c r="C80" s="206"/>
      <c r="D80" s="206"/>
      <c r="E80" s="205" t="s">
        <v>72</v>
      </c>
      <c r="F80" s="205"/>
      <c r="G80" s="50"/>
      <c r="H80" s="199"/>
      <c r="I80" s="200"/>
      <c r="J80" s="200"/>
      <c r="K80" s="200"/>
      <c r="L80" s="200"/>
      <c r="M80" s="201"/>
    </row>
    <row r="81" spans="1:13" ht="21.75" customHeight="1" x14ac:dyDescent="0.2">
      <c r="A81" s="207"/>
      <c r="B81" s="208"/>
      <c r="C81" s="206"/>
      <c r="D81" s="206"/>
      <c r="E81" s="205" t="s">
        <v>46</v>
      </c>
      <c r="F81" s="205"/>
      <c r="G81" s="50"/>
      <c r="H81" s="202"/>
      <c r="I81" s="203"/>
      <c r="J81" s="203"/>
      <c r="K81" s="203"/>
      <c r="L81" s="203"/>
      <c r="M81" s="204"/>
    </row>
  </sheetData>
  <mergeCells count="200">
    <mergeCell ref="H76:M81"/>
    <mergeCell ref="E79:F79"/>
    <mergeCell ref="E80:F80"/>
    <mergeCell ref="E81:F81"/>
    <mergeCell ref="C76:D81"/>
    <mergeCell ref="A76:A81"/>
    <mergeCell ref="B76:B81"/>
    <mergeCell ref="E76:F76"/>
    <mergeCell ref="E77:F77"/>
    <mergeCell ref="E78:F78"/>
    <mergeCell ref="K73:K75"/>
    <mergeCell ref="E74:F74"/>
    <mergeCell ref="E75:F75"/>
    <mergeCell ref="I66:I69"/>
    <mergeCell ref="J66:J69"/>
    <mergeCell ref="K66:K69"/>
    <mergeCell ref="M66:M75"/>
    <mergeCell ref="E67:F67"/>
    <mergeCell ref="L67:L70"/>
    <mergeCell ref="E68:E71"/>
    <mergeCell ref="F68:F69"/>
    <mergeCell ref="G68:G69"/>
    <mergeCell ref="H70:H72"/>
    <mergeCell ref="I70:I72"/>
    <mergeCell ref="J70:J72"/>
    <mergeCell ref="K70:K72"/>
    <mergeCell ref="E72:F72"/>
    <mergeCell ref="L72:L75"/>
    <mergeCell ref="E73:F73"/>
    <mergeCell ref="A66:A75"/>
    <mergeCell ref="B66:B75"/>
    <mergeCell ref="C66:D71"/>
    <mergeCell ref="E66:F66"/>
    <mergeCell ref="H66:H69"/>
    <mergeCell ref="C72:D75"/>
    <mergeCell ref="H73:H75"/>
    <mergeCell ref="I63:I65"/>
    <mergeCell ref="J63:J65"/>
    <mergeCell ref="A56:A65"/>
    <mergeCell ref="B56:B65"/>
    <mergeCell ref="C56:D61"/>
    <mergeCell ref="C62:D65"/>
    <mergeCell ref="I73:I75"/>
    <mergeCell ref="J73:J75"/>
    <mergeCell ref="K63:K65"/>
    <mergeCell ref="E64:F64"/>
    <mergeCell ref="E65:F65"/>
    <mergeCell ref="I56:I59"/>
    <mergeCell ref="J56:J59"/>
    <mergeCell ref="K56:K59"/>
    <mergeCell ref="M56:M65"/>
    <mergeCell ref="E57:F57"/>
    <mergeCell ref="L57:L60"/>
    <mergeCell ref="E58:E61"/>
    <mergeCell ref="F58:F59"/>
    <mergeCell ref="G58:G59"/>
    <mergeCell ref="H60:H62"/>
    <mergeCell ref="I60:I62"/>
    <mergeCell ref="J60:J62"/>
    <mergeCell ref="K60:K62"/>
    <mergeCell ref="E62:F62"/>
    <mergeCell ref="L62:L65"/>
    <mergeCell ref="E63:F63"/>
    <mergeCell ref="E56:F56"/>
    <mergeCell ref="H56:H59"/>
    <mergeCell ref="H63:H65"/>
    <mergeCell ref="M46:M55"/>
    <mergeCell ref="E47:F47"/>
    <mergeCell ref="L47:L50"/>
    <mergeCell ref="E48:E51"/>
    <mergeCell ref="F48:F49"/>
    <mergeCell ref="G48:G49"/>
    <mergeCell ref="H50:H52"/>
    <mergeCell ref="I50:I52"/>
    <mergeCell ref="J50:J52"/>
    <mergeCell ref="K50:K52"/>
    <mergeCell ref="E52:F52"/>
    <mergeCell ref="L52:L55"/>
    <mergeCell ref="E53:F53"/>
    <mergeCell ref="A46:A55"/>
    <mergeCell ref="B46:B55"/>
    <mergeCell ref="C46:D51"/>
    <mergeCell ref="E46:F46"/>
    <mergeCell ref="H46:H49"/>
    <mergeCell ref="C52:D55"/>
    <mergeCell ref="H53:H55"/>
    <mergeCell ref="A43:A45"/>
    <mergeCell ref="B43:B45"/>
    <mergeCell ref="C43:D45"/>
    <mergeCell ref="E43:K43"/>
    <mergeCell ref="I53:I55"/>
    <mergeCell ref="J53:J55"/>
    <mergeCell ref="K53:K55"/>
    <mergeCell ref="E54:F54"/>
    <mergeCell ref="E55:F55"/>
    <mergeCell ref="I46:I49"/>
    <mergeCell ref="J46:J49"/>
    <mergeCell ref="K46:K49"/>
    <mergeCell ref="L43:L45"/>
    <mergeCell ref="E44:G45"/>
    <mergeCell ref="H44:I44"/>
    <mergeCell ref="J44:K44"/>
    <mergeCell ref="H45:I45"/>
    <mergeCell ref="J45:K45"/>
    <mergeCell ref="L9:L11"/>
    <mergeCell ref="E10:G11"/>
    <mergeCell ref="H10:I10"/>
    <mergeCell ref="J10:K10"/>
    <mergeCell ref="H11:I11"/>
    <mergeCell ref="J11:K11"/>
    <mergeCell ref="J12:J15"/>
    <mergeCell ref="K12:K15"/>
    <mergeCell ref="K22:K25"/>
    <mergeCell ref="M12:M21"/>
    <mergeCell ref="E13:F13"/>
    <mergeCell ref="L13:L16"/>
    <mergeCell ref="E14:E17"/>
    <mergeCell ref="F14:F15"/>
    <mergeCell ref="G14:G15"/>
    <mergeCell ref="H16:H18"/>
    <mergeCell ref="I16:I18"/>
    <mergeCell ref="E12:F12"/>
    <mergeCell ref="H12:H15"/>
    <mergeCell ref="I12:I15"/>
    <mergeCell ref="E20:F20"/>
    <mergeCell ref="E21:F21"/>
    <mergeCell ref="J16:J18"/>
    <mergeCell ref="K16:K18"/>
    <mergeCell ref="E18:F18"/>
    <mergeCell ref="L18:L21"/>
    <mergeCell ref="E19:F19"/>
    <mergeCell ref="H19:H21"/>
    <mergeCell ref="I19:I21"/>
    <mergeCell ref="J19:J21"/>
    <mergeCell ref="K19:K21"/>
    <mergeCell ref="A22:A31"/>
    <mergeCell ref="B22:B31"/>
    <mergeCell ref="E22:F22"/>
    <mergeCell ref="H22:H25"/>
    <mergeCell ref="I22:I25"/>
    <mergeCell ref="E30:F30"/>
    <mergeCell ref="E31:F31"/>
    <mergeCell ref="C28:D31"/>
    <mergeCell ref="J22:J25"/>
    <mergeCell ref="M22:M31"/>
    <mergeCell ref="E23:F23"/>
    <mergeCell ref="L23:L26"/>
    <mergeCell ref="E24:E27"/>
    <mergeCell ref="F24:F25"/>
    <mergeCell ref="G24:G25"/>
    <mergeCell ref="H26:H28"/>
    <mergeCell ref="I26:I28"/>
    <mergeCell ref="E29:F29"/>
    <mergeCell ref="H29:H31"/>
    <mergeCell ref="I29:I31"/>
    <mergeCell ref="J29:J31"/>
    <mergeCell ref="K29:K31"/>
    <mergeCell ref="A32:A41"/>
    <mergeCell ref="B32:B41"/>
    <mergeCell ref="E32:F32"/>
    <mergeCell ref="H32:H35"/>
    <mergeCell ref="I32:I35"/>
    <mergeCell ref="E40:F40"/>
    <mergeCell ref="E41:F41"/>
    <mergeCell ref="C32:D37"/>
    <mergeCell ref="C38:D41"/>
    <mergeCell ref="M32:M41"/>
    <mergeCell ref="E33:F33"/>
    <mergeCell ref="L33:L36"/>
    <mergeCell ref="E34:E37"/>
    <mergeCell ref="F34:F35"/>
    <mergeCell ref="G34:G35"/>
    <mergeCell ref="H36:H38"/>
    <mergeCell ref="I36:I38"/>
    <mergeCell ref="C22:D27"/>
    <mergeCell ref="J36:J38"/>
    <mergeCell ref="K36:K38"/>
    <mergeCell ref="E38:F38"/>
    <mergeCell ref="L38:L41"/>
    <mergeCell ref="E39:F39"/>
    <mergeCell ref="H39:H41"/>
    <mergeCell ref="I39:I41"/>
    <mergeCell ref="J39:J41"/>
    <mergeCell ref="K39:K41"/>
    <mergeCell ref="J32:J35"/>
    <mergeCell ref="K32:K35"/>
    <mergeCell ref="J26:J28"/>
    <mergeCell ref="K26:K28"/>
    <mergeCell ref="E28:F28"/>
    <mergeCell ref="L28:L31"/>
    <mergeCell ref="A3:B3"/>
    <mergeCell ref="E3:F3"/>
    <mergeCell ref="C9:D11"/>
    <mergeCell ref="C12:D17"/>
    <mergeCell ref="C18:D21"/>
    <mergeCell ref="A12:A21"/>
    <mergeCell ref="B12:B21"/>
    <mergeCell ref="A9:A11"/>
    <mergeCell ref="B9:B11"/>
    <mergeCell ref="E9:K9"/>
  </mergeCells>
  <phoneticPr fontId="6"/>
  <pageMargins left="0.33" right="0.45" top="0.69" bottom="0.75" header="0.3" footer="0.3"/>
  <pageSetup paperSize="8" scale="86" fitToHeight="0" orientation="landscape" r:id="rId1"/>
  <rowBreaks count="1" manualBreakCount="1">
    <brk id="42"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0"/>
  <sheetViews>
    <sheetView view="pageBreakPreview" zoomScaleNormal="100" zoomScaleSheetLayoutView="100" workbookViewId="0">
      <selection activeCell="C38" sqref="C38"/>
    </sheetView>
  </sheetViews>
  <sheetFormatPr defaultColWidth="9" defaultRowHeight="39.9" customHeight="1" x14ac:dyDescent="0.2"/>
  <cols>
    <col min="1" max="8" width="9" style="58"/>
    <col min="9" max="9" width="16.33203125" style="58" customWidth="1"/>
    <col min="10" max="16384" width="9" style="58"/>
  </cols>
  <sheetData>
    <row r="1" spans="1:9" ht="39.9" customHeight="1" x14ac:dyDescent="0.2">
      <c r="A1" s="1" t="s">
        <v>73</v>
      </c>
    </row>
    <row r="2" spans="1:9" ht="33" customHeight="1" x14ac:dyDescent="0.2">
      <c r="A2" s="77" t="s">
        <v>28</v>
      </c>
      <c r="B2" s="82"/>
      <c r="C2" s="82" t="s">
        <v>132</v>
      </c>
      <c r="D2" s="82"/>
      <c r="E2" s="82"/>
      <c r="F2" s="82"/>
      <c r="G2" s="77"/>
      <c r="H2" s="101"/>
      <c r="I2" s="77"/>
    </row>
    <row r="3" spans="1:9" ht="52.5" customHeight="1" x14ac:dyDescent="0.2">
      <c r="A3" s="209" t="s">
        <v>74</v>
      </c>
      <c r="B3" s="210"/>
      <c r="C3" s="210"/>
      <c r="D3" s="210"/>
      <c r="E3" s="210"/>
      <c r="F3" s="210"/>
      <c r="G3" s="210"/>
      <c r="H3" s="210"/>
      <c r="I3" s="211"/>
    </row>
    <row r="4" spans="1:9" ht="18" customHeight="1" x14ac:dyDescent="0.2">
      <c r="A4" s="80"/>
      <c r="B4" s="78"/>
      <c r="C4" s="78"/>
      <c r="D4" s="78"/>
      <c r="E4" s="78"/>
      <c r="F4" s="78"/>
      <c r="G4" s="78"/>
      <c r="H4" s="78"/>
      <c r="I4" s="79"/>
    </row>
    <row r="5" spans="1:9" ht="51.75" customHeight="1" x14ac:dyDescent="0.2">
      <c r="A5" s="212" t="s">
        <v>138</v>
      </c>
      <c r="B5" s="213"/>
      <c r="C5" s="213"/>
      <c r="D5" s="213"/>
      <c r="E5" s="213"/>
      <c r="F5" s="213"/>
      <c r="G5" s="213"/>
      <c r="H5" s="213"/>
      <c r="I5" s="214"/>
    </row>
    <row r="6" spans="1:9" ht="51.75" customHeight="1" x14ac:dyDescent="0.2">
      <c r="A6" s="212"/>
      <c r="B6" s="213"/>
      <c r="C6" s="213"/>
      <c r="D6" s="213"/>
      <c r="E6" s="213"/>
      <c r="F6" s="213"/>
      <c r="G6" s="213"/>
      <c r="H6" s="213"/>
      <c r="I6" s="214"/>
    </row>
    <row r="7" spans="1:9" ht="24.75" customHeight="1" x14ac:dyDescent="0.2">
      <c r="A7" s="212"/>
      <c r="B7" s="213"/>
      <c r="C7" s="213"/>
      <c r="D7" s="213"/>
      <c r="E7" s="213"/>
      <c r="F7" s="213"/>
      <c r="G7" s="213"/>
      <c r="H7" s="213"/>
      <c r="I7" s="214"/>
    </row>
    <row r="8" spans="1:9" ht="39.9" customHeight="1" x14ac:dyDescent="0.2">
      <c r="A8" s="212"/>
      <c r="B8" s="213"/>
      <c r="C8" s="213"/>
      <c r="D8" s="213"/>
      <c r="E8" s="213"/>
      <c r="F8" s="213"/>
      <c r="G8" s="213"/>
      <c r="H8" s="213"/>
      <c r="I8" s="214"/>
    </row>
    <row r="9" spans="1:9" ht="49.5" customHeight="1" x14ac:dyDescent="0.2">
      <c r="A9" s="212"/>
      <c r="B9" s="213"/>
      <c r="C9" s="213"/>
      <c r="D9" s="213"/>
      <c r="E9" s="213"/>
      <c r="F9" s="213"/>
      <c r="G9" s="213"/>
      <c r="H9" s="213"/>
      <c r="I9" s="214"/>
    </row>
    <row r="10" spans="1:9" ht="49.5" customHeight="1" x14ac:dyDescent="0.2">
      <c r="A10" s="212"/>
      <c r="B10" s="213"/>
      <c r="C10" s="213"/>
      <c r="D10" s="213"/>
      <c r="E10" s="213"/>
      <c r="F10" s="213"/>
      <c r="G10" s="213"/>
      <c r="H10" s="213"/>
      <c r="I10" s="214"/>
    </row>
    <row r="11" spans="1:9" ht="39.9" customHeight="1" x14ac:dyDescent="0.2">
      <c r="A11" s="80"/>
      <c r="B11" s="78"/>
      <c r="C11" s="78"/>
      <c r="D11" s="78"/>
      <c r="E11" s="78"/>
      <c r="F11" s="78"/>
      <c r="G11" s="78"/>
      <c r="H11" s="78"/>
      <c r="I11" s="79"/>
    </row>
    <row r="12" spans="1:9" ht="45.75" customHeight="1" x14ac:dyDescent="0.2">
      <c r="A12" s="80"/>
      <c r="B12" s="78"/>
      <c r="C12" s="78"/>
      <c r="D12" s="78"/>
      <c r="E12" s="78"/>
      <c r="F12" s="78"/>
      <c r="G12" s="78"/>
      <c r="H12" s="78"/>
      <c r="I12" s="79"/>
    </row>
    <row r="13" spans="1:9" ht="45.75" customHeight="1" x14ac:dyDescent="0.2">
      <c r="A13" s="80"/>
      <c r="B13" s="78"/>
      <c r="C13" s="78"/>
      <c r="D13" s="78"/>
      <c r="E13" s="78"/>
      <c r="F13" s="78"/>
      <c r="G13" s="78"/>
      <c r="H13" s="78"/>
      <c r="I13" s="79"/>
    </row>
    <row r="14" spans="1:9" ht="45" customHeight="1" x14ac:dyDescent="0.2">
      <c r="A14" s="80"/>
      <c r="B14" s="78"/>
      <c r="C14" s="78"/>
      <c r="D14" s="78"/>
      <c r="E14" s="78"/>
      <c r="F14" s="78"/>
      <c r="G14" s="78"/>
      <c r="H14" s="78"/>
      <c r="I14" s="79"/>
    </row>
    <row r="15" spans="1:9" ht="39.9" customHeight="1" x14ac:dyDescent="0.2">
      <c r="A15" s="80"/>
      <c r="B15" s="78"/>
      <c r="C15" s="78"/>
      <c r="D15" s="78"/>
      <c r="E15" s="78"/>
      <c r="F15" s="78"/>
      <c r="G15" s="78"/>
      <c r="H15" s="78"/>
      <c r="I15" s="79"/>
    </row>
    <row r="16" spans="1:9" ht="39.9" customHeight="1" x14ac:dyDescent="0.2">
      <c r="A16" s="80"/>
      <c r="B16" s="78"/>
      <c r="C16" s="78"/>
      <c r="D16" s="78"/>
      <c r="E16" s="78"/>
      <c r="F16" s="78"/>
      <c r="G16" s="78"/>
      <c r="H16" s="78"/>
      <c r="I16" s="79"/>
    </row>
    <row r="17" spans="1:9" ht="39.9" customHeight="1" x14ac:dyDescent="0.2">
      <c r="A17" s="81"/>
      <c r="B17" s="70"/>
      <c r="C17" s="70"/>
      <c r="D17" s="70"/>
      <c r="E17" s="70"/>
      <c r="F17" s="70"/>
      <c r="G17" s="70"/>
      <c r="H17" s="70"/>
      <c r="I17" s="71"/>
    </row>
    <row r="27" spans="1:9" ht="39.9" customHeight="1" x14ac:dyDescent="0.2">
      <c r="F27" s="58">
        <v>1329094</v>
      </c>
    </row>
    <row r="28" spans="1:9" ht="39.9" customHeight="1" x14ac:dyDescent="0.2">
      <c r="F28" s="58">
        <v>83</v>
      </c>
    </row>
    <row r="30" spans="1:9" ht="39.9" customHeight="1" x14ac:dyDescent="0.2">
      <c r="F30" s="58">
        <v>5955</v>
      </c>
    </row>
  </sheetData>
  <mergeCells count="2">
    <mergeCell ref="A3:I3"/>
    <mergeCell ref="A5:I10"/>
  </mergeCells>
  <phoneticPr fontId="6"/>
  <pageMargins left="0.83" right="0.3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32"/>
  <sheetViews>
    <sheetView workbookViewId="0">
      <selection activeCell="C38" sqref="C38"/>
    </sheetView>
  </sheetViews>
  <sheetFormatPr defaultColWidth="9" defaultRowHeight="21.9" customHeight="1" x14ac:dyDescent="0.2"/>
  <cols>
    <col min="1" max="1" width="12.33203125" style="58" customWidth="1"/>
    <col min="2" max="2" width="25.6640625" style="58" customWidth="1"/>
    <col min="3" max="3" width="10.6640625" style="58" customWidth="1"/>
    <col min="4" max="4" width="25.6640625" style="58" customWidth="1"/>
    <col min="5" max="6" width="30.6640625" style="58" customWidth="1"/>
    <col min="7" max="16384" width="9" style="58"/>
  </cols>
  <sheetData>
    <row r="1" spans="1:8" ht="21.9" customHeight="1" x14ac:dyDescent="0.2">
      <c r="A1" s="1" t="s">
        <v>85</v>
      </c>
    </row>
    <row r="2" spans="1:8" ht="21.9" customHeight="1" x14ac:dyDescent="0.2">
      <c r="A2" s="8" t="s">
        <v>0</v>
      </c>
      <c r="B2" s="2" t="s">
        <v>1</v>
      </c>
      <c r="C2" s="3" t="s">
        <v>4</v>
      </c>
      <c r="D2" s="2" t="s">
        <v>2</v>
      </c>
      <c r="E2" s="2" t="s">
        <v>3</v>
      </c>
      <c r="F2" s="4" t="s">
        <v>5</v>
      </c>
      <c r="H2" s="102"/>
    </row>
    <row r="3" spans="1:8" ht="54" customHeight="1" x14ac:dyDescent="0.2">
      <c r="A3" s="221" t="s">
        <v>101</v>
      </c>
      <c r="B3" s="218" t="s">
        <v>98</v>
      </c>
      <c r="C3" s="52" t="s">
        <v>112</v>
      </c>
      <c r="D3" s="92" t="s">
        <v>99</v>
      </c>
      <c r="E3" s="95" t="s">
        <v>106</v>
      </c>
      <c r="F3" s="92" t="s">
        <v>133</v>
      </c>
    </row>
    <row r="4" spans="1:8" ht="54" customHeight="1" x14ac:dyDescent="0.2">
      <c r="A4" s="216"/>
      <c r="B4" s="219"/>
      <c r="C4" s="52" t="s">
        <v>112</v>
      </c>
      <c r="D4" s="93" t="s">
        <v>100</v>
      </c>
      <c r="E4" s="96" t="s">
        <v>107</v>
      </c>
      <c r="F4" s="6"/>
    </row>
    <row r="5" spans="1:8" ht="54" customHeight="1" x14ac:dyDescent="0.2">
      <c r="A5" s="217"/>
      <c r="B5" s="220"/>
      <c r="C5" s="52" t="s">
        <v>112</v>
      </c>
      <c r="D5" s="94" t="s">
        <v>102</v>
      </c>
      <c r="E5" s="97" t="s">
        <v>107</v>
      </c>
      <c r="F5" s="7"/>
    </row>
    <row r="6" spans="1:8" ht="54" customHeight="1" x14ac:dyDescent="0.2">
      <c r="A6" s="221" t="s">
        <v>103</v>
      </c>
      <c r="B6" s="218" t="s">
        <v>104</v>
      </c>
      <c r="C6" s="83" t="s">
        <v>112</v>
      </c>
      <c r="D6" s="92" t="s">
        <v>105</v>
      </c>
      <c r="E6" s="95" t="s">
        <v>108</v>
      </c>
      <c r="F6" s="5" t="s">
        <v>134</v>
      </c>
    </row>
    <row r="7" spans="1:8" ht="54" customHeight="1" x14ac:dyDescent="0.2">
      <c r="A7" s="216"/>
      <c r="B7" s="219"/>
      <c r="C7" s="52" t="s">
        <v>112</v>
      </c>
      <c r="D7" s="93" t="s">
        <v>100</v>
      </c>
      <c r="E7" s="96" t="s">
        <v>109</v>
      </c>
      <c r="F7" s="6"/>
    </row>
    <row r="8" spans="1:8" ht="54" customHeight="1" x14ac:dyDescent="0.2">
      <c r="A8" s="217"/>
      <c r="B8" s="220"/>
      <c r="C8" s="84" t="s">
        <v>112</v>
      </c>
      <c r="D8" s="94" t="s">
        <v>102</v>
      </c>
      <c r="E8" s="97" t="s">
        <v>109</v>
      </c>
      <c r="F8" s="7"/>
    </row>
    <row r="9" spans="1:8" ht="54" customHeight="1" x14ac:dyDescent="0.2">
      <c r="A9" s="215" t="s">
        <v>110</v>
      </c>
      <c r="B9" s="218" t="s">
        <v>111</v>
      </c>
      <c r="C9" s="52" t="s">
        <v>113</v>
      </c>
      <c r="D9" s="92" t="s">
        <v>114</v>
      </c>
      <c r="E9" s="98" t="s">
        <v>115</v>
      </c>
      <c r="F9" s="5" t="s">
        <v>135</v>
      </c>
    </row>
    <row r="10" spans="1:8" ht="54" customHeight="1" x14ac:dyDescent="0.2">
      <c r="A10" s="216"/>
      <c r="B10" s="219"/>
      <c r="C10" s="52" t="s">
        <v>113</v>
      </c>
      <c r="D10" s="93" t="s">
        <v>116</v>
      </c>
      <c r="E10" s="99" t="s">
        <v>117</v>
      </c>
      <c r="F10" s="6"/>
    </row>
    <row r="11" spans="1:8" ht="54" customHeight="1" x14ac:dyDescent="0.2">
      <c r="A11" s="217"/>
      <c r="B11" s="220"/>
      <c r="C11" s="84" t="s">
        <v>113</v>
      </c>
      <c r="D11" s="94" t="s">
        <v>118</v>
      </c>
      <c r="E11" s="100" t="s">
        <v>119</v>
      </c>
      <c r="F11" s="7"/>
    </row>
    <row r="12" spans="1:8" ht="54" customHeight="1" x14ac:dyDescent="0.2">
      <c r="A12" s="215" t="s">
        <v>140</v>
      </c>
      <c r="B12" s="218" t="s">
        <v>145</v>
      </c>
      <c r="C12" s="52" t="s">
        <v>112</v>
      </c>
      <c r="D12" s="92" t="s">
        <v>141</v>
      </c>
      <c r="E12" s="98" t="s">
        <v>142</v>
      </c>
      <c r="F12" s="5"/>
    </row>
    <row r="13" spans="1:8" ht="54" customHeight="1" x14ac:dyDescent="0.2">
      <c r="A13" s="216"/>
      <c r="B13" s="219"/>
      <c r="C13" s="52" t="s">
        <v>112</v>
      </c>
      <c r="D13" s="93" t="s">
        <v>143</v>
      </c>
      <c r="E13" s="99" t="s">
        <v>144</v>
      </c>
      <c r="F13" s="6"/>
    </row>
    <row r="14" spans="1:8" ht="54" customHeight="1" x14ac:dyDescent="0.2">
      <c r="A14" s="217"/>
      <c r="B14" s="220"/>
      <c r="C14" s="84" t="s">
        <v>112</v>
      </c>
      <c r="D14" s="94" t="s">
        <v>146</v>
      </c>
      <c r="E14" s="108" t="s">
        <v>147</v>
      </c>
      <c r="F14" s="7"/>
    </row>
    <row r="29" spans="6:6" ht="21.9" customHeight="1" x14ac:dyDescent="0.2">
      <c r="F29" s="58">
        <v>1329094</v>
      </c>
    </row>
    <row r="30" spans="6:6" ht="21.9" customHeight="1" x14ac:dyDescent="0.2">
      <c r="F30" s="58">
        <v>83</v>
      </c>
    </row>
    <row r="32" spans="6:6" ht="21.9" customHeight="1" x14ac:dyDescent="0.2">
      <c r="F32" s="58">
        <v>5955</v>
      </c>
    </row>
  </sheetData>
  <mergeCells count="8">
    <mergeCell ref="A12:A14"/>
    <mergeCell ref="B12:B14"/>
    <mergeCell ref="A3:A5"/>
    <mergeCell ref="B3:B5"/>
    <mergeCell ref="A6:A8"/>
    <mergeCell ref="B6:B8"/>
    <mergeCell ref="B9:B11"/>
    <mergeCell ref="A9:A11"/>
  </mergeCells>
  <phoneticPr fontId="6"/>
  <pageMargins left="0.51181102362204722" right="0.31496062992125984" top="0.74803149606299213" bottom="0.74803149606299213" header="0.31496062992125984" footer="0.31496062992125984"/>
  <pageSetup paperSize="9" scale="4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1"/>
  <sheetViews>
    <sheetView view="pageBreakPreview" zoomScaleNormal="100" zoomScaleSheetLayoutView="100" workbookViewId="0">
      <selection activeCell="C38" sqref="C38"/>
    </sheetView>
  </sheetViews>
  <sheetFormatPr defaultColWidth="9" defaultRowHeight="39.9" customHeight="1" x14ac:dyDescent="0.2"/>
  <cols>
    <col min="1" max="16384" width="9" style="58"/>
  </cols>
  <sheetData>
    <row r="1" spans="1:9" ht="39.9" customHeight="1" x14ac:dyDescent="0.2">
      <c r="A1" s="1" t="s">
        <v>122</v>
      </c>
    </row>
    <row r="2" spans="1:9" ht="39.9" customHeight="1" x14ac:dyDescent="0.2">
      <c r="A2" s="77" t="s">
        <v>28</v>
      </c>
      <c r="B2" s="77"/>
      <c r="C2" s="77" t="s">
        <v>137</v>
      </c>
      <c r="D2" s="77"/>
      <c r="E2" s="77"/>
      <c r="F2" s="77"/>
      <c r="G2" s="77"/>
      <c r="H2" s="101"/>
      <c r="I2" s="77"/>
    </row>
    <row r="3" spans="1:9" ht="39.9" customHeight="1" x14ac:dyDescent="0.2">
      <c r="A3" s="209" t="s">
        <v>32</v>
      </c>
      <c r="B3" s="210"/>
      <c r="C3" s="210"/>
      <c r="D3" s="210"/>
      <c r="E3" s="210"/>
      <c r="F3" s="210"/>
      <c r="G3" s="210"/>
      <c r="H3" s="210"/>
      <c r="I3" s="211"/>
    </row>
    <row r="4" spans="1:9" ht="39.9" customHeight="1" x14ac:dyDescent="0.2">
      <c r="A4" s="212" t="s">
        <v>136</v>
      </c>
      <c r="B4" s="213"/>
      <c r="C4" s="213"/>
      <c r="D4" s="213"/>
      <c r="E4" s="213"/>
      <c r="F4" s="213"/>
      <c r="G4" s="213"/>
      <c r="H4" s="213"/>
      <c r="I4" s="214"/>
    </row>
    <row r="5" spans="1:9" ht="39.9" customHeight="1" x14ac:dyDescent="0.2">
      <c r="A5" s="212"/>
      <c r="B5" s="213"/>
      <c r="C5" s="213"/>
      <c r="D5" s="213"/>
      <c r="E5" s="213"/>
      <c r="F5" s="213"/>
      <c r="G5" s="213"/>
      <c r="H5" s="213"/>
      <c r="I5" s="214"/>
    </row>
    <row r="6" spans="1:9" ht="39.9" customHeight="1" x14ac:dyDescent="0.2">
      <c r="A6" s="212"/>
      <c r="B6" s="213"/>
      <c r="C6" s="213"/>
      <c r="D6" s="213"/>
      <c r="E6" s="213"/>
      <c r="F6" s="213"/>
      <c r="G6" s="213"/>
      <c r="H6" s="213"/>
      <c r="I6" s="214"/>
    </row>
    <row r="7" spans="1:9" ht="39.9" customHeight="1" x14ac:dyDescent="0.2">
      <c r="A7" s="212"/>
      <c r="B7" s="213"/>
      <c r="C7" s="213"/>
      <c r="D7" s="213"/>
      <c r="E7" s="213"/>
      <c r="F7" s="213"/>
      <c r="G7" s="213"/>
      <c r="H7" s="213"/>
      <c r="I7" s="214"/>
    </row>
    <row r="8" spans="1:9" ht="39.9" customHeight="1" x14ac:dyDescent="0.2">
      <c r="A8" s="212"/>
      <c r="B8" s="213"/>
      <c r="C8" s="213"/>
      <c r="D8" s="213"/>
      <c r="E8" s="213"/>
      <c r="F8" s="213"/>
      <c r="G8" s="213"/>
      <c r="H8" s="213"/>
      <c r="I8" s="214"/>
    </row>
    <row r="9" spans="1:9" ht="39.9" customHeight="1" x14ac:dyDescent="0.2">
      <c r="A9" s="212"/>
      <c r="B9" s="213"/>
      <c r="C9" s="213"/>
      <c r="D9" s="213"/>
      <c r="E9" s="213"/>
      <c r="F9" s="213"/>
      <c r="G9" s="213"/>
      <c r="H9" s="213"/>
      <c r="I9" s="214"/>
    </row>
    <row r="10" spans="1:9" ht="39.9" customHeight="1" x14ac:dyDescent="0.2">
      <c r="A10" s="80"/>
      <c r="B10" s="78"/>
      <c r="C10" s="78"/>
      <c r="D10" s="78"/>
      <c r="E10" s="78"/>
      <c r="F10" s="78"/>
      <c r="G10" s="78"/>
      <c r="H10" s="78"/>
      <c r="I10" s="79"/>
    </row>
    <row r="11" spans="1:9" ht="39.9" customHeight="1" x14ac:dyDescent="0.2">
      <c r="A11" s="80"/>
      <c r="B11" s="78"/>
      <c r="C11" s="78"/>
      <c r="D11" s="78"/>
      <c r="E11" s="78"/>
      <c r="F11" s="78"/>
      <c r="G11" s="78"/>
      <c r="H11" s="78"/>
      <c r="I11" s="79"/>
    </row>
    <row r="12" spans="1:9" ht="39.9" customHeight="1" x14ac:dyDescent="0.2">
      <c r="A12" s="80"/>
      <c r="B12" s="78"/>
      <c r="C12" s="78"/>
      <c r="D12" s="78"/>
      <c r="E12" s="78"/>
      <c r="F12" s="78"/>
      <c r="G12" s="78"/>
      <c r="H12" s="78"/>
      <c r="I12" s="79"/>
    </row>
    <row r="13" spans="1:9" ht="39.9" customHeight="1" x14ac:dyDescent="0.2">
      <c r="A13" s="80"/>
      <c r="B13" s="78"/>
      <c r="C13" s="78"/>
      <c r="D13" s="78"/>
      <c r="E13" s="78"/>
      <c r="F13" s="78"/>
      <c r="G13" s="78"/>
      <c r="H13" s="78"/>
      <c r="I13" s="79"/>
    </row>
    <row r="14" spans="1:9" ht="39.9" customHeight="1" x14ac:dyDescent="0.2">
      <c r="A14" s="80"/>
      <c r="B14" s="78"/>
      <c r="C14" s="78"/>
      <c r="D14" s="78"/>
      <c r="E14" s="78"/>
      <c r="F14" s="78"/>
      <c r="G14" s="78"/>
      <c r="H14" s="78"/>
      <c r="I14" s="79"/>
    </row>
    <row r="15" spans="1:9" ht="39.9" customHeight="1" x14ac:dyDescent="0.2">
      <c r="A15" s="80"/>
      <c r="B15" s="78"/>
      <c r="C15" s="78"/>
      <c r="D15" s="78"/>
      <c r="E15" s="78"/>
      <c r="F15" s="78"/>
      <c r="G15" s="78"/>
      <c r="H15" s="78"/>
      <c r="I15" s="79"/>
    </row>
    <row r="16" spans="1:9" ht="39.9" customHeight="1" x14ac:dyDescent="0.2">
      <c r="A16" s="80"/>
      <c r="B16" s="78"/>
      <c r="C16" s="78"/>
      <c r="D16" s="78"/>
      <c r="E16" s="78"/>
      <c r="F16" s="78"/>
      <c r="G16" s="78"/>
      <c r="H16" s="78"/>
      <c r="I16" s="79"/>
    </row>
    <row r="17" spans="1:9" ht="39.9" customHeight="1" x14ac:dyDescent="0.2">
      <c r="A17" s="80"/>
      <c r="B17" s="78"/>
      <c r="C17" s="78"/>
      <c r="D17" s="78"/>
      <c r="E17" s="78"/>
      <c r="F17" s="78"/>
      <c r="G17" s="78"/>
      <c r="H17" s="78"/>
      <c r="I17" s="79"/>
    </row>
    <row r="18" spans="1:9" ht="39.9" customHeight="1" x14ac:dyDescent="0.2">
      <c r="A18" s="80"/>
      <c r="B18" s="78"/>
      <c r="C18" s="78"/>
      <c r="D18" s="78"/>
      <c r="E18" s="78"/>
      <c r="F18" s="78"/>
      <c r="G18" s="78"/>
      <c r="H18" s="78"/>
      <c r="I18" s="79"/>
    </row>
    <row r="19" spans="1:9" ht="39.9" customHeight="1" x14ac:dyDescent="0.2">
      <c r="A19" s="81"/>
      <c r="B19" s="70"/>
      <c r="C19" s="70"/>
      <c r="D19" s="70"/>
      <c r="E19" s="70"/>
      <c r="F19" s="70"/>
      <c r="G19" s="70"/>
      <c r="H19" s="70"/>
      <c r="I19" s="71"/>
    </row>
    <row r="28" spans="1:9" ht="39.9" customHeight="1" x14ac:dyDescent="0.2">
      <c r="F28" s="58">
        <v>1329094</v>
      </c>
    </row>
    <row r="29" spans="1:9" ht="39.9" customHeight="1" x14ac:dyDescent="0.2">
      <c r="F29" s="58">
        <v>83</v>
      </c>
    </row>
    <row r="31" spans="1:9" ht="39.9" customHeight="1" x14ac:dyDescent="0.2">
      <c r="F31" s="58">
        <v>5955</v>
      </c>
    </row>
  </sheetData>
  <mergeCells count="2">
    <mergeCell ref="A3:I3"/>
    <mergeCell ref="A4:I9"/>
  </mergeCells>
  <phoneticPr fontId="6"/>
  <pageMargins left="0.91"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2</vt:i4>
      </vt:variant>
    </vt:vector>
  </HeadingPairs>
  <TitlesOfParts>
    <vt:vector size="8" baseType="lpstr">
      <vt:lpstr>１・２</vt:lpstr>
      <vt:lpstr>Sheet1</vt:lpstr>
      <vt:lpstr>3</vt:lpstr>
      <vt:lpstr>４</vt:lpstr>
      <vt:lpstr>５</vt:lpstr>
      <vt:lpstr>６</vt:lpstr>
      <vt:lpstr>'４'!Print_Area</vt:lpstr>
      <vt:lpstr>'６'!Print_Area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082048</dc:creator>
  <cp:lastModifiedBy>Owner</cp:lastModifiedBy>
  <cp:lastPrinted>2019-06-22T00:03:50Z</cp:lastPrinted>
  <dcterms:created xsi:type="dcterms:W3CDTF">2015-04-06T04:03:06Z</dcterms:created>
  <dcterms:modified xsi:type="dcterms:W3CDTF">2019-06-22T00:04:04Z</dcterms:modified>
</cp:coreProperties>
</file>